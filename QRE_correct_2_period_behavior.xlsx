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255" windowWidth="11235" windowHeight="8310" firstSheet="2" activeTab="8"/>
  </bookViews>
  <sheets>
    <sheet name="Benefit functions" sheetId="4" r:id="rId1"/>
    <sheet name="Original, i&gt;7 can correct error" sheetId="13" r:id="rId2"/>
    <sheet name="Calculations" sheetId="15" r:id="rId3"/>
    <sheet name="New, i&gt;8 can correct e (2" sheetId="16" r:id="rId4"/>
    <sheet name="New Calculations" sheetId="17" r:id="rId5"/>
    <sheet name="Error Rates" sheetId="18" r:id="rId6"/>
    <sheet name="Comparison of Treatments" sheetId="19" r:id="rId7"/>
    <sheet name="Sheet1" sheetId="20" r:id="rId8"/>
    <sheet name="Anti-focal, cut = 7.31" sheetId="21" r:id="rId9"/>
  </sheets>
  <calcPr calcId="144525"/>
</workbook>
</file>

<file path=xl/calcChain.xml><?xml version="1.0" encoding="utf-8"?>
<calcChain xmlns="http://schemas.openxmlformats.org/spreadsheetml/2006/main">
  <c r="H4" i="18" l="1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3" i="18"/>
  <c r="AG37" i="17"/>
  <c r="AH37" i="17"/>
  <c r="AI37" i="17"/>
  <c r="AJ37" i="17"/>
  <c r="AG38" i="17"/>
  <c r="AH38" i="17"/>
  <c r="AI38" i="17"/>
  <c r="AJ38" i="17"/>
  <c r="AG39" i="17"/>
  <c r="AH39" i="17"/>
  <c r="AI39" i="17"/>
  <c r="AJ39" i="17"/>
  <c r="AG40" i="17"/>
  <c r="AH40" i="17"/>
  <c r="AI40" i="17"/>
  <c r="AJ40" i="17"/>
  <c r="AG41" i="17"/>
  <c r="AH41" i="17"/>
  <c r="AI41" i="17"/>
  <c r="AJ41" i="17"/>
  <c r="AG42" i="17"/>
  <c r="AH42" i="17"/>
  <c r="AI42" i="17"/>
  <c r="AJ42" i="17"/>
  <c r="AG43" i="17"/>
  <c r="AH43" i="17"/>
  <c r="AI43" i="17"/>
  <c r="AJ43" i="17"/>
  <c r="AG44" i="17"/>
  <c r="AH44" i="17"/>
  <c r="AI44" i="17"/>
  <c r="AJ44" i="17"/>
  <c r="AG45" i="17"/>
  <c r="AH45" i="17"/>
  <c r="AI45" i="17"/>
  <c r="AJ45" i="17"/>
  <c r="AG46" i="17"/>
  <c r="AH46" i="17"/>
  <c r="AI46" i="17"/>
  <c r="AJ46" i="17"/>
  <c r="AG47" i="17"/>
  <c r="AH47" i="17"/>
  <c r="AI47" i="17"/>
  <c r="AJ47" i="17"/>
  <c r="AG48" i="17"/>
  <c r="AH48" i="17"/>
  <c r="AI48" i="17"/>
  <c r="AJ48" i="17"/>
  <c r="AG49" i="17"/>
  <c r="AH49" i="17"/>
  <c r="AI49" i="17"/>
  <c r="AJ49" i="17"/>
  <c r="AG50" i="17"/>
  <c r="AH50" i="17"/>
  <c r="AI50" i="17"/>
  <c r="AJ50" i="17"/>
  <c r="AG51" i="17"/>
  <c r="AH51" i="17"/>
  <c r="AI51" i="17"/>
  <c r="AJ51" i="17"/>
  <c r="AG52" i="17"/>
  <c r="AH52" i="17"/>
  <c r="AI52" i="17"/>
  <c r="AJ52" i="17"/>
  <c r="AG53" i="17"/>
  <c r="AH53" i="17"/>
  <c r="AI53" i="17"/>
  <c r="AJ53" i="17"/>
  <c r="AG54" i="17"/>
  <c r="AH54" i="17"/>
  <c r="AI54" i="17"/>
  <c r="AJ54" i="17"/>
  <c r="AG55" i="17"/>
  <c r="AH55" i="17"/>
  <c r="AI55" i="17"/>
  <c r="AJ55" i="17"/>
  <c r="AJ36" i="17"/>
  <c r="R37" i="17"/>
  <c r="S37" i="17"/>
  <c r="T37" i="17"/>
  <c r="U37" i="17"/>
  <c r="V37" i="17"/>
  <c r="R38" i="17"/>
  <c r="S38" i="17"/>
  <c r="T38" i="17"/>
  <c r="Y38" i="17" s="1"/>
  <c r="U38" i="17"/>
  <c r="V38" i="17"/>
  <c r="R39" i="17"/>
  <c r="S39" i="17"/>
  <c r="T39" i="17"/>
  <c r="U39" i="17"/>
  <c r="V39" i="17"/>
  <c r="R40" i="17"/>
  <c r="S40" i="17"/>
  <c r="T40" i="17"/>
  <c r="U40" i="17"/>
  <c r="V40" i="17"/>
  <c r="R41" i="17"/>
  <c r="S41" i="17"/>
  <c r="T41" i="17"/>
  <c r="U41" i="17"/>
  <c r="V41" i="17"/>
  <c r="R42" i="17"/>
  <c r="S42" i="17"/>
  <c r="T42" i="17"/>
  <c r="U42" i="17"/>
  <c r="V42" i="17"/>
  <c r="R43" i="17"/>
  <c r="S43" i="17"/>
  <c r="T43" i="17"/>
  <c r="U43" i="17"/>
  <c r="V43" i="17"/>
  <c r="R44" i="17"/>
  <c r="S44" i="17"/>
  <c r="T44" i="17"/>
  <c r="U44" i="17"/>
  <c r="V44" i="17"/>
  <c r="R45" i="17"/>
  <c r="S45" i="17"/>
  <c r="T45" i="17"/>
  <c r="U45" i="17"/>
  <c r="V45" i="17"/>
  <c r="R46" i="17"/>
  <c r="S46" i="17"/>
  <c r="T46" i="17"/>
  <c r="U46" i="17"/>
  <c r="V46" i="17"/>
  <c r="R47" i="17"/>
  <c r="S47" i="17"/>
  <c r="T47" i="17"/>
  <c r="U47" i="17"/>
  <c r="V47" i="17"/>
  <c r="R48" i="17"/>
  <c r="S48" i="17"/>
  <c r="T48" i="17"/>
  <c r="U48" i="17"/>
  <c r="V48" i="17"/>
  <c r="R49" i="17"/>
  <c r="S49" i="17"/>
  <c r="T49" i="17"/>
  <c r="U49" i="17"/>
  <c r="V49" i="17"/>
  <c r="R50" i="17"/>
  <c r="S50" i="17"/>
  <c r="T50" i="17"/>
  <c r="U50" i="17"/>
  <c r="V50" i="17"/>
  <c r="R51" i="17"/>
  <c r="S51" i="17"/>
  <c r="T51" i="17"/>
  <c r="U51" i="17"/>
  <c r="V51" i="17"/>
  <c r="R52" i="17"/>
  <c r="S52" i="17"/>
  <c r="T52" i="17"/>
  <c r="U52" i="17"/>
  <c r="V52" i="17"/>
  <c r="R53" i="17"/>
  <c r="S53" i="17"/>
  <c r="T53" i="17"/>
  <c r="U53" i="17"/>
  <c r="V53" i="17"/>
  <c r="R54" i="17"/>
  <c r="S54" i="17"/>
  <c r="T54" i="17"/>
  <c r="Y54" i="17" s="1"/>
  <c r="U54" i="17"/>
  <c r="V54" i="17"/>
  <c r="V36" i="17"/>
  <c r="U8" i="17"/>
  <c r="V8" i="17"/>
  <c r="U9" i="17"/>
  <c r="V9" i="17"/>
  <c r="U10" i="17"/>
  <c r="V10" i="17"/>
  <c r="U11" i="17"/>
  <c r="V11" i="17"/>
  <c r="U12" i="17"/>
  <c r="V12" i="17"/>
  <c r="U13" i="17"/>
  <c r="V13" i="17"/>
  <c r="U14" i="17"/>
  <c r="V14" i="17"/>
  <c r="U15" i="17"/>
  <c r="V15" i="17"/>
  <c r="U16" i="17"/>
  <c r="V16" i="17"/>
  <c r="U17" i="17"/>
  <c r="V17" i="17"/>
  <c r="U18" i="17"/>
  <c r="V18" i="17"/>
  <c r="U19" i="17"/>
  <c r="V19" i="17"/>
  <c r="U20" i="17"/>
  <c r="V20" i="17"/>
  <c r="U21" i="17"/>
  <c r="V21" i="17"/>
  <c r="U22" i="17"/>
  <c r="V22" i="17"/>
  <c r="U23" i="17"/>
  <c r="V23" i="17"/>
  <c r="U24" i="17"/>
  <c r="V24" i="17"/>
  <c r="U25" i="17"/>
  <c r="V25" i="17"/>
  <c r="U26" i="17"/>
  <c r="V26" i="17"/>
  <c r="V7" i="17"/>
  <c r="AI8" i="17"/>
  <c r="AJ8" i="17"/>
  <c r="AI9" i="17"/>
  <c r="AJ9" i="17"/>
  <c r="AI10" i="17"/>
  <c r="AJ10" i="17"/>
  <c r="AI11" i="17"/>
  <c r="AJ11" i="17"/>
  <c r="AI12" i="17"/>
  <c r="AJ12" i="17"/>
  <c r="AI13" i="17"/>
  <c r="AJ13" i="17"/>
  <c r="AI14" i="17"/>
  <c r="AJ14" i="17"/>
  <c r="AI15" i="17"/>
  <c r="AJ15" i="17"/>
  <c r="AI16" i="17"/>
  <c r="AJ16" i="17"/>
  <c r="AI17" i="17"/>
  <c r="AJ17" i="17"/>
  <c r="AI18" i="17"/>
  <c r="AJ18" i="17"/>
  <c r="AI19" i="17"/>
  <c r="AJ19" i="17"/>
  <c r="AI20" i="17"/>
  <c r="AJ20" i="17"/>
  <c r="AI21" i="17"/>
  <c r="AJ21" i="17"/>
  <c r="AI22" i="17"/>
  <c r="AJ22" i="17"/>
  <c r="AI23" i="17"/>
  <c r="AJ23" i="17"/>
  <c r="AI24" i="17"/>
  <c r="AJ24" i="17"/>
  <c r="AI25" i="17"/>
  <c r="AJ25" i="17"/>
  <c r="AI26" i="17"/>
  <c r="AJ26" i="17"/>
  <c r="AJ7" i="17"/>
  <c r="O37" i="17"/>
  <c r="P37" i="17"/>
  <c r="Q37" i="17"/>
  <c r="O38" i="17"/>
  <c r="P38" i="17"/>
  <c r="Q38" i="17"/>
  <c r="O39" i="17"/>
  <c r="P39" i="17"/>
  <c r="Q39" i="17"/>
  <c r="O40" i="17"/>
  <c r="P40" i="17"/>
  <c r="Q40" i="17"/>
  <c r="O41" i="17"/>
  <c r="P41" i="17"/>
  <c r="Q41" i="17"/>
  <c r="O42" i="17"/>
  <c r="P42" i="17"/>
  <c r="Q42" i="17"/>
  <c r="O43" i="17"/>
  <c r="P43" i="17"/>
  <c r="Q43" i="17"/>
  <c r="O44" i="17"/>
  <c r="P44" i="17"/>
  <c r="Q44" i="17"/>
  <c r="O45" i="17"/>
  <c r="P45" i="17"/>
  <c r="Q45" i="17"/>
  <c r="O46" i="17"/>
  <c r="P46" i="17"/>
  <c r="Q46" i="17"/>
  <c r="O47" i="17"/>
  <c r="P47" i="17"/>
  <c r="Q47" i="17"/>
  <c r="O48" i="17"/>
  <c r="P48" i="17"/>
  <c r="Q48" i="17"/>
  <c r="O49" i="17"/>
  <c r="P49" i="17"/>
  <c r="Q49" i="17"/>
  <c r="O50" i="17"/>
  <c r="P50" i="17"/>
  <c r="Q50" i="17"/>
  <c r="O51" i="17"/>
  <c r="P51" i="17"/>
  <c r="Q51" i="17"/>
  <c r="O52" i="17"/>
  <c r="P52" i="17"/>
  <c r="Q52" i="17"/>
  <c r="O53" i="17"/>
  <c r="P53" i="17"/>
  <c r="Q53" i="17"/>
  <c r="O54" i="17"/>
  <c r="P54" i="17"/>
  <c r="Q54" i="17"/>
  <c r="O55" i="17"/>
  <c r="P55" i="17"/>
  <c r="Q55" i="17"/>
  <c r="P36" i="17"/>
  <c r="Q36" i="17"/>
  <c r="O36" i="17"/>
  <c r="O8" i="17"/>
  <c r="P8" i="17"/>
  <c r="Q8" i="17"/>
  <c r="O9" i="17"/>
  <c r="P9" i="17"/>
  <c r="Q9" i="17"/>
  <c r="O10" i="17"/>
  <c r="P10" i="17"/>
  <c r="Q10" i="17"/>
  <c r="O11" i="17"/>
  <c r="P11" i="17"/>
  <c r="Q11" i="17"/>
  <c r="O12" i="17"/>
  <c r="P12" i="17"/>
  <c r="Q12" i="17"/>
  <c r="O13" i="17"/>
  <c r="P13" i="17"/>
  <c r="Q13" i="17"/>
  <c r="O14" i="17"/>
  <c r="P14" i="17"/>
  <c r="Q14" i="17"/>
  <c r="O15" i="17"/>
  <c r="P15" i="17"/>
  <c r="Q15" i="17"/>
  <c r="O16" i="17"/>
  <c r="P16" i="17"/>
  <c r="Q16" i="17"/>
  <c r="O17" i="17"/>
  <c r="P17" i="17"/>
  <c r="Q17" i="17"/>
  <c r="Y17" i="17" s="1"/>
  <c r="O18" i="17"/>
  <c r="P18" i="17"/>
  <c r="Q18" i="17"/>
  <c r="O19" i="17"/>
  <c r="P19" i="17"/>
  <c r="Q19" i="17"/>
  <c r="O20" i="17"/>
  <c r="P20" i="17"/>
  <c r="Q20" i="17"/>
  <c r="O21" i="17"/>
  <c r="P21" i="17"/>
  <c r="Q21" i="17"/>
  <c r="O22" i="17"/>
  <c r="P22" i="17"/>
  <c r="Q22" i="17"/>
  <c r="O23" i="17"/>
  <c r="P23" i="17"/>
  <c r="Q23" i="17"/>
  <c r="O24" i="17"/>
  <c r="P24" i="17"/>
  <c r="Q24" i="17"/>
  <c r="O25" i="17"/>
  <c r="P25" i="17"/>
  <c r="Q25" i="17"/>
  <c r="O26" i="17"/>
  <c r="P26" i="17"/>
  <c r="Q26" i="17"/>
  <c r="P7" i="17"/>
  <c r="Q7" i="17"/>
  <c r="O7" i="17"/>
  <c r="AL55" i="17"/>
  <c r="AK55" i="17"/>
  <c r="AF55" i="17"/>
  <c r="AE55" i="17"/>
  <c r="AD55" i="17"/>
  <c r="AC55" i="17"/>
  <c r="X55" i="17"/>
  <c r="W55" i="17"/>
  <c r="V55" i="17"/>
  <c r="U55" i="17"/>
  <c r="T55" i="17"/>
  <c r="S55" i="17"/>
  <c r="R55" i="17"/>
  <c r="AL54" i="17"/>
  <c r="AK54" i="17"/>
  <c r="AF54" i="17"/>
  <c r="AE54" i="17"/>
  <c r="AD54" i="17"/>
  <c r="AC54" i="17"/>
  <c r="X54" i="17"/>
  <c r="W54" i="17"/>
  <c r="AL53" i="17"/>
  <c r="AK53" i="17"/>
  <c r="AF53" i="17"/>
  <c r="AE53" i="17"/>
  <c r="AD53" i="17"/>
  <c r="AC53" i="17"/>
  <c r="X53" i="17"/>
  <c r="W53" i="17"/>
  <c r="AL52" i="17"/>
  <c r="AK52" i="17"/>
  <c r="AF52" i="17"/>
  <c r="AE52" i="17"/>
  <c r="AD52" i="17"/>
  <c r="AC52" i="17"/>
  <c r="X52" i="17"/>
  <c r="W52" i="17"/>
  <c r="AL51" i="17"/>
  <c r="AK51" i="17"/>
  <c r="AF51" i="17"/>
  <c r="AE51" i="17"/>
  <c r="AD51" i="17"/>
  <c r="AC51" i="17"/>
  <c r="X51" i="17"/>
  <c r="W51" i="17"/>
  <c r="AL50" i="17"/>
  <c r="AK50" i="17"/>
  <c r="AF50" i="17"/>
  <c r="AE50" i="17"/>
  <c r="AD50" i="17"/>
  <c r="AC50" i="17"/>
  <c r="X50" i="17"/>
  <c r="W50" i="17"/>
  <c r="AL49" i="17"/>
  <c r="AK49" i="17"/>
  <c r="AF49" i="17"/>
  <c r="AE49" i="17"/>
  <c r="AD49" i="17"/>
  <c r="AC49" i="17"/>
  <c r="X49" i="17"/>
  <c r="W49" i="17"/>
  <c r="AL48" i="17"/>
  <c r="AK48" i="17"/>
  <c r="AF48" i="17"/>
  <c r="AE48" i="17"/>
  <c r="AD48" i="17"/>
  <c r="AC48" i="17"/>
  <c r="X48" i="17"/>
  <c r="W48" i="17"/>
  <c r="AL47" i="17"/>
  <c r="AK47" i="17"/>
  <c r="AF47" i="17"/>
  <c r="AE47" i="17"/>
  <c r="AD47" i="17"/>
  <c r="AC47" i="17"/>
  <c r="X47" i="17"/>
  <c r="W47" i="17"/>
  <c r="AL46" i="17"/>
  <c r="AK46" i="17"/>
  <c r="AF46" i="17"/>
  <c r="AE46" i="17"/>
  <c r="AD46" i="17"/>
  <c r="AC46" i="17"/>
  <c r="X46" i="17"/>
  <c r="W46" i="17"/>
  <c r="AL45" i="17"/>
  <c r="AK45" i="17"/>
  <c r="AF45" i="17"/>
  <c r="AE45" i="17"/>
  <c r="AD45" i="17"/>
  <c r="AC45" i="17"/>
  <c r="X45" i="17"/>
  <c r="W45" i="17"/>
  <c r="AL44" i="17"/>
  <c r="AK44" i="17"/>
  <c r="AF44" i="17"/>
  <c r="AE44" i="17"/>
  <c r="AD44" i="17"/>
  <c r="AC44" i="17"/>
  <c r="X44" i="17"/>
  <c r="W44" i="17"/>
  <c r="AL43" i="17"/>
  <c r="AK43" i="17"/>
  <c r="AF43" i="17"/>
  <c r="AE43" i="17"/>
  <c r="AD43" i="17"/>
  <c r="AC43" i="17"/>
  <c r="X43" i="17"/>
  <c r="W43" i="17"/>
  <c r="AL42" i="17"/>
  <c r="AK42" i="17"/>
  <c r="AF42" i="17"/>
  <c r="AE42" i="17"/>
  <c r="AD42" i="17"/>
  <c r="AC42" i="17"/>
  <c r="X42" i="17"/>
  <c r="W42" i="17"/>
  <c r="AL41" i="17"/>
  <c r="AK41" i="17"/>
  <c r="AF41" i="17"/>
  <c r="AE41" i="17"/>
  <c r="AD41" i="17"/>
  <c r="AC41" i="17"/>
  <c r="X41" i="17"/>
  <c r="W41" i="17"/>
  <c r="Y41" i="17"/>
  <c r="AL40" i="17"/>
  <c r="AK40" i="17"/>
  <c r="AF40" i="17"/>
  <c r="AE40" i="17"/>
  <c r="AD40" i="17"/>
  <c r="AC40" i="17"/>
  <c r="X40" i="17"/>
  <c r="W40" i="17"/>
  <c r="AL39" i="17"/>
  <c r="AK39" i="17"/>
  <c r="AF39" i="17"/>
  <c r="AE39" i="17"/>
  <c r="AD39" i="17"/>
  <c r="AC39" i="17"/>
  <c r="X39" i="17"/>
  <c r="W39" i="17"/>
  <c r="AL38" i="17"/>
  <c r="AK38" i="17"/>
  <c r="AF38" i="17"/>
  <c r="AE38" i="17"/>
  <c r="AD38" i="17"/>
  <c r="AC38" i="17"/>
  <c r="X38" i="17"/>
  <c r="W38" i="17"/>
  <c r="AL37" i="17"/>
  <c r="AK37" i="17"/>
  <c r="AF37" i="17"/>
  <c r="AE37" i="17"/>
  <c r="AD37" i="17"/>
  <c r="AC37" i="17"/>
  <c r="X37" i="17"/>
  <c r="W37" i="17"/>
  <c r="AL36" i="17"/>
  <c r="AK36" i="17"/>
  <c r="AI36" i="17"/>
  <c r="AH36" i="17"/>
  <c r="AG36" i="17"/>
  <c r="AF36" i="17"/>
  <c r="AE36" i="17"/>
  <c r="AD36" i="17"/>
  <c r="AC36" i="17"/>
  <c r="X36" i="17"/>
  <c r="W36" i="17"/>
  <c r="U36" i="17"/>
  <c r="T36" i="17"/>
  <c r="S36" i="17"/>
  <c r="R36" i="17"/>
  <c r="AL26" i="17"/>
  <c r="AK26" i="17"/>
  <c r="AH26" i="17"/>
  <c r="AG26" i="17"/>
  <c r="AF26" i="17"/>
  <c r="AE26" i="17"/>
  <c r="AD26" i="17"/>
  <c r="AC26" i="17"/>
  <c r="X26" i="17"/>
  <c r="W26" i="17"/>
  <c r="T26" i="17"/>
  <c r="S26" i="17"/>
  <c r="R26" i="17"/>
  <c r="AL25" i="17"/>
  <c r="AK25" i="17"/>
  <c r="AH25" i="17"/>
  <c r="AG25" i="17"/>
  <c r="AF25" i="17"/>
  <c r="AE25" i="17"/>
  <c r="AD25" i="17"/>
  <c r="AC25" i="17"/>
  <c r="X25" i="17"/>
  <c r="W25" i="17"/>
  <c r="T25" i="17"/>
  <c r="S25" i="17"/>
  <c r="R25" i="17"/>
  <c r="AL24" i="17"/>
  <c r="AK24" i="17"/>
  <c r="AH24" i="17"/>
  <c r="AG24" i="17"/>
  <c r="AF24" i="17"/>
  <c r="AE24" i="17"/>
  <c r="AD24" i="17"/>
  <c r="AC24" i="17"/>
  <c r="X24" i="17"/>
  <c r="W24" i="17"/>
  <c r="T24" i="17"/>
  <c r="S24" i="17"/>
  <c r="R24" i="17"/>
  <c r="AL23" i="17"/>
  <c r="AK23" i="17"/>
  <c r="AH23" i="17"/>
  <c r="AG23" i="17"/>
  <c r="AF23" i="17"/>
  <c r="AE23" i="17"/>
  <c r="AD23" i="17"/>
  <c r="AC23" i="17"/>
  <c r="X23" i="17"/>
  <c r="W23" i="17"/>
  <c r="T23" i="17"/>
  <c r="S23" i="17"/>
  <c r="R23" i="17"/>
  <c r="AL22" i="17"/>
  <c r="AK22" i="17"/>
  <c r="AH22" i="17"/>
  <c r="AG22" i="17"/>
  <c r="AF22" i="17"/>
  <c r="AE22" i="17"/>
  <c r="AD22" i="17"/>
  <c r="AC22" i="17"/>
  <c r="X22" i="17"/>
  <c r="W22" i="17"/>
  <c r="T22" i="17"/>
  <c r="S22" i="17"/>
  <c r="R22" i="17"/>
  <c r="AL21" i="17"/>
  <c r="AK21" i="17"/>
  <c r="AH21" i="17"/>
  <c r="AG21" i="17"/>
  <c r="AF21" i="17"/>
  <c r="AE21" i="17"/>
  <c r="AD21" i="17"/>
  <c r="AC21" i="17"/>
  <c r="X21" i="17"/>
  <c r="W21" i="17"/>
  <c r="T21" i="17"/>
  <c r="S21" i="17"/>
  <c r="R21" i="17"/>
  <c r="AL20" i="17"/>
  <c r="AK20" i="17"/>
  <c r="AH20" i="17"/>
  <c r="AG20" i="17"/>
  <c r="AF20" i="17"/>
  <c r="AE20" i="17"/>
  <c r="AD20" i="17"/>
  <c r="AC20" i="17"/>
  <c r="X20" i="17"/>
  <c r="W20" i="17"/>
  <c r="T20" i="17"/>
  <c r="S20" i="17"/>
  <c r="R20" i="17"/>
  <c r="AL19" i="17"/>
  <c r="AK19" i="17"/>
  <c r="AH19" i="17"/>
  <c r="AG19" i="17"/>
  <c r="AF19" i="17"/>
  <c r="AE19" i="17"/>
  <c r="AD19" i="17"/>
  <c r="AC19" i="17"/>
  <c r="X19" i="17"/>
  <c r="W19" i="17"/>
  <c r="T19" i="17"/>
  <c r="S19" i="17"/>
  <c r="R19" i="17"/>
  <c r="AL18" i="17"/>
  <c r="AK18" i="17"/>
  <c r="AH18" i="17"/>
  <c r="AG18" i="17"/>
  <c r="AF18" i="17"/>
  <c r="AE18" i="17"/>
  <c r="AD18" i="17"/>
  <c r="AC18" i="17"/>
  <c r="X18" i="17"/>
  <c r="W18" i="17"/>
  <c r="T18" i="17"/>
  <c r="S18" i="17"/>
  <c r="R18" i="17"/>
  <c r="AL17" i="17"/>
  <c r="AK17" i="17"/>
  <c r="AH17" i="17"/>
  <c r="AG17" i="17"/>
  <c r="AF17" i="17"/>
  <c r="AE17" i="17"/>
  <c r="AD17" i="17"/>
  <c r="AC17" i="17"/>
  <c r="X17" i="17"/>
  <c r="W17" i="17"/>
  <c r="T17" i="17"/>
  <c r="S17" i="17"/>
  <c r="R17" i="17"/>
  <c r="AL16" i="17"/>
  <c r="AK16" i="17"/>
  <c r="AH16" i="17"/>
  <c r="AG16" i="17"/>
  <c r="AF16" i="17"/>
  <c r="AE16" i="17"/>
  <c r="AD16" i="17"/>
  <c r="AC16" i="17"/>
  <c r="X16" i="17"/>
  <c r="W16" i="17"/>
  <c r="T16" i="17"/>
  <c r="S16" i="17"/>
  <c r="R16" i="17"/>
  <c r="AL15" i="17"/>
  <c r="AK15" i="17"/>
  <c r="AH15" i="17"/>
  <c r="AG15" i="17"/>
  <c r="AF15" i="17"/>
  <c r="AE15" i="17"/>
  <c r="AD15" i="17"/>
  <c r="AC15" i="17"/>
  <c r="X15" i="17"/>
  <c r="W15" i="17"/>
  <c r="T15" i="17"/>
  <c r="S15" i="17"/>
  <c r="R15" i="17"/>
  <c r="AL14" i="17"/>
  <c r="AK14" i="17"/>
  <c r="AH14" i="17"/>
  <c r="AG14" i="17"/>
  <c r="AF14" i="17"/>
  <c r="AE14" i="17"/>
  <c r="AD14" i="17"/>
  <c r="AC14" i="17"/>
  <c r="X14" i="17"/>
  <c r="W14" i="17"/>
  <c r="T14" i="17"/>
  <c r="S14" i="17"/>
  <c r="R14" i="17"/>
  <c r="AL13" i="17"/>
  <c r="AK13" i="17"/>
  <c r="AH13" i="17"/>
  <c r="AG13" i="17"/>
  <c r="AF13" i="17"/>
  <c r="AE13" i="17"/>
  <c r="AD13" i="17"/>
  <c r="AC13" i="17"/>
  <c r="X13" i="17"/>
  <c r="W13" i="17"/>
  <c r="T13" i="17"/>
  <c r="S13" i="17"/>
  <c r="R13" i="17"/>
  <c r="AL12" i="17"/>
  <c r="AK12" i="17"/>
  <c r="AH12" i="17"/>
  <c r="AG12" i="17"/>
  <c r="AF12" i="17"/>
  <c r="AE12" i="17"/>
  <c r="AD12" i="17"/>
  <c r="AC12" i="17"/>
  <c r="X12" i="17"/>
  <c r="W12" i="17"/>
  <c r="T12" i="17"/>
  <c r="S12" i="17"/>
  <c r="R12" i="17"/>
  <c r="AL11" i="17"/>
  <c r="AK11" i="17"/>
  <c r="AH11" i="17"/>
  <c r="AG11" i="17"/>
  <c r="AF11" i="17"/>
  <c r="AE11" i="17"/>
  <c r="AD11" i="17"/>
  <c r="AC11" i="17"/>
  <c r="X11" i="17"/>
  <c r="W11" i="17"/>
  <c r="T11" i="17"/>
  <c r="S11" i="17"/>
  <c r="R11" i="17"/>
  <c r="AL10" i="17"/>
  <c r="AK10" i="17"/>
  <c r="AH10" i="17"/>
  <c r="AG10" i="17"/>
  <c r="AF10" i="17"/>
  <c r="AE10" i="17"/>
  <c r="AD10" i="17"/>
  <c r="AC10" i="17"/>
  <c r="X10" i="17"/>
  <c r="W10" i="17"/>
  <c r="T10" i="17"/>
  <c r="S10" i="17"/>
  <c r="R10" i="17"/>
  <c r="AL9" i="17"/>
  <c r="AK9" i="17"/>
  <c r="AH9" i="17"/>
  <c r="AG9" i="17"/>
  <c r="AF9" i="17"/>
  <c r="AE9" i="17"/>
  <c r="AD9" i="17"/>
  <c r="AC9" i="17"/>
  <c r="X9" i="17"/>
  <c r="W9" i="17"/>
  <c r="T9" i="17"/>
  <c r="S9" i="17"/>
  <c r="R9" i="17"/>
  <c r="AL8" i="17"/>
  <c r="AK8" i="17"/>
  <c r="AH8" i="17"/>
  <c r="AG8" i="17"/>
  <c r="AF8" i="17"/>
  <c r="AE8" i="17"/>
  <c r="AD8" i="17"/>
  <c r="AC8" i="17"/>
  <c r="X8" i="17"/>
  <c r="W8" i="17"/>
  <c r="T8" i="17"/>
  <c r="S8" i="17"/>
  <c r="R8" i="17"/>
  <c r="AL7" i="17"/>
  <c r="AK7" i="17"/>
  <c r="AI7" i="17"/>
  <c r="AH7" i="17"/>
  <c r="AG7" i="17"/>
  <c r="AF7" i="17"/>
  <c r="AE7" i="17"/>
  <c r="AD7" i="17"/>
  <c r="AC7" i="17"/>
  <c r="X7" i="17"/>
  <c r="W7" i="17"/>
  <c r="U7" i="17"/>
  <c r="T7" i="17"/>
  <c r="S7" i="17"/>
  <c r="R7" i="17"/>
  <c r="AM43" i="17" l="1"/>
  <c r="Y46" i="17"/>
  <c r="Y49" i="17"/>
  <c r="AM10" i="17"/>
  <c r="Y42" i="17"/>
  <c r="AM39" i="17"/>
  <c r="AM55" i="17"/>
  <c r="Y25" i="17"/>
  <c r="Y13" i="17"/>
  <c r="AM14" i="17"/>
  <c r="AM47" i="17"/>
  <c r="Y53" i="17"/>
  <c r="AP53" i="17" s="1"/>
  <c r="Y50" i="17"/>
  <c r="Y45" i="17"/>
  <c r="Y37" i="17"/>
  <c r="AM18" i="17"/>
  <c r="AM22" i="17"/>
  <c r="AM26" i="17"/>
  <c r="AM51" i="17"/>
  <c r="AP51" i="17" s="1"/>
  <c r="Y21" i="17"/>
  <c r="Y12" i="17"/>
  <c r="Y9" i="17"/>
  <c r="AP9" i="17" s="1"/>
  <c r="Y10" i="17"/>
  <c r="AP10" i="17" s="1"/>
  <c r="Y18" i="17"/>
  <c r="AP18" i="17" s="1"/>
  <c r="Y22" i="17"/>
  <c r="R74" i="17" s="1"/>
  <c r="Y39" i="17"/>
  <c r="Y55" i="17"/>
  <c r="S78" i="17" s="1"/>
  <c r="AM8" i="17"/>
  <c r="Y11" i="17"/>
  <c r="AM12" i="17"/>
  <c r="R64" i="17" s="1"/>
  <c r="Y15" i="17"/>
  <c r="AM15" i="17"/>
  <c r="AM16" i="17"/>
  <c r="Y19" i="17"/>
  <c r="AM20" i="17"/>
  <c r="Y23" i="17"/>
  <c r="AM24" i="17"/>
  <c r="Y40" i="17"/>
  <c r="AM40" i="17"/>
  <c r="AM41" i="17"/>
  <c r="S64" i="17" s="1"/>
  <c r="Y44" i="17"/>
  <c r="AM44" i="17"/>
  <c r="AM45" i="17"/>
  <c r="Y48" i="17"/>
  <c r="AM48" i="17"/>
  <c r="S71" i="17" s="1"/>
  <c r="AM49" i="17"/>
  <c r="S72" i="17" s="1"/>
  <c r="Y52" i="17"/>
  <c r="AM52" i="17"/>
  <c r="AM53" i="17"/>
  <c r="S76" i="17" s="1"/>
  <c r="Y14" i="17"/>
  <c r="Y26" i="17"/>
  <c r="Y43" i="17"/>
  <c r="S66" i="17" s="1"/>
  <c r="Y47" i="17"/>
  <c r="Y51" i="17"/>
  <c r="AM9" i="17"/>
  <c r="AM13" i="17"/>
  <c r="AP13" i="17" s="1"/>
  <c r="AM17" i="17"/>
  <c r="AP17" i="17" s="1"/>
  <c r="AM21" i="17"/>
  <c r="AP21" i="17" s="1"/>
  <c r="AM25" i="17"/>
  <c r="R77" i="17" s="1"/>
  <c r="AM38" i="17"/>
  <c r="S61" i="17" s="1"/>
  <c r="AM42" i="17"/>
  <c r="S65" i="17" s="1"/>
  <c r="AM46" i="17"/>
  <c r="S69" i="17" s="1"/>
  <c r="AM50" i="17"/>
  <c r="AM54" i="17"/>
  <c r="S77" i="17" s="1"/>
  <c r="Y7" i="17"/>
  <c r="Y36" i="17"/>
  <c r="R70" i="17"/>
  <c r="AM11" i="17"/>
  <c r="Y24" i="17"/>
  <c r="AM36" i="17"/>
  <c r="Y20" i="17"/>
  <c r="AM23" i="17"/>
  <c r="Y8" i="17"/>
  <c r="AM7" i="17"/>
  <c r="R59" i="17" s="1"/>
  <c r="AM37" i="17"/>
  <c r="S60" i="17" s="1"/>
  <c r="AP46" i="17"/>
  <c r="AP49" i="17"/>
  <c r="Y16" i="17"/>
  <c r="AM19" i="17"/>
  <c r="O37" i="15"/>
  <c r="P37" i="15"/>
  <c r="Q37" i="15"/>
  <c r="O38" i="15"/>
  <c r="Y38" i="15" s="1"/>
  <c r="P38" i="15"/>
  <c r="Q38" i="15"/>
  <c r="O39" i="15"/>
  <c r="P39" i="15"/>
  <c r="Q39" i="15"/>
  <c r="O40" i="15"/>
  <c r="P40" i="15"/>
  <c r="Q40" i="15"/>
  <c r="O41" i="15"/>
  <c r="P41" i="15"/>
  <c r="Q41" i="15"/>
  <c r="O42" i="15"/>
  <c r="Y42" i="15" s="1"/>
  <c r="P42" i="15"/>
  <c r="Q42" i="15"/>
  <c r="O43" i="15"/>
  <c r="P43" i="15"/>
  <c r="Q43" i="15"/>
  <c r="O44" i="15"/>
  <c r="P44" i="15"/>
  <c r="Q44" i="15"/>
  <c r="O45" i="15"/>
  <c r="P45" i="15"/>
  <c r="Q45" i="15"/>
  <c r="O46" i="15"/>
  <c r="Y46" i="15" s="1"/>
  <c r="P46" i="15"/>
  <c r="Q46" i="15"/>
  <c r="O47" i="15"/>
  <c r="P47" i="15"/>
  <c r="Q47" i="15"/>
  <c r="O48" i="15"/>
  <c r="P48" i="15"/>
  <c r="Q48" i="15"/>
  <c r="O49" i="15"/>
  <c r="P49" i="15"/>
  <c r="Q49" i="15"/>
  <c r="O50" i="15"/>
  <c r="Y50" i="15" s="1"/>
  <c r="P50" i="15"/>
  <c r="Q50" i="15"/>
  <c r="O51" i="15"/>
  <c r="P51" i="15"/>
  <c r="Q51" i="15"/>
  <c r="O52" i="15"/>
  <c r="P52" i="15"/>
  <c r="Q52" i="15"/>
  <c r="O53" i="15"/>
  <c r="P53" i="15"/>
  <c r="Q53" i="15"/>
  <c r="O54" i="15"/>
  <c r="Y54" i="15" s="1"/>
  <c r="P54" i="15"/>
  <c r="Q54" i="15"/>
  <c r="O55" i="15"/>
  <c r="P55" i="15"/>
  <c r="Q55" i="15"/>
  <c r="P36" i="15"/>
  <c r="Q36" i="15"/>
  <c r="O36" i="15"/>
  <c r="AJ37" i="15"/>
  <c r="AK37" i="15"/>
  <c r="AL37" i="15"/>
  <c r="AJ38" i="15"/>
  <c r="AK38" i="15"/>
  <c r="AL38" i="15"/>
  <c r="AJ39" i="15"/>
  <c r="AK39" i="15"/>
  <c r="AL39" i="15"/>
  <c r="AJ40" i="15"/>
  <c r="AK40" i="15"/>
  <c r="AL40" i="15"/>
  <c r="AJ41" i="15"/>
  <c r="AK41" i="15"/>
  <c r="AL41" i="15"/>
  <c r="AJ42" i="15"/>
  <c r="AK42" i="15"/>
  <c r="AL42" i="15"/>
  <c r="AJ43" i="15"/>
  <c r="AK43" i="15"/>
  <c r="AL43" i="15"/>
  <c r="AJ44" i="15"/>
  <c r="AK44" i="15"/>
  <c r="AL44" i="15"/>
  <c r="AJ45" i="15"/>
  <c r="AK45" i="15"/>
  <c r="AL45" i="15"/>
  <c r="AJ46" i="15"/>
  <c r="AK46" i="15"/>
  <c r="AL46" i="15"/>
  <c r="AJ47" i="15"/>
  <c r="AK47" i="15"/>
  <c r="AL47" i="15"/>
  <c r="AJ48" i="15"/>
  <c r="AK48" i="15"/>
  <c r="AL48" i="15"/>
  <c r="AJ49" i="15"/>
  <c r="AK49" i="15"/>
  <c r="AL49" i="15"/>
  <c r="AJ50" i="15"/>
  <c r="AK50" i="15"/>
  <c r="AL50" i="15"/>
  <c r="AJ51" i="15"/>
  <c r="AK51" i="15"/>
  <c r="AL51" i="15"/>
  <c r="AJ52" i="15"/>
  <c r="AK52" i="15"/>
  <c r="AL52" i="15"/>
  <c r="AJ53" i="15"/>
  <c r="AK53" i="15"/>
  <c r="AL53" i="15"/>
  <c r="AJ54" i="15"/>
  <c r="AK54" i="15"/>
  <c r="AL54" i="15"/>
  <c r="AJ55" i="15"/>
  <c r="AK55" i="15"/>
  <c r="AL55" i="15"/>
  <c r="AL36" i="15"/>
  <c r="AK36" i="15"/>
  <c r="AJ36" i="15"/>
  <c r="O8" i="15"/>
  <c r="P8" i="15"/>
  <c r="Q8" i="15"/>
  <c r="O9" i="15"/>
  <c r="P9" i="15"/>
  <c r="Q9" i="15"/>
  <c r="O10" i="15"/>
  <c r="P10" i="15"/>
  <c r="Q10" i="15"/>
  <c r="O11" i="15"/>
  <c r="P11" i="15"/>
  <c r="Q11" i="15"/>
  <c r="O12" i="15"/>
  <c r="P12" i="15"/>
  <c r="Q12" i="15"/>
  <c r="O13" i="15"/>
  <c r="Y13" i="15" s="1"/>
  <c r="P13" i="15"/>
  <c r="Q13" i="15"/>
  <c r="O14" i="15"/>
  <c r="P14" i="15"/>
  <c r="Q14" i="15"/>
  <c r="O15" i="15"/>
  <c r="P15" i="15"/>
  <c r="Q15" i="15"/>
  <c r="O16" i="15"/>
  <c r="P16" i="15"/>
  <c r="Q16" i="15"/>
  <c r="O17" i="15"/>
  <c r="Y17" i="15" s="1"/>
  <c r="P17" i="15"/>
  <c r="Q17" i="15"/>
  <c r="O18" i="15"/>
  <c r="P18" i="15"/>
  <c r="Q18" i="15"/>
  <c r="O19" i="15"/>
  <c r="P19" i="15"/>
  <c r="Q19" i="15"/>
  <c r="O20" i="15"/>
  <c r="P20" i="15"/>
  <c r="Q20" i="15"/>
  <c r="O21" i="15"/>
  <c r="P21" i="15"/>
  <c r="Q21" i="15"/>
  <c r="O22" i="15"/>
  <c r="P22" i="15"/>
  <c r="Y22" i="15" s="1"/>
  <c r="Q22" i="15"/>
  <c r="O23" i="15"/>
  <c r="P23" i="15"/>
  <c r="Q23" i="15"/>
  <c r="O24" i="15"/>
  <c r="P24" i="15"/>
  <c r="Q24" i="15"/>
  <c r="O25" i="15"/>
  <c r="Y25" i="15" s="1"/>
  <c r="P25" i="15"/>
  <c r="Q25" i="15"/>
  <c r="O26" i="15"/>
  <c r="P26" i="15"/>
  <c r="Q26" i="15"/>
  <c r="P7" i="15"/>
  <c r="Q7" i="15"/>
  <c r="O7" i="15"/>
  <c r="AJ8" i="15"/>
  <c r="AK8" i="15"/>
  <c r="AL8" i="15"/>
  <c r="AJ9" i="15"/>
  <c r="AK9" i="15"/>
  <c r="AL9" i="15"/>
  <c r="AJ10" i="15"/>
  <c r="AK10" i="15"/>
  <c r="AL10" i="15"/>
  <c r="AJ11" i="15"/>
  <c r="AK11" i="15"/>
  <c r="AL11" i="15"/>
  <c r="AJ12" i="15"/>
  <c r="AK12" i="15"/>
  <c r="AL12" i="15"/>
  <c r="AJ13" i="15"/>
  <c r="AK13" i="15"/>
  <c r="AL13" i="15"/>
  <c r="AJ14" i="15"/>
  <c r="AK14" i="15"/>
  <c r="AL14" i="15"/>
  <c r="AJ15" i="15"/>
  <c r="AK15" i="15"/>
  <c r="AL15" i="15"/>
  <c r="AJ16" i="15"/>
  <c r="AK16" i="15"/>
  <c r="AL16" i="15"/>
  <c r="AJ17" i="15"/>
  <c r="AK17" i="15"/>
  <c r="AL17" i="15"/>
  <c r="AJ18" i="15"/>
  <c r="AK18" i="15"/>
  <c r="AL18" i="15"/>
  <c r="AJ19" i="15"/>
  <c r="AK19" i="15"/>
  <c r="AL19" i="15"/>
  <c r="AJ20" i="15"/>
  <c r="AK20" i="15"/>
  <c r="AL20" i="15"/>
  <c r="AJ21" i="15"/>
  <c r="AK21" i="15"/>
  <c r="AL21" i="15"/>
  <c r="AJ22" i="15"/>
  <c r="AK22" i="15"/>
  <c r="AL22" i="15"/>
  <c r="AJ23" i="15"/>
  <c r="AK23" i="15"/>
  <c r="AL23" i="15"/>
  <c r="AJ24" i="15"/>
  <c r="AK24" i="15"/>
  <c r="AL24" i="15"/>
  <c r="AJ25" i="15"/>
  <c r="AK25" i="15"/>
  <c r="AL25" i="15"/>
  <c r="AJ26" i="15"/>
  <c r="AK26" i="15"/>
  <c r="AL26" i="15"/>
  <c r="AL7" i="15"/>
  <c r="AK7" i="15"/>
  <c r="AJ7" i="15"/>
  <c r="AI55" i="15"/>
  <c r="AH55" i="15"/>
  <c r="AG55" i="15"/>
  <c r="AF55" i="15"/>
  <c r="AE55" i="15"/>
  <c r="AD55" i="15"/>
  <c r="AC55" i="15"/>
  <c r="X55" i="15"/>
  <c r="W55" i="15"/>
  <c r="V55" i="15"/>
  <c r="U55" i="15"/>
  <c r="T55" i="15"/>
  <c r="S55" i="15"/>
  <c r="R55" i="15"/>
  <c r="AI54" i="15"/>
  <c r="AH54" i="15"/>
  <c r="AG54" i="15"/>
  <c r="AF54" i="15"/>
  <c r="AE54" i="15"/>
  <c r="AD54" i="15"/>
  <c r="AC54" i="15"/>
  <c r="X54" i="15"/>
  <c r="W54" i="15"/>
  <c r="V54" i="15"/>
  <c r="U54" i="15"/>
  <c r="T54" i="15"/>
  <c r="S54" i="15"/>
  <c r="R54" i="15"/>
  <c r="AI53" i="15"/>
  <c r="AH53" i="15"/>
  <c r="AG53" i="15"/>
  <c r="AF53" i="15"/>
  <c r="AE53" i="15"/>
  <c r="AD53" i="15"/>
  <c r="AC53" i="15"/>
  <c r="X53" i="15"/>
  <c r="W53" i="15"/>
  <c r="V53" i="15"/>
  <c r="U53" i="15"/>
  <c r="T53" i="15"/>
  <c r="S53" i="15"/>
  <c r="R53" i="15"/>
  <c r="Y53" i="15"/>
  <c r="AI52" i="15"/>
  <c r="AH52" i="15"/>
  <c r="AG52" i="15"/>
  <c r="AF52" i="15"/>
  <c r="AE52" i="15"/>
  <c r="AD52" i="15"/>
  <c r="AC52" i="15"/>
  <c r="X52" i="15"/>
  <c r="W52" i="15"/>
  <c r="V52" i="15"/>
  <c r="U52" i="15"/>
  <c r="T52" i="15"/>
  <c r="S52" i="15"/>
  <c r="R52" i="15"/>
  <c r="AI51" i="15"/>
  <c r="AH51" i="15"/>
  <c r="AG51" i="15"/>
  <c r="AF51" i="15"/>
  <c r="AE51" i="15"/>
  <c r="AD51" i="15"/>
  <c r="AC51" i="15"/>
  <c r="X51" i="15"/>
  <c r="W51" i="15"/>
  <c r="V51" i="15"/>
  <c r="U51" i="15"/>
  <c r="T51" i="15"/>
  <c r="S51" i="15"/>
  <c r="R51" i="15"/>
  <c r="AI50" i="15"/>
  <c r="AH50" i="15"/>
  <c r="AG50" i="15"/>
  <c r="AF50" i="15"/>
  <c r="AE50" i="15"/>
  <c r="AD50" i="15"/>
  <c r="AC50" i="15"/>
  <c r="X50" i="15"/>
  <c r="W50" i="15"/>
  <c r="V50" i="15"/>
  <c r="U50" i="15"/>
  <c r="T50" i="15"/>
  <c r="S50" i="15"/>
  <c r="R50" i="15"/>
  <c r="AI49" i="15"/>
  <c r="AH49" i="15"/>
  <c r="AG49" i="15"/>
  <c r="AF49" i="15"/>
  <c r="AE49" i="15"/>
  <c r="AD49" i="15"/>
  <c r="AC49" i="15"/>
  <c r="X49" i="15"/>
  <c r="W49" i="15"/>
  <c r="V49" i="15"/>
  <c r="U49" i="15"/>
  <c r="T49" i="15"/>
  <c r="S49" i="15"/>
  <c r="R49" i="15"/>
  <c r="Y49" i="15"/>
  <c r="AI48" i="15"/>
  <c r="AH48" i="15"/>
  <c r="AG48" i="15"/>
  <c r="AF48" i="15"/>
  <c r="AE48" i="15"/>
  <c r="AD48" i="15"/>
  <c r="AC48" i="15"/>
  <c r="X48" i="15"/>
  <c r="W48" i="15"/>
  <c r="V48" i="15"/>
  <c r="U48" i="15"/>
  <c r="T48" i="15"/>
  <c r="S48" i="15"/>
  <c r="R48" i="15"/>
  <c r="AI47" i="15"/>
  <c r="AH47" i="15"/>
  <c r="AG47" i="15"/>
  <c r="AF47" i="15"/>
  <c r="AE47" i="15"/>
  <c r="AD47" i="15"/>
  <c r="AC47" i="15"/>
  <c r="X47" i="15"/>
  <c r="W47" i="15"/>
  <c r="V47" i="15"/>
  <c r="U47" i="15"/>
  <c r="T47" i="15"/>
  <c r="S47" i="15"/>
  <c r="R47" i="15"/>
  <c r="AI46" i="15"/>
  <c r="AH46" i="15"/>
  <c r="AG46" i="15"/>
  <c r="AF46" i="15"/>
  <c r="AE46" i="15"/>
  <c r="AD46" i="15"/>
  <c r="AC46" i="15"/>
  <c r="X46" i="15"/>
  <c r="W46" i="15"/>
  <c r="V46" i="15"/>
  <c r="U46" i="15"/>
  <c r="T46" i="15"/>
  <c r="S46" i="15"/>
  <c r="R46" i="15"/>
  <c r="AI45" i="15"/>
  <c r="AH45" i="15"/>
  <c r="AG45" i="15"/>
  <c r="AF45" i="15"/>
  <c r="AE45" i="15"/>
  <c r="AD45" i="15"/>
  <c r="AC45" i="15"/>
  <c r="X45" i="15"/>
  <c r="W45" i="15"/>
  <c r="V45" i="15"/>
  <c r="U45" i="15"/>
  <c r="T45" i="15"/>
  <c r="S45" i="15"/>
  <c r="R45" i="15"/>
  <c r="Y45" i="15"/>
  <c r="AI44" i="15"/>
  <c r="AH44" i="15"/>
  <c r="AG44" i="15"/>
  <c r="AF44" i="15"/>
  <c r="AE44" i="15"/>
  <c r="AD44" i="15"/>
  <c r="AC44" i="15"/>
  <c r="X44" i="15"/>
  <c r="W44" i="15"/>
  <c r="V44" i="15"/>
  <c r="U44" i="15"/>
  <c r="T44" i="15"/>
  <c r="S44" i="15"/>
  <c r="R44" i="15"/>
  <c r="AI43" i="15"/>
  <c r="AH43" i="15"/>
  <c r="AG43" i="15"/>
  <c r="AF43" i="15"/>
  <c r="AE43" i="15"/>
  <c r="AD43" i="15"/>
  <c r="AC43" i="15"/>
  <c r="X43" i="15"/>
  <c r="W43" i="15"/>
  <c r="V43" i="15"/>
  <c r="U43" i="15"/>
  <c r="T43" i="15"/>
  <c r="S43" i="15"/>
  <c r="R43" i="15"/>
  <c r="AI42" i="15"/>
  <c r="AH42" i="15"/>
  <c r="AG42" i="15"/>
  <c r="AF42" i="15"/>
  <c r="AE42" i="15"/>
  <c r="AD42" i="15"/>
  <c r="AC42" i="15"/>
  <c r="X42" i="15"/>
  <c r="W42" i="15"/>
  <c r="V42" i="15"/>
  <c r="U42" i="15"/>
  <c r="T42" i="15"/>
  <c r="S42" i="15"/>
  <c r="R42" i="15"/>
  <c r="AI41" i="15"/>
  <c r="AH41" i="15"/>
  <c r="AG41" i="15"/>
  <c r="AF41" i="15"/>
  <c r="AE41" i="15"/>
  <c r="AD41" i="15"/>
  <c r="AC41" i="15"/>
  <c r="X41" i="15"/>
  <c r="W41" i="15"/>
  <c r="V41" i="15"/>
  <c r="U41" i="15"/>
  <c r="T41" i="15"/>
  <c r="S41" i="15"/>
  <c r="R41" i="15"/>
  <c r="Y41" i="15"/>
  <c r="AI40" i="15"/>
  <c r="AH40" i="15"/>
  <c r="AG40" i="15"/>
  <c r="AF40" i="15"/>
  <c r="AE40" i="15"/>
  <c r="AD40" i="15"/>
  <c r="AC40" i="15"/>
  <c r="X40" i="15"/>
  <c r="W40" i="15"/>
  <c r="V40" i="15"/>
  <c r="U40" i="15"/>
  <c r="T40" i="15"/>
  <c r="S40" i="15"/>
  <c r="R40" i="15"/>
  <c r="AI39" i="15"/>
  <c r="AH39" i="15"/>
  <c r="AG39" i="15"/>
  <c r="AF39" i="15"/>
  <c r="AE39" i="15"/>
  <c r="AM39" i="15" s="1"/>
  <c r="AD39" i="15"/>
  <c r="AC39" i="15"/>
  <c r="X39" i="15"/>
  <c r="W39" i="15"/>
  <c r="V39" i="15"/>
  <c r="U39" i="15"/>
  <c r="T39" i="15"/>
  <c r="S39" i="15"/>
  <c r="R39" i="15"/>
  <c r="AI38" i="15"/>
  <c r="AH38" i="15"/>
  <c r="AG38" i="15"/>
  <c r="AF38" i="15"/>
  <c r="AE38" i="15"/>
  <c r="AD38" i="15"/>
  <c r="AC38" i="15"/>
  <c r="X38" i="15"/>
  <c r="W38" i="15"/>
  <c r="V38" i="15"/>
  <c r="U38" i="15"/>
  <c r="T38" i="15"/>
  <c r="S38" i="15"/>
  <c r="R38" i="15"/>
  <c r="AI37" i="15"/>
  <c r="AH37" i="15"/>
  <c r="AG37" i="15"/>
  <c r="AF37" i="15"/>
  <c r="AE37" i="15"/>
  <c r="AD37" i="15"/>
  <c r="AC37" i="15"/>
  <c r="X37" i="15"/>
  <c r="W37" i="15"/>
  <c r="V37" i="15"/>
  <c r="U37" i="15"/>
  <c r="T37" i="15"/>
  <c r="S37" i="15"/>
  <c r="R37" i="15"/>
  <c r="Y37" i="15"/>
  <c r="AI36" i="15"/>
  <c r="AH36" i="15"/>
  <c r="AG36" i="15"/>
  <c r="AF36" i="15"/>
  <c r="AE36" i="15"/>
  <c r="AD36" i="15"/>
  <c r="AC36" i="15"/>
  <c r="X36" i="15"/>
  <c r="W36" i="15"/>
  <c r="V36" i="15"/>
  <c r="U36" i="15"/>
  <c r="T36" i="15"/>
  <c r="S36" i="15"/>
  <c r="R36" i="15"/>
  <c r="AI26" i="15"/>
  <c r="AH26" i="15"/>
  <c r="AG26" i="15"/>
  <c r="AF26" i="15"/>
  <c r="AE26" i="15"/>
  <c r="AD26" i="15"/>
  <c r="AC26" i="15"/>
  <c r="X26" i="15"/>
  <c r="W26" i="15"/>
  <c r="V26" i="15"/>
  <c r="U26" i="15"/>
  <c r="T26" i="15"/>
  <c r="S26" i="15"/>
  <c r="R26" i="15"/>
  <c r="AI25" i="15"/>
  <c r="AH25" i="15"/>
  <c r="AG25" i="15"/>
  <c r="AF25" i="15"/>
  <c r="AE25" i="15"/>
  <c r="AD25" i="15"/>
  <c r="AC25" i="15"/>
  <c r="X25" i="15"/>
  <c r="W25" i="15"/>
  <c r="V25" i="15"/>
  <c r="U25" i="15"/>
  <c r="T25" i="15"/>
  <c r="S25" i="15"/>
  <c r="R25" i="15"/>
  <c r="AI24" i="15"/>
  <c r="AH24" i="15"/>
  <c r="AG24" i="15"/>
  <c r="AF24" i="15"/>
  <c r="AE24" i="15"/>
  <c r="AD24" i="15"/>
  <c r="AC24" i="15"/>
  <c r="X24" i="15"/>
  <c r="W24" i="15"/>
  <c r="V24" i="15"/>
  <c r="U24" i="15"/>
  <c r="T24" i="15"/>
  <c r="S24" i="15"/>
  <c r="R24" i="15"/>
  <c r="Y24" i="15"/>
  <c r="AI23" i="15"/>
  <c r="AH23" i="15"/>
  <c r="AG23" i="15"/>
  <c r="AF23" i="15"/>
  <c r="AE23" i="15"/>
  <c r="AD23" i="15"/>
  <c r="AC23" i="15"/>
  <c r="X23" i="15"/>
  <c r="W23" i="15"/>
  <c r="V23" i="15"/>
  <c r="U23" i="15"/>
  <c r="T23" i="15"/>
  <c r="S23" i="15"/>
  <c r="R23" i="15"/>
  <c r="AI22" i="15"/>
  <c r="AH22" i="15"/>
  <c r="AG22" i="15"/>
  <c r="AF22" i="15"/>
  <c r="AE22" i="15"/>
  <c r="AD22" i="15"/>
  <c r="AC22" i="15"/>
  <c r="X22" i="15"/>
  <c r="W22" i="15"/>
  <c r="V22" i="15"/>
  <c r="U22" i="15"/>
  <c r="T22" i="15"/>
  <c r="S22" i="15"/>
  <c r="R22" i="15"/>
  <c r="AI21" i="15"/>
  <c r="AH21" i="15"/>
  <c r="AG21" i="15"/>
  <c r="AF21" i="15"/>
  <c r="AE21" i="15"/>
  <c r="AD21" i="15"/>
  <c r="AC21" i="15"/>
  <c r="X21" i="15"/>
  <c r="W21" i="15"/>
  <c r="V21" i="15"/>
  <c r="U21" i="15"/>
  <c r="T21" i="15"/>
  <c r="S21" i="15"/>
  <c r="R21" i="15"/>
  <c r="Y21" i="15"/>
  <c r="AI20" i="15"/>
  <c r="AH20" i="15"/>
  <c r="AG20" i="15"/>
  <c r="AF20" i="15"/>
  <c r="AE20" i="15"/>
  <c r="AD20" i="15"/>
  <c r="AC20" i="15"/>
  <c r="X20" i="15"/>
  <c r="W20" i="15"/>
  <c r="V20" i="15"/>
  <c r="U20" i="15"/>
  <c r="T20" i="15"/>
  <c r="S20" i="15"/>
  <c r="R20" i="15"/>
  <c r="AI19" i="15"/>
  <c r="AH19" i="15"/>
  <c r="AG19" i="15"/>
  <c r="AF19" i="15"/>
  <c r="AE19" i="15"/>
  <c r="AD19" i="15"/>
  <c r="AC19" i="15"/>
  <c r="X19" i="15"/>
  <c r="W19" i="15"/>
  <c r="V19" i="15"/>
  <c r="U19" i="15"/>
  <c r="T19" i="15"/>
  <c r="S19" i="15"/>
  <c r="R19" i="15"/>
  <c r="AI18" i="15"/>
  <c r="AH18" i="15"/>
  <c r="AG18" i="15"/>
  <c r="AF18" i="15"/>
  <c r="AE18" i="15"/>
  <c r="AD18" i="15"/>
  <c r="AC18" i="15"/>
  <c r="X18" i="15"/>
  <c r="W18" i="15"/>
  <c r="V18" i="15"/>
  <c r="U18" i="15"/>
  <c r="T18" i="15"/>
  <c r="S18" i="15"/>
  <c r="R18" i="15"/>
  <c r="AI17" i="15"/>
  <c r="AH17" i="15"/>
  <c r="AG17" i="15"/>
  <c r="AF17" i="15"/>
  <c r="AE17" i="15"/>
  <c r="AD17" i="15"/>
  <c r="AC17" i="15"/>
  <c r="X17" i="15"/>
  <c r="W17" i="15"/>
  <c r="V17" i="15"/>
  <c r="U17" i="15"/>
  <c r="T17" i="15"/>
  <c r="S17" i="15"/>
  <c r="R17" i="15"/>
  <c r="AI16" i="15"/>
  <c r="AH16" i="15"/>
  <c r="AG16" i="15"/>
  <c r="AF16" i="15"/>
  <c r="AE16" i="15"/>
  <c r="AD16" i="15"/>
  <c r="AC16" i="15"/>
  <c r="X16" i="15"/>
  <c r="W16" i="15"/>
  <c r="V16" i="15"/>
  <c r="U16" i="15"/>
  <c r="T16" i="15"/>
  <c r="S16" i="15"/>
  <c r="R16" i="15"/>
  <c r="AI15" i="15"/>
  <c r="AH15" i="15"/>
  <c r="AG15" i="15"/>
  <c r="AF15" i="15"/>
  <c r="AE15" i="15"/>
  <c r="AM15" i="15" s="1"/>
  <c r="AD15" i="15"/>
  <c r="AC15" i="15"/>
  <c r="X15" i="15"/>
  <c r="W15" i="15"/>
  <c r="V15" i="15"/>
  <c r="U15" i="15"/>
  <c r="T15" i="15"/>
  <c r="S15" i="15"/>
  <c r="R15" i="15"/>
  <c r="AI14" i="15"/>
  <c r="AH14" i="15"/>
  <c r="AG14" i="15"/>
  <c r="AF14" i="15"/>
  <c r="AE14" i="15"/>
  <c r="AD14" i="15"/>
  <c r="AC14" i="15"/>
  <c r="X14" i="15"/>
  <c r="W14" i="15"/>
  <c r="V14" i="15"/>
  <c r="U14" i="15"/>
  <c r="T14" i="15"/>
  <c r="S14" i="15"/>
  <c r="R14" i="15"/>
  <c r="Y14" i="15"/>
  <c r="AI13" i="15"/>
  <c r="AH13" i="15"/>
  <c r="AG13" i="15"/>
  <c r="AF13" i="15"/>
  <c r="AE13" i="15"/>
  <c r="AD13" i="15"/>
  <c r="AC13" i="15"/>
  <c r="X13" i="15"/>
  <c r="W13" i="15"/>
  <c r="V13" i="15"/>
  <c r="U13" i="15"/>
  <c r="T13" i="15"/>
  <c r="S13" i="15"/>
  <c r="R13" i="15"/>
  <c r="AI12" i="15"/>
  <c r="AH12" i="15"/>
  <c r="AG12" i="15"/>
  <c r="AF12" i="15"/>
  <c r="AE12" i="15"/>
  <c r="AD12" i="15"/>
  <c r="AC12" i="15"/>
  <c r="X12" i="15"/>
  <c r="W12" i="15"/>
  <c r="V12" i="15"/>
  <c r="U12" i="15"/>
  <c r="T12" i="15"/>
  <c r="S12" i="15"/>
  <c r="R12" i="15"/>
  <c r="AI11" i="15"/>
  <c r="AH11" i="15"/>
  <c r="AG11" i="15"/>
  <c r="AF11" i="15"/>
  <c r="AE11" i="15"/>
  <c r="AD11" i="15"/>
  <c r="AC11" i="15"/>
  <c r="X11" i="15"/>
  <c r="W11" i="15"/>
  <c r="V11" i="15"/>
  <c r="U11" i="15"/>
  <c r="T11" i="15"/>
  <c r="S11" i="15"/>
  <c r="R11" i="15"/>
  <c r="AI10" i="15"/>
  <c r="AH10" i="15"/>
  <c r="AG10" i="15"/>
  <c r="AF10" i="15"/>
  <c r="AE10" i="15"/>
  <c r="AD10" i="15"/>
  <c r="AC10" i="15"/>
  <c r="X10" i="15"/>
  <c r="W10" i="15"/>
  <c r="V10" i="15"/>
  <c r="U10" i="15"/>
  <c r="T10" i="15"/>
  <c r="S10" i="15"/>
  <c r="R10" i="15"/>
  <c r="AI9" i="15"/>
  <c r="AH9" i="15"/>
  <c r="AG9" i="15"/>
  <c r="AF9" i="15"/>
  <c r="AE9" i="15"/>
  <c r="AD9" i="15"/>
  <c r="AC9" i="15"/>
  <c r="X9" i="15"/>
  <c r="W9" i="15"/>
  <c r="V9" i="15"/>
  <c r="U9" i="15"/>
  <c r="T9" i="15"/>
  <c r="S9" i="15"/>
  <c r="R9" i="15"/>
  <c r="Y9" i="15"/>
  <c r="AI8" i="15"/>
  <c r="AH8" i="15"/>
  <c r="AG8" i="15"/>
  <c r="AF8" i="15"/>
  <c r="AE8" i="15"/>
  <c r="AD8" i="15"/>
  <c r="AC8" i="15"/>
  <c r="X8" i="15"/>
  <c r="W8" i="15"/>
  <c r="V8" i="15"/>
  <c r="U8" i="15"/>
  <c r="T8" i="15"/>
  <c r="S8" i="15"/>
  <c r="R8" i="15"/>
  <c r="AI7" i="15"/>
  <c r="AH7" i="15"/>
  <c r="AG7" i="15"/>
  <c r="AF7" i="15"/>
  <c r="AE7" i="15"/>
  <c r="AD7" i="15"/>
  <c r="AC7" i="15"/>
  <c r="X7" i="15"/>
  <c r="W7" i="15"/>
  <c r="V7" i="15"/>
  <c r="U7" i="15"/>
  <c r="T7" i="15"/>
  <c r="S7" i="15"/>
  <c r="R7" i="15"/>
  <c r="S74" i="17" l="1"/>
  <c r="AP41" i="17"/>
  <c r="S70" i="17"/>
  <c r="AP42" i="17"/>
  <c r="AP26" i="17"/>
  <c r="AP14" i="17"/>
  <c r="R61" i="17"/>
  <c r="R63" i="17"/>
  <c r="R65" i="17"/>
  <c r="R62" i="17"/>
  <c r="R73" i="17"/>
  <c r="R69" i="17"/>
  <c r="R66" i="17"/>
  <c r="AP47" i="17"/>
  <c r="AP11" i="17"/>
  <c r="S73" i="17"/>
  <c r="R78" i="17"/>
  <c r="AP52" i="17"/>
  <c r="S68" i="17"/>
  <c r="R67" i="17"/>
  <c r="AP22" i="17"/>
  <c r="AP37" i="17"/>
  <c r="S63" i="17"/>
  <c r="AP12" i="17"/>
  <c r="S62" i="17"/>
  <c r="AP39" i="17"/>
  <c r="S67" i="17"/>
  <c r="S59" i="17"/>
  <c r="R71" i="17"/>
  <c r="R75" i="17"/>
  <c r="AP43" i="17"/>
  <c r="AP54" i="17"/>
  <c r="AP19" i="17"/>
  <c r="AP38" i="17"/>
  <c r="AP55" i="17"/>
  <c r="AP25" i="17"/>
  <c r="S75" i="17"/>
  <c r="AP15" i="17"/>
  <c r="AP44" i="17"/>
  <c r="AP40" i="17"/>
  <c r="AP50" i="17"/>
  <c r="AP45" i="17"/>
  <c r="AP48" i="17"/>
  <c r="AP36" i="17"/>
  <c r="AP8" i="17"/>
  <c r="R60" i="17"/>
  <c r="AP20" i="17"/>
  <c r="R72" i="17"/>
  <c r="AP24" i="17"/>
  <c r="R76" i="17"/>
  <c r="AP23" i="17"/>
  <c r="AP7" i="17"/>
  <c r="AP16" i="17"/>
  <c r="R68" i="17"/>
  <c r="AM43" i="15"/>
  <c r="AM47" i="15"/>
  <c r="AM51" i="15"/>
  <c r="AM55" i="15"/>
  <c r="AM10" i="15"/>
  <c r="AM14" i="15"/>
  <c r="AP14" i="15" s="1"/>
  <c r="AM18" i="15"/>
  <c r="AM22" i="15"/>
  <c r="AM26" i="15"/>
  <c r="Y10" i="15"/>
  <c r="AP10" i="15" s="1"/>
  <c r="Y26" i="15"/>
  <c r="Y39" i="15"/>
  <c r="S62" i="15" s="1"/>
  <c r="Y43" i="15"/>
  <c r="S66" i="15" s="1"/>
  <c r="Y47" i="15"/>
  <c r="S70" i="15" s="1"/>
  <c r="Y51" i="15"/>
  <c r="S74" i="15" s="1"/>
  <c r="Y55" i="15"/>
  <c r="Y7" i="15"/>
  <c r="R59" i="15" s="1"/>
  <c r="AM7" i="15"/>
  <c r="AM8" i="15"/>
  <c r="Y11" i="15"/>
  <c r="Y12" i="15"/>
  <c r="AM12" i="15"/>
  <c r="AP12" i="15" s="1"/>
  <c r="AM13" i="15"/>
  <c r="R65" i="15" s="1"/>
  <c r="Y15" i="15"/>
  <c r="R67" i="15" s="1"/>
  <c r="AM16" i="15"/>
  <c r="Y19" i="15"/>
  <c r="AP19" i="15" s="1"/>
  <c r="Y20" i="15"/>
  <c r="AM20" i="15"/>
  <c r="AM21" i="15"/>
  <c r="AP21" i="15" s="1"/>
  <c r="Y23" i="15"/>
  <c r="AP23" i="15" s="1"/>
  <c r="AM23" i="15"/>
  <c r="AM24" i="15"/>
  <c r="R76" i="15" s="1"/>
  <c r="Y36" i="15"/>
  <c r="AM36" i="15"/>
  <c r="S59" i="15" s="1"/>
  <c r="AM37" i="15"/>
  <c r="S60" i="15" s="1"/>
  <c r="Y40" i="15"/>
  <c r="AM40" i="15"/>
  <c r="AM41" i="15"/>
  <c r="S64" i="15" s="1"/>
  <c r="Y44" i="15"/>
  <c r="AM44" i="15"/>
  <c r="AM45" i="15"/>
  <c r="S68" i="15" s="1"/>
  <c r="Y48" i="15"/>
  <c r="AM48" i="15"/>
  <c r="AM49" i="15"/>
  <c r="AP49" i="15" s="1"/>
  <c r="Y52" i="15"/>
  <c r="AM52" i="15"/>
  <c r="AM53" i="15"/>
  <c r="S76" i="15" s="1"/>
  <c r="AM9" i="15"/>
  <c r="R61" i="15" s="1"/>
  <c r="AM25" i="15"/>
  <c r="AP25" i="15" s="1"/>
  <c r="AM38" i="15"/>
  <c r="AP38" i="15" s="1"/>
  <c r="AM42" i="15"/>
  <c r="AP42" i="15" s="1"/>
  <c r="AM46" i="15"/>
  <c r="S69" i="15" s="1"/>
  <c r="AM50" i="15"/>
  <c r="AP50" i="15" s="1"/>
  <c r="AM54" i="15"/>
  <c r="AP54" i="15" s="1"/>
  <c r="AP15" i="15"/>
  <c r="R66" i="15"/>
  <c r="R75" i="15"/>
  <c r="S63" i="15"/>
  <c r="R73" i="15"/>
  <c r="R74" i="15"/>
  <c r="AP22" i="15"/>
  <c r="AP24" i="15"/>
  <c r="R77" i="15"/>
  <c r="AP41" i="15"/>
  <c r="AM11" i="15"/>
  <c r="Y18" i="15"/>
  <c r="AP26" i="15"/>
  <c r="AP39" i="15"/>
  <c r="AP43" i="15"/>
  <c r="AP47" i="15"/>
  <c r="AP51" i="15"/>
  <c r="AP55" i="15"/>
  <c r="S75" i="15"/>
  <c r="Y8" i="15"/>
  <c r="AP9" i="15"/>
  <c r="Y16" i="15"/>
  <c r="AM17" i="15"/>
  <c r="AP17" i="15" s="1"/>
  <c r="AM19" i="15"/>
  <c r="S61" i="15"/>
  <c r="S73" i="15"/>
  <c r="S77" i="15"/>
  <c r="S78" i="15" l="1"/>
  <c r="S71" i="15"/>
  <c r="AP44" i="15"/>
  <c r="AP46" i="15"/>
  <c r="S72" i="15"/>
  <c r="R62" i="15"/>
  <c r="R63" i="15"/>
  <c r="R71" i="15"/>
  <c r="AP20" i="15"/>
  <c r="R78" i="15"/>
  <c r="R64" i="15"/>
  <c r="AP7" i="15"/>
  <c r="AP53" i="15"/>
  <c r="S67" i="15"/>
  <c r="R72" i="15"/>
  <c r="AP13" i="15"/>
  <c r="AP48" i="15"/>
  <c r="AP37" i="15"/>
  <c r="AP11" i="15"/>
  <c r="AP52" i="15"/>
  <c r="AP36" i="15"/>
  <c r="S65" i="15"/>
  <c r="R69" i="15"/>
  <c r="AP45" i="15"/>
  <c r="AP40" i="15"/>
  <c r="AP8" i="15"/>
  <c r="R60" i="15"/>
  <c r="R70" i="15"/>
  <c r="AP18" i="15"/>
  <c r="AP16" i="15"/>
  <c r="R68" i="15"/>
  <c r="L12" i="4" l="1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11" i="4"/>
  <c r="K11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</calcChain>
</file>

<file path=xl/sharedStrings.xml><?xml version="1.0" encoding="utf-8"?>
<sst xmlns="http://schemas.openxmlformats.org/spreadsheetml/2006/main" count="90" uniqueCount="42">
  <si>
    <t>Lambda</t>
  </si>
  <si>
    <t>a</t>
  </si>
  <si>
    <t>b</t>
  </si>
  <si>
    <t>i</t>
  </si>
  <si>
    <t xml:space="preserve"> </t>
  </si>
  <si>
    <t>New Treatment</t>
  </si>
  <si>
    <t>Type</t>
  </si>
  <si>
    <t>X denotes the initial platform</t>
  </si>
  <si>
    <t xml:space="preserve">Y denotes the new platform </t>
  </si>
  <si>
    <t>Original Treatment</t>
  </si>
  <si>
    <t>New Treatment (1Y)</t>
  </si>
  <si>
    <t>The difference between the original treatment and the new treatment is a change in the payoff from standing alone on the new platform.</t>
  </si>
  <si>
    <t xml:space="preserve">The payoff is the curve 1Yo for the original treatment and 1Y for the ``new'' treatment. </t>
  </si>
  <si>
    <t>We may think of the payoff from standing alone on the new platform as being parameterized as B(1Y, i) = a+b*i</t>
  </si>
  <si>
    <t>B(1X,i)</t>
  </si>
  <si>
    <t>B(2X,i)</t>
  </si>
  <si>
    <t>B(1Yo,i)</t>
  </si>
  <si>
    <t>B(1Y,i)</t>
  </si>
  <si>
    <t>B(2Y,i)</t>
  </si>
  <si>
    <t>B(1Yo)=i</t>
  </si>
  <si>
    <t>a=0</t>
  </si>
  <si>
    <t>b=1</t>
  </si>
  <si>
    <t>Values in the table give the probability that a player of given type will GO given a particular level of noise</t>
  </si>
  <si>
    <t>EU(GO, i=5.5)</t>
  </si>
  <si>
    <t>EU(Stay, i=5.5)</t>
  </si>
  <si>
    <t>Pr(GO, i=5.5)</t>
  </si>
  <si>
    <t>U(GO, i=5.5)</t>
  </si>
  <si>
    <t>U(Stay, i=5.5)</t>
  </si>
  <si>
    <t>U(GO, i=6.5)</t>
  </si>
  <si>
    <t>U(Stay, i=6.5)</t>
  </si>
  <si>
    <t>EU(GO, i=6.5)</t>
  </si>
  <si>
    <t>Pr(GO, i=6.5)</t>
  </si>
  <si>
    <t>Expected loss</t>
  </si>
  <si>
    <t>i=5.5</t>
  </si>
  <si>
    <t>i=6.5</t>
  </si>
  <si>
    <t>New</t>
  </si>
  <si>
    <t>Old</t>
  </si>
  <si>
    <t>Feil 6.5</t>
  </si>
  <si>
    <t>B(X,1)</t>
  </si>
  <si>
    <t>B(X,2)</t>
  </si>
  <si>
    <t>B(Y,1)</t>
  </si>
  <si>
    <t>B(Y,2)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</si>
</sst>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164" fontId="1" fillId="0" borderId="2" xfId="0" applyNumberFormat="1" applyFont="1" applyBorder="1"/>
    <xf numFmtId="165" fontId="0" fillId="0" borderId="0" xfId="0" applyNumberFormat="1"/>
    <xf numFmtId="164" fontId="1" fillId="0" borderId="0" xfId="0" applyNumberFormat="1" applyFont="1" applyBorder="1" applyAlignment="1">
      <alignment horizontal="center"/>
    </xf>
    <xf numFmtId="166" fontId="0" fillId="0" borderId="0" xfId="0" applyNumberFormat="1"/>
    <xf numFmtId="164" fontId="0" fillId="0" borderId="0" xfId="0" applyNumberFormat="1" applyBorder="1"/>
    <xf numFmtId="164" fontId="1" fillId="0" borderId="0" xfId="0" applyNumberFormat="1" applyFont="1"/>
    <xf numFmtId="164" fontId="1" fillId="0" borderId="1" xfId="0" applyNumberFormat="1" applyFont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677580842935174"/>
          <c:y val="4.1689371352852736E-2"/>
          <c:w val="0.77313795235055083"/>
          <c:h val="0.90639696251560786"/>
        </c:manualLayout>
      </c:layout>
      <c:lineChart>
        <c:grouping val="standard"/>
        <c:varyColors val="0"/>
        <c:ser>
          <c:idx val="1"/>
          <c:order val="0"/>
          <c:tx>
            <c:strRef>
              <c:f>'Benefit functions'!$L$10</c:f>
              <c:strCache>
                <c:ptCount val="1"/>
                <c:pt idx="0">
                  <c:v>B(2Y,i)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functions'!$L$11:$L$31</c:f>
              <c:numCache>
                <c:formatCode>General</c:formatCode>
                <c:ptCount val="21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'Benefit functions'!$H$10</c:f>
              <c:strCache>
                <c:ptCount val="1"/>
                <c:pt idx="0">
                  <c:v>B(1X,i)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functions'!$H$11:$H$31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'Benefit functions'!$I$10</c:f>
              <c:strCache>
                <c:ptCount val="1"/>
                <c:pt idx="0">
                  <c:v>B(2X,i)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functions'!$I$11:$I$31</c:f>
              <c:numCache>
                <c:formatCode>General</c:formatCode>
                <c:ptCount val="2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smooth val="0"/>
        </c:ser>
        <c:ser>
          <c:idx val="0"/>
          <c:order val="3"/>
          <c:tx>
            <c:strRef>
              <c:f>'Benefit functions'!$J$10</c:f>
              <c:strCache>
                <c:ptCount val="1"/>
                <c:pt idx="0">
                  <c:v>B(1Yo,i)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functions'!$J$11:$J$31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'Benefit functions'!$K$10</c:f>
              <c:strCache>
                <c:ptCount val="1"/>
                <c:pt idx="0">
                  <c:v>B(1Y,i)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functions'!$K$11:$K$31</c:f>
              <c:numCache>
                <c:formatCode>General</c:formatCode>
                <c:ptCount val="21"/>
                <c:pt idx="0">
                  <c:v>2.4</c:v>
                </c:pt>
                <c:pt idx="1">
                  <c:v>2.6999999999999997</c:v>
                </c:pt>
                <c:pt idx="2">
                  <c:v>3</c:v>
                </c:pt>
                <c:pt idx="3">
                  <c:v>3.3</c:v>
                </c:pt>
                <c:pt idx="4">
                  <c:v>3.5999999999999996</c:v>
                </c:pt>
                <c:pt idx="5">
                  <c:v>3.9</c:v>
                </c:pt>
                <c:pt idx="6">
                  <c:v>4.1999999999999993</c:v>
                </c:pt>
                <c:pt idx="7">
                  <c:v>4.5</c:v>
                </c:pt>
                <c:pt idx="8">
                  <c:v>4.8</c:v>
                </c:pt>
                <c:pt idx="9">
                  <c:v>5.0999999999999996</c:v>
                </c:pt>
                <c:pt idx="10">
                  <c:v>5.4</c:v>
                </c:pt>
                <c:pt idx="11">
                  <c:v>5.6999999999999993</c:v>
                </c:pt>
                <c:pt idx="12">
                  <c:v>6</c:v>
                </c:pt>
                <c:pt idx="13">
                  <c:v>6.3</c:v>
                </c:pt>
                <c:pt idx="14">
                  <c:v>6.6</c:v>
                </c:pt>
                <c:pt idx="15">
                  <c:v>6.9</c:v>
                </c:pt>
                <c:pt idx="16">
                  <c:v>7.1999999999999993</c:v>
                </c:pt>
                <c:pt idx="17">
                  <c:v>7.5</c:v>
                </c:pt>
                <c:pt idx="18">
                  <c:v>7.7999999999999989</c:v>
                </c:pt>
                <c:pt idx="19">
                  <c:v>8.1</c:v>
                </c:pt>
                <c:pt idx="20">
                  <c:v>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60480"/>
        <c:axId val="91066368"/>
      </c:lineChart>
      <c:catAx>
        <c:axId val="9106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066368"/>
        <c:crosses val="autoZero"/>
        <c:auto val="1"/>
        <c:lblAlgn val="ctr"/>
        <c:lblOffset val="100"/>
        <c:tickMarkSkip val="2"/>
        <c:noMultiLvlLbl val="0"/>
      </c:catAx>
      <c:valAx>
        <c:axId val="9106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060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'Original, i&gt;7 can correct error'!$F$1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'Original, i&gt;7 can correct error'!$A$2:$A$201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'Original, i&gt;7 can correct error'!$F$2:$F$201</c:f>
              <c:numCache>
                <c:formatCode>0.000</c:formatCode>
                <c:ptCount val="200"/>
                <c:pt idx="0">
                  <c:v>0.49243263126901898</c:v>
                </c:pt>
                <c:pt idx="1">
                  <c:v>0.48216887455894702</c:v>
                </c:pt>
                <c:pt idx="2">
                  <c:v>0.46930178321920202</c:v>
                </c:pt>
                <c:pt idx="3">
                  <c:v>0.45417266489156399</c:v>
                </c:pt>
                <c:pt idx="4">
                  <c:v>0.43729515027437399</c:v>
                </c:pt>
                <c:pt idx="5">
                  <c:v>0.41922883179538301</c:v>
                </c:pt>
                <c:pt idx="6">
                  <c:v>0.40047272371265102</c:v>
                </c:pt>
                <c:pt idx="7">
                  <c:v>0.38141586596736599</c:v>
                </c:pt>
                <c:pt idx="8">
                  <c:v>0.36233665038874302</c:v>
                </c:pt>
                <c:pt idx="9">
                  <c:v>0.34342535361829701</c:v>
                </c:pt>
                <c:pt idx="10">
                  <c:v>0.32481053160242801</c:v>
                </c:pt>
                <c:pt idx="11">
                  <c:v>0.30658074421572701</c:v>
                </c:pt>
                <c:pt idx="12">
                  <c:v>0.28879979349800999</c:v>
                </c:pt>
                <c:pt idx="13">
                  <c:v>0.271516390114864</c:v>
                </c:pt>
                <c:pt idx="14">
                  <c:v>0.25476988185912702</c:v>
                </c:pt>
                <c:pt idx="15">
                  <c:v>0.23859331342756401</c:v>
                </c:pt>
                <c:pt idx="16">
                  <c:v>0.223014911217915</c:v>
                </c:pt>
                <c:pt idx="17">
                  <c:v>0.20805858850546899</c:v>
                </c:pt>
                <c:pt idx="18">
                  <c:v>0.19374399621893801</c:v>
                </c:pt>
                <c:pt idx="19">
                  <c:v>0.180086328396768</c:v>
                </c:pt>
                <c:pt idx="20">
                  <c:v>0.16709611065232099</c:v>
                </c:pt>
                <c:pt idx="21">
                  <c:v>0.15477905007324899</c:v>
                </c:pt>
                <c:pt idx="22">
                  <c:v>0.143135980352499</c:v>
                </c:pt>
                <c:pt idx="23">
                  <c:v>0.132162957409861</c:v>
                </c:pt>
                <c:pt idx="24">
                  <c:v>0.12185148397687</c:v>
                </c:pt>
                <c:pt idx="25">
                  <c:v>0.112188835589102</c:v>
                </c:pt>
                <c:pt idx="26">
                  <c:v>0.103158494451528</c:v>
                </c:pt>
                <c:pt idx="27">
                  <c:v>9.4740641504358E-2</c:v>
                </c:pt>
                <c:pt idx="28">
                  <c:v>8.6912689156390305E-2</c:v>
                </c:pt>
                <c:pt idx="29">
                  <c:v>7.9649828255216604E-2</c:v>
                </c:pt>
                <c:pt idx="30">
                  <c:v>7.2925567616521803E-2</c:v>
                </c:pt>
                <c:pt idx="31">
                  <c:v>6.6712248440593203E-2</c:v>
                </c:pt>
                <c:pt idx="32">
                  <c:v>6.0981520216448599E-2</c:v>
                </c:pt>
                <c:pt idx="33">
                  <c:v>5.5704768872064499E-2</c:v>
                </c:pt>
                <c:pt idx="34">
                  <c:v>5.0853491709353202E-2</c:v>
                </c:pt>
                <c:pt idx="35">
                  <c:v>4.6399616904444899E-2</c:v>
                </c:pt>
                <c:pt idx="36">
                  <c:v>4.2315767983289697E-2</c:v>
                </c:pt>
                <c:pt idx="37">
                  <c:v>3.8575475691768002E-2</c:v>
                </c:pt>
                <c:pt idx="38">
                  <c:v>3.5153341107442601E-2</c:v>
                </c:pt>
                <c:pt idx="39">
                  <c:v>3.20251547553781E-2</c:v>
                </c:pt>
                <c:pt idx="40">
                  <c:v>2.9167977434926901E-2</c:v>
                </c:pt>
                <c:pt idx="41">
                  <c:v>2.65601853333833E-2</c:v>
                </c:pt>
                <c:pt idx="42">
                  <c:v>2.4181491924880699E-2</c:v>
                </c:pt>
                <c:pt idx="43">
                  <c:v>2.2012941765858898E-2</c:v>
                </c:pt>
                <c:pt idx="44">
                  <c:v>2.0036888350798199E-2</c:v>
                </c:pt>
                <c:pt idx="45">
                  <c:v>1.8236957318968499E-2</c:v>
                </c:pt>
                <c:pt idx="46">
                  <c:v>1.65979971041402E-2</c:v>
                </c:pt>
                <c:pt idx="47">
                  <c:v>1.5106025267761201E-2</c:v>
                </c:pt>
                <c:pt idx="48">
                  <c:v>1.3748165997351E-2</c:v>
                </c:pt>
                <c:pt idx="49">
                  <c:v>1.2512586383126301E-2</c:v>
                </c:pt>
                <c:pt idx="50">
                  <c:v>1.13884311679375E-2</c:v>
                </c:pt>
                <c:pt idx="51">
                  <c:v>1.0365756342874E-2</c:v>
                </c:pt>
                <c:pt idx="52">
                  <c:v>9.4354662268125999E-3</c:v>
                </c:pt>
                <c:pt idx="53">
                  <c:v>8.5892499325307698E-3</c:v>
                </c:pt>
                <c:pt idx="54">
                  <c:v>7.8195217843883991E-3</c:v>
                </c:pt>
                <c:pt idx="55">
                  <c:v>7.1193633581781201E-3</c:v>
                </c:pt>
                <c:pt idx="56">
                  <c:v>6.4824706800427996E-3</c:v>
                </c:pt>
                <c:pt idx="57">
                  <c:v>5.9031026017994101E-3</c:v>
                </c:pt>
                <c:pt idx="58">
                  <c:v>5.3760335884193797E-3</c:v>
                </c:pt>
                <c:pt idx="59">
                  <c:v>4.8965097288343803E-3</c:v>
                </c:pt>
                <c:pt idx="60">
                  <c:v>4.4602072316898399E-3</c:v>
                </c:pt>
                <c:pt idx="61">
                  <c:v>4.0631955770469904E-3</c:v>
                </c:pt>
                <c:pt idx="62">
                  <c:v>3.7019020618848401E-3</c:v>
                </c:pt>
                <c:pt idx="63">
                  <c:v>3.3730799883116302E-3</c:v>
                </c:pt>
                <c:pt idx="64">
                  <c:v>3.07377933769296E-3</c:v>
                </c:pt>
                <c:pt idx="65">
                  <c:v>2.8013200392312601E-3</c:v>
                </c:pt>
                <c:pt idx="66">
                  <c:v>2.55326698531719E-3</c:v>
                </c:pt>
                <c:pt idx="67">
                  <c:v>2.3274083479275999E-3</c:v>
                </c:pt>
                <c:pt idx="68">
                  <c:v>2.1217346858855902E-3</c:v>
                </c:pt>
                <c:pt idx="69">
                  <c:v>1.93442048504951E-3</c:v>
                </c:pt>
                <c:pt idx="70">
                  <c:v>1.7638072465248999E-3</c:v>
                </c:pt>
                <c:pt idx="71">
                  <c:v>1.60838810867503E-3</c:v>
                </c:pt>
                <c:pt idx="72">
                  <c:v>1.46679396980239E-3</c:v>
                </c:pt>
                <c:pt idx="73">
                  <c:v>1.3377803953108999E-3</c:v>
                </c:pt>
                <c:pt idx="74">
                  <c:v>1.2202167027154599E-3</c:v>
                </c:pt>
                <c:pt idx="75">
                  <c:v>1.1130750833923001E-3</c:v>
                </c:pt>
                <c:pt idx="76">
                  <c:v>1.01542121565507E-3</c:v>
                </c:pt>
                <c:pt idx="77">
                  <c:v>9.2640565130313701E-4</c:v>
                </c:pt>
                <c:pt idx="78">
                  <c:v>8.4525600179528198E-4</c:v>
                </c:pt>
                <c:pt idx="79">
                  <c:v>7.7126985043400001E-4</c:v>
                </c:pt>
                <c:pt idx="80">
                  <c:v>7.0380832340022597E-4</c:v>
                </c:pt>
                <c:pt idx="81">
                  <c:v>6.4229036712059901E-4</c:v>
                </c:pt>
                <c:pt idx="82">
                  <c:v>5.8618702006225996E-4</c:v>
                </c:pt>
                <c:pt idx="83">
                  <c:v>5.3501727997500904E-4</c:v>
                </c:pt>
                <c:pt idx="84">
                  <c:v>4.8834330301823303E-4</c:v>
                </c:pt>
                <c:pt idx="85">
                  <c:v>4.4576656840486999E-4</c:v>
                </c:pt>
                <c:pt idx="86">
                  <c:v>4.0692429546975697E-4</c:v>
                </c:pt>
                <c:pt idx="87">
                  <c:v>3.7148619230373698E-4</c:v>
                </c:pt>
                <c:pt idx="88">
                  <c:v>3.3915150486751899E-4</c:v>
                </c:pt>
                <c:pt idx="89">
                  <c:v>3.0964633842268702E-4</c:v>
                </c:pt>
                <c:pt idx="90">
                  <c:v>2.8272122577207702E-4</c:v>
                </c:pt>
                <c:pt idx="91">
                  <c:v>2.5814891921030302E-4</c:v>
                </c:pt>
                <c:pt idx="92">
                  <c:v>2.3572238526860099E-4</c:v>
                </c:pt>
                <c:pt idx="93">
                  <c:v>2.1525298331676599E-4</c:v>
                </c:pt>
                <c:pt idx="94">
                  <c:v>1.9656881087658701E-4</c:v>
                </c:pt>
                <c:pt idx="95">
                  <c:v>1.7951320012310899E-4</c:v>
                </c:pt>
                <c:pt idx="96">
                  <c:v>1.6394350240594801E-4</c:v>
                </c:pt>
                <c:pt idx="97">
                  <c:v>1.49729240956403E-4</c:v>
                </c:pt>
                <c:pt idx="98">
                  <c:v>1.3675189260814401E-4</c:v>
                </c:pt>
                <c:pt idx="99">
                  <c:v>1.2490325197350599E-4</c:v>
                </c:pt>
                <c:pt idx="100">
                  <c:v>1.14084650603387E-4</c:v>
                </c:pt>
                <c:pt idx="101">
                  <c:v>1.0420610774223E-4</c:v>
                </c:pt>
                <c:pt idx="102">
                  <c:v>9.5185557736109105E-5</c:v>
                </c:pt>
                <c:pt idx="103">
                  <c:v>8.6948147058397898E-5</c:v>
                </c:pt>
                <c:pt idx="104">
                  <c:v>7.9425594575605404E-5</c:v>
                </c:pt>
                <c:pt idx="105">
                  <c:v>7.2555609271340898E-5</c:v>
                </c:pt>
                <c:pt idx="106">
                  <c:v>6.6281360185081601E-5</c:v>
                </c:pt>
                <c:pt idx="107">
                  <c:v>6.0550993810001701E-5</c:v>
                </c:pt>
                <c:pt idx="108">
                  <c:v>5.5317194635415497E-5</c:v>
                </c:pt>
                <c:pt idx="109">
                  <c:v>5.0536784918916903E-5</c:v>
                </c:pt>
                <c:pt idx="110">
                  <c:v>4.6170360135082698E-5</c:v>
                </c:pt>
                <c:pt idx="111">
                  <c:v>4.2181956875240998E-5</c:v>
                </c:pt>
                <c:pt idx="112">
                  <c:v>3.8538750269657297E-5</c:v>
                </c:pt>
                <c:pt idx="113">
                  <c:v>3.5210778272389199E-5</c:v>
                </c:pt>
                <c:pt idx="114">
                  <c:v>3.2170690392823401E-5</c:v>
                </c:pt>
                <c:pt idx="115">
                  <c:v>2.9393518678843498E-5</c:v>
                </c:pt>
                <c:pt idx="116">
                  <c:v>2.6856468956913001E-5</c:v>
                </c:pt>
                <c:pt idx="117">
                  <c:v>2.45387305160302E-5</c:v>
                </c:pt>
                <c:pt idx="118">
                  <c:v>2.2421302587330301E-5</c:v>
                </c:pt>
                <c:pt idx="119">
                  <c:v>2.0486836120643001E-5</c:v>
                </c:pt>
                <c:pt idx="120">
                  <c:v>1.8719489495019701E-5</c:v>
                </c:pt>
                <c:pt idx="121">
                  <c:v>1.7104796923440901E-5</c:v>
                </c:pt>
                <c:pt idx="122">
                  <c:v>1.56295484237717E-5</c:v>
                </c:pt>
                <c:pt idx="123">
                  <c:v>1.42816803295985E-5</c:v>
                </c:pt>
                <c:pt idx="124">
                  <c:v>1.30501754068644E-5</c:v>
                </c:pt>
                <c:pt idx="125">
                  <c:v>1.19249717260545E-5</c:v>
                </c:pt>
                <c:pt idx="126">
                  <c:v>1.08968795158574E-5</c:v>
                </c:pt>
                <c:pt idx="127">
                  <c:v>9.9577587814567998E-6</c:v>
                </c:pt>
                <c:pt idx="128">
                  <c:v>9.0994355108035902E-6</c:v>
                </c:pt>
                <c:pt idx="129">
                  <c:v>8.3151612615597503E-6</c:v>
                </c:pt>
                <c:pt idx="130">
                  <c:v>7.5985396740572796E-6</c:v>
                </c:pt>
                <c:pt idx="131">
                  <c:v>6.9437279558322099E-6</c:v>
                </c:pt>
                <c:pt idx="132">
                  <c:v>6.34538883722504E-6</c:v>
                </c:pt>
                <c:pt idx="133">
                  <c:v>5.7986467143858003E-6</c:v>
                </c:pt>
                <c:pt idx="134">
                  <c:v>5.2990476124734803E-6</c:v>
                </c:pt>
                <c:pt idx="135">
                  <c:v>4.8425226343231197E-6</c:v>
                </c:pt>
                <c:pt idx="136">
                  <c:v>4.4253545894337803E-6</c:v>
                </c:pt>
                <c:pt idx="137">
                  <c:v>4.0441475250593604E-6</c:v>
                </c:pt>
                <c:pt idx="138">
                  <c:v>3.69579890571848E-6</c:v>
                </c:pt>
                <c:pt idx="139">
                  <c:v>3.3774742097753699E-6</c:v>
                </c:pt>
                <c:pt idx="140">
                  <c:v>3.0865837321023602E-6</c:v>
                </c:pt>
                <c:pt idx="141">
                  <c:v>2.82076140037665E-6</c:v>
                </c:pt>
                <c:pt idx="142">
                  <c:v>2.5778454294631899E-6</c:v>
                </c:pt>
                <c:pt idx="143">
                  <c:v>2.3558606537381499E-6</c:v>
                </c:pt>
                <c:pt idx="144">
                  <c:v>2.1530023912416999E-6</c:v>
                </c:pt>
                <c:pt idx="145">
                  <c:v>1.9676217063489799E-6</c:v>
                </c:pt>
                <c:pt idx="146">
                  <c:v>1.79821194931132E-6</c:v>
                </c:pt>
                <c:pt idx="147">
                  <c:v>1.64339646165893E-6</c:v>
                </c:pt>
                <c:pt idx="148">
                  <c:v>1.5019173461554001E-6</c:v>
                </c:pt>
                <c:pt idx="149">
                  <c:v>1.37262520884017E-6</c:v>
                </c:pt>
                <c:pt idx="150">
                  <c:v>1.2544697887645501E-6</c:v>
                </c:pt>
                <c:pt idx="151">
                  <c:v>1.14649139838456E-6</c:v>
                </c:pt>
                <c:pt idx="152">
                  <c:v>1.0478131042891301E-6</c:v>
                </c:pt>
                <c:pt idx="153">
                  <c:v>9.5763358406545406E-7</c:v>
                </c:pt>
                <c:pt idx="154">
                  <c:v>8.7522060069307304E-7</c:v>
                </c:pt>
                <c:pt idx="155">
                  <c:v>7.9990504095583796E-7</c:v>
                </c:pt>
                <c:pt idx="156">
                  <c:v>7.3107546901472898E-7</c:v>
                </c:pt>
                <c:pt idx="157">
                  <c:v>6.6817315053082001E-7</c:v>
                </c:pt>
                <c:pt idx="158">
                  <c:v>6.1068750660263697E-7</c:v>
                </c:pt>
                <c:pt idx="159">
                  <c:v>5.5815196031956798E-7</c:v>
                </c:pt>
                <c:pt idx="160">
                  <c:v>5.1014014196182404E-7</c:v>
                </c:pt>
                <c:pt idx="161">
                  <c:v>4.6626242182422901E-7</c:v>
                </c:pt>
                <c:pt idx="162">
                  <c:v>4.2616274233190202E-7</c:v>
                </c:pt>
                <c:pt idx="163">
                  <c:v>3.89515723571822E-7</c:v>
                </c:pt>
                <c:pt idx="164">
                  <c:v>3.5602401860707502E-7</c:v>
                </c:pt>
                <c:pt idx="165">
                  <c:v>3.2541589698761998E-7</c:v>
                </c:pt>
                <c:pt idx="166">
                  <c:v>2.9744303674128702E-7</c:v>
                </c:pt>
                <c:pt idx="167">
                  <c:v>2.7187850683521901E-7</c:v>
                </c:pt>
                <c:pt idx="168">
                  <c:v>2.48514923657443E-7</c:v>
                </c:pt>
                <c:pt idx="169">
                  <c:v>2.2716276649094999E-7</c:v>
                </c:pt>
                <c:pt idx="170">
                  <c:v>2.0764883825332501E-7</c:v>
                </c:pt>
                <c:pt idx="171">
                  <c:v>1.8981485896153301E-7</c:v>
                </c:pt>
                <c:pt idx="172">
                  <c:v>1.7351618046627599E-7</c:v>
                </c:pt>
                <c:pt idx="173">
                  <c:v>1.58620611990211E-7</c:v>
                </c:pt>
                <c:pt idx="174">
                  <c:v>1.4500734690895E-7</c:v>
                </c:pt>
                <c:pt idx="175">
                  <c:v>1.3256598204004E-7</c:v>
                </c:pt>
                <c:pt idx="176">
                  <c:v>1.2119562145942601E-7</c:v>
                </c:pt>
                <c:pt idx="177">
                  <c:v>1.1080405755450699E-7</c:v>
                </c:pt>
                <c:pt idx="178">
                  <c:v>1.01307022652268E-7</c:v>
                </c:pt>
                <c:pt idx="179">
                  <c:v>9.2627505136349598E-8</c:v>
                </c:pt>
                <c:pt idx="180">
                  <c:v>8.4695124492183097E-8</c:v>
                </c:pt>
                <c:pt idx="181">
                  <c:v>7.7445560199389606E-8</c:v>
                </c:pt>
                <c:pt idx="182">
                  <c:v>7.0820029829117202E-8</c:v>
                </c:pt>
                <c:pt idx="183">
                  <c:v>6.4764812104573104E-8</c:v>
                </c:pt>
                <c:pt idx="184">
                  <c:v>5.9230811048981399E-8</c:v>
                </c:pt>
                <c:pt idx="185">
                  <c:v>5.41731576795932E-8</c:v>
                </c:pt>
                <c:pt idx="186">
                  <c:v>4.9550846011801203E-8</c:v>
                </c:pt>
                <c:pt idx="187">
                  <c:v>4.5326400416537703E-8</c:v>
                </c:pt>
                <c:pt idx="188">
                  <c:v>4.1465571629147202E-8</c:v>
                </c:pt>
                <c:pt idx="189">
                  <c:v>3.79370589408636E-8</c:v>
                </c:pt>
                <c:pt idx="190">
                  <c:v>3.4712256316920999E-8</c:v>
                </c:pt>
                <c:pt idx="191">
                  <c:v>3.1765020379831901E-8</c:v>
                </c:pt>
                <c:pt idx="192">
                  <c:v>2.9071458374062399E-8</c:v>
                </c:pt>
                <c:pt idx="193">
                  <c:v>2.6609734390721399E-8</c:v>
                </c:pt>
                <c:pt idx="194">
                  <c:v>2.4359892279263401E-8</c:v>
                </c:pt>
                <c:pt idx="195">
                  <c:v>2.2303693808759202E-8</c:v>
                </c:pt>
                <c:pt idx="196">
                  <c:v>2.04244707651791E-8</c:v>
                </c:pt>
                <c:pt idx="197">
                  <c:v>1.8706989784339301E-8</c:v>
                </c:pt>
                <c:pt idx="198">
                  <c:v>1.7137328823567499E-8</c:v>
                </c:pt>
                <c:pt idx="199">
                  <c:v>1.5702764269691799E-8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'Original, i&gt;7 can correct error'!$G$1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'Original, i&gt;7 can correct error'!$A$2:$A$201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'Original, i&gt;7 can correct error'!$G$2:$G$201</c:f>
              <c:numCache>
                <c:formatCode>0.000</c:formatCode>
                <c:ptCount val="200"/>
                <c:pt idx="0">
                  <c:v>0.50534765070800203</c:v>
                </c:pt>
                <c:pt idx="1">
                  <c:v>0.50888321037248396</c:v>
                </c:pt>
                <c:pt idx="2">
                  <c:v>0.51069457007121799</c:v>
                </c:pt>
                <c:pt idx="3">
                  <c:v>0.51099318640978397</c:v>
                </c:pt>
                <c:pt idx="4">
                  <c:v>0.51006455514718496</c:v>
                </c:pt>
                <c:pt idx="5">
                  <c:v>0.50819806080724805</c:v>
                </c:pt>
                <c:pt idx="6">
                  <c:v>0.50563380927788604</c:v>
                </c:pt>
                <c:pt idx="7">
                  <c:v>0.502542834348088</c:v>
                </c:pt>
                <c:pt idx="8">
                  <c:v>0.49903280772859998</c:v>
                </c:pt>
                <c:pt idx="9">
                  <c:v>0.49516428110367899</c:v>
                </c:pt>
                <c:pt idx="10">
                  <c:v>0.49096725204863101</c:v>
                </c:pt>
                <c:pt idx="11">
                  <c:v>0.486454100380312</c:v>
                </c:pt>
                <c:pt idx="12">
                  <c:v>0.48162844187102699</c:v>
                </c:pt>
                <c:pt idx="13">
                  <c:v>0.47649068771557801</c:v>
                </c:pt>
                <c:pt idx="14">
                  <c:v>0.47104138047399502</c:v>
                </c:pt>
                <c:pt idx="15">
                  <c:v>0.46528300504320702</c:v>
                </c:pt>
                <c:pt idx="16">
                  <c:v>0.45922092510655999</c:v>
                </c:pt>
                <c:pt idx="17">
                  <c:v>0.45286370423911898</c:v>
                </c:pt>
                <c:pt idx="18">
                  <c:v>0.44622313454387602</c:v>
                </c:pt>
                <c:pt idx="19">
                  <c:v>0.439314017603678</c:v>
                </c:pt>
                <c:pt idx="20">
                  <c:v>0.43215385585703198</c:v>
                </c:pt>
                <c:pt idx="21">
                  <c:v>0.42476248141360201</c:v>
                </c:pt>
                <c:pt idx="22">
                  <c:v>0.41716162187261902</c:v>
                </c:pt>
                <c:pt idx="23">
                  <c:v>0.40937448358795198</c:v>
                </c:pt>
                <c:pt idx="24">
                  <c:v>0.40142533902170602</c:v>
                </c:pt>
                <c:pt idx="25">
                  <c:v>0.39333910018149099</c:v>
                </c:pt>
                <c:pt idx="26">
                  <c:v>0.38514094511736802</c:v>
                </c:pt>
                <c:pt idx="27">
                  <c:v>0.37685595847389802</c:v>
                </c:pt>
                <c:pt idx="28">
                  <c:v>0.36850880884953202</c:v>
                </c:pt>
                <c:pt idx="29">
                  <c:v>0.36012346367061598</c:v>
                </c:pt>
                <c:pt idx="30">
                  <c:v>0.35172294391991399</c:v>
                </c:pt>
                <c:pt idx="31">
                  <c:v>0.34332911982685699</c:v>
                </c:pt>
                <c:pt idx="32">
                  <c:v>0.33496254745977699</c:v>
                </c:pt>
                <c:pt idx="33">
                  <c:v>0.326642345095702</c:v>
                </c:pt>
                <c:pt idx="34">
                  <c:v>0.31838610731668998</c:v>
                </c:pt>
                <c:pt idx="35">
                  <c:v>0.31020985402111301</c:v>
                </c:pt>
                <c:pt idx="36">
                  <c:v>0.30212801096059799</c:v>
                </c:pt>
                <c:pt idx="37">
                  <c:v>0.29415341802276501</c:v>
                </c:pt>
                <c:pt idx="38">
                  <c:v>0.28629736126979699</c:v>
                </c:pt>
                <c:pt idx="39">
                  <c:v>0.27856962469702701</c:v>
                </c:pt>
                <c:pt idx="40">
                  <c:v>0.27097856064682102</c:v>
                </c:pt>
                <c:pt idx="41">
                  <c:v>0.263531157642374</c:v>
                </c:pt>
                <c:pt idx="42">
                  <c:v>0.25623314662168201</c:v>
                </c:pt>
                <c:pt idx="43">
                  <c:v>0.249089082409687</c:v>
                </c:pt>
                <c:pt idx="44">
                  <c:v>0.24210244346703999</c:v>
                </c:pt>
                <c:pt idx="45">
                  <c:v>0.235275731916508</c:v>
                </c:pt>
                <c:pt idx="46">
                  <c:v>0.22861055778800399</c:v>
                </c:pt>
                <c:pt idx="47">
                  <c:v>0.22210775001927599</c:v>
                </c:pt>
                <c:pt idx="48">
                  <c:v>0.215767433256108</c:v>
                </c:pt>
                <c:pt idx="49">
                  <c:v>0.20958911526833701</c:v>
                </c:pt>
                <c:pt idx="50">
                  <c:v>0.20357176845326599</c:v>
                </c:pt>
                <c:pt idx="51">
                  <c:v>0.1977138919793</c:v>
                </c:pt>
                <c:pt idx="52">
                  <c:v>0.19201359582114599</c:v>
                </c:pt>
                <c:pt idx="53">
                  <c:v>0.18646865039306099</c:v>
                </c:pt>
                <c:pt idx="54">
                  <c:v>0.18107654777476001</c:v>
                </c:pt>
                <c:pt idx="55">
                  <c:v>0.17583453993708301</c:v>
                </c:pt>
                <c:pt idx="56">
                  <c:v>0.17073970111449099</c:v>
                </c:pt>
                <c:pt idx="57">
                  <c:v>0.16578895501297</c:v>
                </c:pt>
                <c:pt idx="58">
                  <c:v>0.16097911281381599</c:v>
                </c:pt>
                <c:pt idx="59">
                  <c:v>0.15630690648640799</c:v>
                </c:pt>
                <c:pt idx="60">
                  <c:v>0.15176900407452101</c:v>
                </c:pt>
                <c:pt idx="61">
                  <c:v>0.14736205023447399</c:v>
                </c:pt>
                <c:pt idx="62">
                  <c:v>0.14308267410893499</c:v>
                </c:pt>
                <c:pt idx="63">
                  <c:v>0.138927509382471</c:v>
                </c:pt>
                <c:pt idx="64">
                  <c:v>0.13489320867941301</c:v>
                </c:pt>
                <c:pt idx="65">
                  <c:v>0.13097645830228399</c:v>
                </c:pt>
                <c:pt idx="66">
                  <c:v>0.127173977590325</c:v>
                </c:pt>
                <c:pt idx="67">
                  <c:v>0.12348254373076099</c:v>
                </c:pt>
                <c:pt idx="68">
                  <c:v>0.119898987254066</c:v>
                </c:pt>
                <c:pt idx="69">
                  <c:v>0.11642020033757899</c:v>
                </c:pt>
                <c:pt idx="70">
                  <c:v>0.113043141039454</c:v>
                </c:pt>
                <c:pt idx="71">
                  <c:v>0.109764836515735</c:v>
                </c:pt>
                <c:pt idx="72">
                  <c:v>0.10658238792897901</c:v>
                </c:pt>
                <c:pt idx="73">
                  <c:v>0.10349296158516599</c:v>
                </c:pt>
                <c:pt idx="74">
                  <c:v>0.10049380588135</c:v>
                </c:pt>
                <c:pt idx="75">
                  <c:v>9.7582240841063497E-2</c:v>
                </c:pt>
                <c:pt idx="76">
                  <c:v>9.4755660855326898E-2</c:v>
                </c:pt>
                <c:pt idx="77">
                  <c:v>9.2011534264672803E-2</c:v>
                </c:pt>
                <c:pt idx="78">
                  <c:v>8.9347402626702196E-2</c:v>
                </c:pt>
                <c:pt idx="79">
                  <c:v>8.6760879725756995E-2</c:v>
                </c:pt>
                <c:pt idx="80">
                  <c:v>8.4249650373503904E-2</c:v>
                </c:pt>
                <c:pt idx="81">
                  <c:v>8.1811471624558194E-2</c:v>
                </c:pt>
                <c:pt idx="82">
                  <c:v>7.9444160810041201E-2</c:v>
                </c:pt>
                <c:pt idx="83">
                  <c:v>7.71456098692931E-2</c:v>
                </c:pt>
                <c:pt idx="84">
                  <c:v>7.4913772901730999E-2</c:v>
                </c:pt>
                <c:pt idx="85">
                  <c:v>7.2746667182693195E-2</c:v>
                </c:pt>
                <c:pt idx="86">
                  <c:v>7.06423714102795E-2</c:v>
                </c:pt>
                <c:pt idx="87">
                  <c:v>6.8599023936097306E-2</c:v>
                </c:pt>
                <c:pt idx="88">
                  <c:v>6.6614820993203705E-2</c:v>
                </c:pt>
                <c:pt idx="89">
                  <c:v>6.4688014932258106E-2</c:v>
                </c:pt>
                <c:pt idx="90">
                  <c:v>6.2816912474960199E-2</c:v>
                </c:pt>
                <c:pt idx="91">
                  <c:v>6.0999872992144398E-2</c:v>
                </c:pt>
                <c:pt idx="92">
                  <c:v>5.9235306812470301E-2</c:v>
                </c:pt>
                <c:pt idx="93">
                  <c:v>5.75216735664099E-2</c:v>
                </c:pt>
                <c:pt idx="94">
                  <c:v>5.5857480569163398E-2</c:v>
                </c:pt>
                <c:pt idx="95">
                  <c:v>5.42412812452586E-2</c:v>
                </c:pt>
                <c:pt idx="96">
                  <c:v>5.2671676130948503E-2</c:v>
                </c:pt>
                <c:pt idx="97">
                  <c:v>5.11473011700865E-2</c:v>
                </c:pt>
                <c:pt idx="98">
                  <c:v>4.9666841725684703E-2</c:v>
                </c:pt>
                <c:pt idx="99">
                  <c:v>4.82290207954401E-2</c:v>
                </c:pt>
                <c:pt idx="100">
                  <c:v>4.6832600283692898E-2</c:v>
                </c:pt>
                <c:pt idx="101">
                  <c:v>4.5476379698641198E-2</c:v>
                </c:pt>
                <c:pt idx="102">
                  <c:v>4.4159194894828301E-2</c:v>
                </c:pt>
                <c:pt idx="103">
                  <c:v>4.2879916860105498E-2</c:v>
                </c:pt>
                <c:pt idx="104">
                  <c:v>4.1637450546132403E-2</c:v>
                </c:pt>
                <c:pt idx="105">
                  <c:v>4.0430733741371502E-2</c:v>
                </c:pt>
                <c:pt idx="106">
                  <c:v>3.92587359853988E-2</c:v>
                </c:pt>
                <c:pt idx="107">
                  <c:v>3.8120457523324103E-2</c:v>
                </c:pt>
                <c:pt idx="108">
                  <c:v>3.7014928299041398E-2</c:v>
                </c:pt>
                <c:pt idx="109">
                  <c:v>3.5941206985995601E-2</c:v>
                </c:pt>
                <c:pt idx="110">
                  <c:v>3.4898380054159198E-2</c:v>
                </c:pt>
                <c:pt idx="111">
                  <c:v>3.3885560871892803E-2</c:v>
                </c:pt>
                <c:pt idx="112">
                  <c:v>3.2901888841366099E-2</c:v>
                </c:pt>
                <c:pt idx="113">
                  <c:v>3.1946528566251797E-2</c:v>
                </c:pt>
                <c:pt idx="114">
                  <c:v>3.1018669050401099E-2</c:v>
                </c:pt>
                <c:pt idx="115">
                  <c:v>3.0117522926265999E-2</c:v>
                </c:pt>
                <c:pt idx="116">
                  <c:v>2.92423257118356E-2</c:v>
                </c:pt>
                <c:pt idx="117">
                  <c:v>2.8392335094916999E-2</c:v>
                </c:pt>
                <c:pt idx="118">
                  <c:v>2.75668302436008E-2</c:v>
                </c:pt>
                <c:pt idx="119">
                  <c:v>2.6765111141823301E-2</c:v>
                </c:pt>
                <c:pt idx="120">
                  <c:v>2.5986497948937901E-2</c:v>
                </c:pt>
                <c:pt idx="121">
                  <c:v>2.52303303822944E-2</c:v>
                </c:pt>
                <c:pt idx="122">
                  <c:v>2.4495967121816401E-2</c:v>
                </c:pt>
                <c:pt idx="123">
                  <c:v>2.3782785235658299E-2</c:v>
                </c:pt>
                <c:pt idx="124">
                  <c:v>2.30901796260208E-2</c:v>
                </c:pt>
                <c:pt idx="125">
                  <c:v>2.2417562494269499E-2</c:v>
                </c:pt>
                <c:pt idx="126">
                  <c:v>2.1764362824533499E-2</c:v>
                </c:pt>
                <c:pt idx="127">
                  <c:v>2.11300284190299E-2</c:v>
                </c:pt>
                <c:pt idx="128">
                  <c:v>2.0514015244274101E-2</c:v>
                </c:pt>
                <c:pt idx="129">
                  <c:v>1.9915802278439601E-2</c:v>
                </c:pt>
                <c:pt idx="130">
                  <c:v>1.9334880815373601E-2</c:v>
                </c:pt>
                <c:pt idx="131">
                  <c:v>1.8770756600547899E-2</c:v>
                </c:pt>
                <c:pt idx="132">
                  <c:v>1.8222949410231198E-2</c:v>
                </c:pt>
                <c:pt idx="133">
                  <c:v>1.7690992644360099E-2</c:v>
                </c:pt>
                <c:pt idx="134">
                  <c:v>1.71744329325457E-2</c:v>
                </c:pt>
                <c:pt idx="135">
                  <c:v>1.6672829752687E-2</c:v>
                </c:pt>
                <c:pt idx="136">
                  <c:v>1.61857550616917E-2</c:v>
                </c:pt>
                <c:pt idx="137">
                  <c:v>1.57127929378191E-2</c:v>
                </c:pt>
                <c:pt idx="138">
                  <c:v>1.5253539234195101E-2</c:v>
                </c:pt>
                <c:pt idx="139">
                  <c:v>1.48076012430674E-2</c:v>
                </c:pt>
                <c:pt idx="140">
                  <c:v>1.4374597370385E-2</c:v>
                </c:pt>
                <c:pt idx="141">
                  <c:v>1.39541568203158E-2</c:v>
                </c:pt>
                <c:pt idx="142">
                  <c:v>1.35459192893304E-2</c:v>
                </c:pt>
                <c:pt idx="143">
                  <c:v>1.31495346694955E-2</c:v>
                </c:pt>
                <c:pt idx="144">
                  <c:v>1.2764662760644399E-2</c:v>
                </c:pt>
                <c:pt idx="145">
                  <c:v>1.2390972991101101E-2</c:v>
                </c:pt>
                <c:pt idx="146">
                  <c:v>1.2028144146655999E-2</c:v>
                </c:pt>
                <c:pt idx="147">
                  <c:v>1.16758641075012E-2</c:v>
                </c:pt>
                <c:pt idx="148">
                  <c:v>1.13338295928489E-2</c:v>
                </c:pt>
                <c:pt idx="149">
                  <c:v>1.10017459129686E-2</c:v>
                </c:pt>
                <c:pt idx="150">
                  <c:v>1.06793267283941E-2</c:v>
                </c:pt>
                <c:pt idx="151">
                  <c:v>1.0366293816055E-2</c:v>
                </c:pt>
                <c:pt idx="152">
                  <c:v>1.00623768421078E-2</c:v>
                </c:pt>
                <c:pt idx="153">
                  <c:v>9.7673131412466894E-3</c:v>
                </c:pt>
                <c:pt idx="154">
                  <c:v>9.4808475022801503E-3</c:v>
                </c:pt>
                <c:pt idx="155">
                  <c:v>9.2027319597787604E-3</c:v>
                </c:pt>
                <c:pt idx="156">
                  <c:v>8.9327255915970794E-3</c:v>
                </c:pt>
                <c:pt idx="157">
                  <c:v>8.6705943220897006E-3</c:v>
                </c:pt>
                <c:pt idx="158">
                  <c:v>8.4161107308411906E-3</c:v>
                </c:pt>
                <c:pt idx="159">
                  <c:v>8.1690538667439205E-3</c:v>
                </c:pt>
                <c:pt idx="160">
                  <c:v>7.9292090672592203E-3</c:v>
                </c:pt>
                <c:pt idx="161">
                  <c:v>7.6963677827064101E-3</c:v>
                </c:pt>
                <c:pt idx="162">
                  <c:v>7.47032740543051E-3</c:v>
                </c:pt>
                <c:pt idx="163">
                  <c:v>7.2508911037029201E-3</c:v>
                </c:pt>
                <c:pt idx="164">
                  <c:v>7.0378676602175097E-3</c:v>
                </c:pt>
                <c:pt idx="165">
                  <c:v>6.8310713150480998E-3</c:v>
                </c:pt>
                <c:pt idx="166">
                  <c:v>6.6303216129365503E-3</c:v>
                </c:pt>
                <c:pt idx="167">
                  <c:v>6.4354432547911698E-3</c:v>
                </c:pt>
                <c:pt idx="168">
                  <c:v>6.2462659532712796E-3</c:v>
                </c:pt>
                <c:pt idx="169">
                  <c:v>6.0626242923452599E-3</c:v>
                </c:pt>
                <c:pt idx="170">
                  <c:v>5.88435759070839E-3</c:v>
                </c:pt>
                <c:pt idx="171">
                  <c:v>5.71130976895271E-3</c:v>
                </c:pt>
                <c:pt idx="172">
                  <c:v>5.5433292203865697E-3</c:v>
                </c:pt>
                <c:pt idx="173">
                  <c:v>5.3802686853977001E-3</c:v>
                </c:pt>
                <c:pt idx="174">
                  <c:v>5.2219851292683497E-3</c:v>
                </c:pt>
                <c:pt idx="175">
                  <c:v>5.0683396233428E-3</c:v>
                </c:pt>
                <c:pt idx="176">
                  <c:v>4.9191972294561704E-3</c:v>
                </c:pt>
                <c:pt idx="177">
                  <c:v>4.7744268875383102E-3</c:v>
                </c:pt>
                <c:pt idx="178">
                  <c:v>4.6339013063026301E-3</c:v>
                </c:pt>
                <c:pt idx="179">
                  <c:v>4.4974968569385203E-3</c:v>
                </c:pt>
                <c:pt idx="180">
                  <c:v>4.3650934697252904E-3</c:v>
                </c:pt>
                <c:pt idx="181">
                  <c:v>4.2365745334887904E-3</c:v>
                </c:pt>
                <c:pt idx="182">
                  <c:v>4.1118267978238398E-3</c:v>
                </c:pt>
                <c:pt idx="183">
                  <c:v>3.9907402780079504E-3</c:v>
                </c:pt>
                <c:pt idx="184">
                  <c:v>3.8732081625346198E-3</c:v>
                </c:pt>
                <c:pt idx="185">
                  <c:v>3.75912672319543E-3</c:v>
                </c:pt>
                <c:pt idx="186">
                  <c:v>3.64839522764129E-3</c:v>
                </c:pt>
                <c:pt idx="187">
                  <c:v>3.5409158543595002E-3</c:v>
                </c:pt>
                <c:pt idx="188">
                  <c:v>3.4365936099988001E-3</c:v>
                </c:pt>
                <c:pt idx="189">
                  <c:v>3.3353362489803601E-3</c:v>
                </c:pt>
                <c:pt idx="190">
                  <c:v>3.23705419533483E-3</c:v>
                </c:pt>
                <c:pt idx="191">
                  <c:v>3.1416604667038502E-3</c:v>
                </c:pt>
                <c:pt idx="192">
                  <c:v>3.0490706004501402E-3</c:v>
                </c:pt>
                <c:pt idx="193">
                  <c:v>2.95920258181706E-3</c:v>
                </c:pt>
                <c:pt idx="194">
                  <c:v>2.87197677408541E-3</c:v>
                </c:pt>
                <c:pt idx="195">
                  <c:v>2.7873158506722799E-3</c:v>
                </c:pt>
                <c:pt idx="196">
                  <c:v>2.7051447291197199E-3</c:v>
                </c:pt>
                <c:pt idx="197">
                  <c:v>2.62539050692442E-3</c:v>
                </c:pt>
                <c:pt idx="198">
                  <c:v>2.5479823991559E-3</c:v>
                </c:pt>
                <c:pt idx="199">
                  <c:v>2.4728516778177701E-3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'Original, i&gt;7 can correct error'!$H$1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'Original, i&gt;7 can correct error'!$A$2:$A$201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'Original, i&gt;7 can correct error'!$H$2:$H$201</c:f>
              <c:numCache>
                <c:formatCode>0.000</c:formatCode>
                <c:ptCount val="200"/>
                <c:pt idx="0">
                  <c:v>0.51825553746374498</c:v>
                </c:pt>
                <c:pt idx="1">
                  <c:v>0.53554690990134701</c:v>
                </c:pt>
                <c:pt idx="2">
                  <c:v>0.55194121817585895</c:v>
                </c:pt>
                <c:pt idx="3">
                  <c:v>0.56753104546244004</c:v>
                </c:pt>
                <c:pt idx="4">
                  <c:v>0.58240990712589202</c:v>
                </c:pt>
                <c:pt idx="5">
                  <c:v>0.59665102786253399</c:v>
                </c:pt>
                <c:pt idx="6">
                  <c:v>0.61029875559485902</c:v>
                </c:pt>
                <c:pt idx="7">
                  <c:v>0.62337206617988095</c:v>
                </c:pt>
                <c:pt idx="8">
                  <c:v>0.63587370109255203</c:v>
                </c:pt>
                <c:pt idx="9">
                  <c:v>0.64779928036409895</c:v>
                </c:pt>
                <c:pt idx="10">
                  <c:v>0.65914389745911695</c:v>
                </c:pt>
                <c:pt idx="11">
                  <c:v>0.66990599554772901</c:v>
                </c:pt>
                <c:pt idx="12">
                  <c:v>0.680089170505634</c:v>
                </c:pt>
                <c:pt idx="13">
                  <c:v>0.68970260967061803</c:v>
                </c:pt>
                <c:pt idx="14">
                  <c:v>0.69876079523692602</c:v>
                </c:pt>
                <c:pt idx="15">
                  <c:v>0.70728278465584205</c:v>
                </c:pt>
                <c:pt idx="16">
                  <c:v>0.71529137467706405</c:v>
                </c:pt>
                <c:pt idx="17">
                  <c:v>0.72281220937183199</c:v>
                </c:pt>
                <c:pt idx="18">
                  <c:v>0.72987297876882296</c:v>
                </c:pt>
                <c:pt idx="19">
                  <c:v>0.73650267108823297</c:v>
                </c:pt>
                <c:pt idx="20">
                  <c:v>0.74273094663970496</c:v>
                </c:pt>
                <c:pt idx="21">
                  <c:v>0.74858761350145697</c:v>
                </c:pt>
                <c:pt idx="22">
                  <c:v>0.754102173502742</c:v>
                </c:pt>
                <c:pt idx="23">
                  <c:v>0.75930347327431602</c:v>
                </c:pt>
                <c:pt idx="24">
                  <c:v>0.76421942847302904</c:v>
                </c:pt>
                <c:pt idx="25">
                  <c:v>0.76887679047122504</c:v>
                </c:pt>
                <c:pt idx="26">
                  <c:v>0.77330098940678405</c:v>
                </c:pt>
                <c:pt idx="27">
                  <c:v>0.77751601216905497</c:v>
                </c:pt>
                <c:pt idx="28">
                  <c:v>0.78154432142548202</c:v>
                </c:pt>
                <c:pt idx="29">
                  <c:v>0.785406807546561</c:v>
                </c:pt>
                <c:pt idx="30">
                  <c:v>0.78912276828483496</c:v>
                </c:pt>
                <c:pt idx="31">
                  <c:v>0.79270991178206596</c:v>
                </c:pt>
                <c:pt idx="32">
                  <c:v>0.796184379069793</c:v>
                </c:pt>
                <c:pt idx="33">
                  <c:v>0.79956078271106701</c:v>
                </c:pt>
                <c:pt idx="34">
                  <c:v>0.80285225862698695</c:v>
                </c:pt>
                <c:pt idx="35">
                  <c:v>0.80607052848108995</c:v>
                </c:pt>
                <c:pt idx="36">
                  <c:v>0.80922597027585197</c:v>
                </c:pt>
                <c:pt idx="37">
                  <c:v>0.812327695062942</c:v>
                </c:pt>
                <c:pt idx="38">
                  <c:v>0.81538362789360996</c:v>
                </c:pt>
                <c:pt idx="39">
                  <c:v>0.81840059134526</c:v>
                </c:pt>
                <c:pt idx="40">
                  <c:v>0.82138439205841995</c:v>
                </c:pt>
                <c:pt idx="41">
                  <c:v>0.82433989744233305</c:v>
                </c:pt>
                <c:pt idx="42">
                  <c:v>0.82727113083014803</c:v>
                </c:pt>
                <c:pt idx="43">
                  <c:v>0.83018134440580305</c:v>
                </c:pt>
                <c:pt idx="44">
                  <c:v>0.83307309943901697</c:v>
                </c:pt>
                <c:pt idx="45">
                  <c:v>0.83594834276700802</c:v>
                </c:pt>
                <c:pt idx="46">
                  <c:v>0.83880847000360104</c:v>
                </c:pt>
                <c:pt idx="47">
                  <c:v>0.84165440356534404</c:v>
                </c:pt>
                <c:pt idx="48">
                  <c:v>0.84448664671818696</c:v>
                </c:pt>
                <c:pt idx="49">
                  <c:v>0.84730534304990701</c:v>
                </c:pt>
                <c:pt idx="50">
                  <c:v>0.85011033097597399</c:v>
                </c:pt>
                <c:pt idx="51">
                  <c:v>0.85290118525714598</c:v>
                </c:pt>
                <c:pt idx="52">
                  <c:v>0.85567727146654404</c:v>
                </c:pt>
                <c:pt idx="53">
                  <c:v>0.85843777842373004</c:v>
                </c:pt>
                <c:pt idx="54">
                  <c:v>0.86118175739519698</c:v>
                </c:pt>
                <c:pt idx="55">
                  <c:v>0.86390814696166496</c:v>
                </c:pt>
                <c:pt idx="56">
                  <c:v>0.866615811991026</c:v>
                </c:pt>
                <c:pt idx="57">
                  <c:v>0.86930356112261098</c:v>
                </c:pt>
                <c:pt idx="58">
                  <c:v>0.87197017047322101</c:v>
                </c:pt>
                <c:pt idx="59">
                  <c:v>0.87461440412565805</c:v>
                </c:pt>
                <c:pt idx="60">
                  <c:v>0.877235024131782</c:v>
                </c:pt>
                <c:pt idx="61">
                  <c:v>0.879830814302206</c:v>
                </c:pt>
                <c:pt idx="62">
                  <c:v>0.88240058529117704</c:v>
                </c:pt>
                <c:pt idx="63">
                  <c:v>0.88494318624971302</c:v>
                </c:pt>
                <c:pt idx="64">
                  <c:v>0.88745751300084297</c:v>
                </c:pt>
                <c:pt idx="65">
                  <c:v>0.88994251595664098</c:v>
                </c:pt>
                <c:pt idx="66">
                  <c:v>0.89239720007650902</c:v>
                </c:pt>
                <c:pt idx="67">
                  <c:v>0.89482063709084303</c:v>
                </c:pt>
                <c:pt idx="68">
                  <c:v>0.89721196284442695</c:v>
                </c:pt>
                <c:pt idx="69">
                  <c:v>0.89957038078346097</c:v>
                </c:pt>
                <c:pt idx="70">
                  <c:v>0.90189516317221496</c:v>
                </c:pt>
                <c:pt idx="71">
                  <c:v>0.90418565160226805</c:v>
                </c:pt>
                <c:pt idx="72">
                  <c:v>0.90644125789329899</c:v>
                </c:pt>
                <c:pt idx="73">
                  <c:v>0.90866145936031295</c:v>
                </c:pt>
                <c:pt idx="74">
                  <c:v>0.910845804099776</c:v>
                </c:pt>
                <c:pt idx="75">
                  <c:v>0.91299390519835599</c:v>
                </c:pt>
                <c:pt idx="76">
                  <c:v>0.91510544011930794</c:v>
                </c:pt>
                <c:pt idx="77">
                  <c:v>0.91718014871268905</c:v>
                </c:pt>
                <c:pt idx="78">
                  <c:v>0.91921783102385402</c:v>
                </c:pt>
                <c:pt idx="79">
                  <c:v>0.92121834494386701</c:v>
                </c:pt>
                <c:pt idx="80">
                  <c:v>0.92318160374015001</c:v>
                </c:pt>
                <c:pt idx="81">
                  <c:v>0.92510757413003597</c:v>
                </c:pt>
                <c:pt idx="82">
                  <c:v>0.92699627107910398</c:v>
                </c:pt>
                <c:pt idx="83">
                  <c:v>0.92884775915663698</c:v>
                </c:pt>
                <c:pt idx="84">
                  <c:v>0.93066214713209405</c:v>
                </c:pt>
                <c:pt idx="85">
                  <c:v>0.93243958604003596</c:v>
                </c:pt>
                <c:pt idx="86">
                  <c:v>0.93418026656028896</c:v>
                </c:pt>
                <c:pt idx="87">
                  <c:v>0.93588441643676201</c:v>
                </c:pt>
                <c:pt idx="88">
                  <c:v>0.93755229794635897</c:v>
                </c:pt>
                <c:pt idx="89">
                  <c:v>0.93918420542741399</c:v>
                </c:pt>
                <c:pt idx="90">
                  <c:v>0.94078046287541806</c:v>
                </c:pt>
                <c:pt idx="91">
                  <c:v>0.94234142161226497</c:v>
                </c:pt>
                <c:pt idx="92">
                  <c:v>0.94386745803394001</c:v>
                </c:pt>
                <c:pt idx="93">
                  <c:v>0.94535897144039505</c:v>
                </c:pt>
                <c:pt idx="94">
                  <c:v>0.94681638195031204</c:v>
                </c:pt>
                <c:pt idx="95">
                  <c:v>0.94824012850261497</c:v>
                </c:pt>
                <c:pt idx="96">
                  <c:v>0.94963066705100796</c:v>
                </c:pt>
                <c:pt idx="97">
                  <c:v>0.95098846829291495</c:v>
                </c:pt>
                <c:pt idx="98">
                  <c:v>0.95231401665194404</c:v>
                </c:pt>
                <c:pt idx="99">
                  <c:v>0.95360780812107604</c:v>
                </c:pt>
                <c:pt idx="100">
                  <c:v>0.95487034883755195</c:v>
                </c:pt>
                <c:pt idx="101">
                  <c:v>0.95610215360658402</c:v>
                </c:pt>
                <c:pt idx="102">
                  <c:v>0.95730374450802902</c:v>
                </c:pt>
                <c:pt idx="103">
                  <c:v>0.95847564958404796</c:v>
                </c:pt>
                <c:pt idx="104">
                  <c:v>0.95961840160552403</c:v>
                </c:pt>
                <c:pt idx="105">
                  <c:v>0.96073253691487404</c:v>
                </c:pt>
                <c:pt idx="106">
                  <c:v>0.96181859434277095</c:v>
                </c:pt>
                <c:pt idx="107">
                  <c:v>0.96287711419618605</c:v>
                </c:pt>
                <c:pt idx="108">
                  <c:v>0.96390863731507903</c:v>
                </c:pt>
                <c:pt idx="109">
                  <c:v>0.96491370419508005</c:v>
                </c:pt>
                <c:pt idx="110">
                  <c:v>0.96589285417340398</c:v>
                </c:pt>
                <c:pt idx="111">
                  <c:v>0.96684662467530003</c:v>
                </c:pt>
                <c:pt idx="112">
                  <c:v>0.96777555051831299</c:v>
                </c:pt>
                <c:pt idx="113">
                  <c:v>0.96868016327167805</c:v>
                </c:pt>
                <c:pt idx="114">
                  <c:v>0.96956099066819901</c:v>
                </c:pt>
                <c:pt idx="115">
                  <c:v>0.97041855606599303</c:v>
                </c:pt>
                <c:pt idx="116">
                  <c:v>0.97125337795757405</c:v>
                </c:pt>
                <c:pt idx="117">
                  <c:v>0.972065969523768</c:v>
                </c:pt>
                <c:pt idx="118">
                  <c:v>0.97285683823004798</c:v>
                </c:pt>
                <c:pt idx="119">
                  <c:v>0.97362648546293096</c:v>
                </c:pt>
                <c:pt idx="120">
                  <c:v>0.97437540620416996</c:v>
                </c:pt>
                <c:pt idx="121">
                  <c:v>0.97510408874052601</c:v>
                </c:pt>
                <c:pt idx="122">
                  <c:v>0.97581301440701096</c:v>
                </c:pt>
                <c:pt idx="123">
                  <c:v>0.97650265736156305</c:v>
                </c:pt>
                <c:pt idx="124">
                  <c:v>0.97717348438917295</c:v>
                </c:pt>
                <c:pt idx="125">
                  <c:v>0.977825954733609</c:v>
                </c:pt>
                <c:pt idx="126">
                  <c:v>0.978460519954926</c:v>
                </c:pt>
                <c:pt idx="127">
                  <c:v>0.979077623602157</c:v>
                </c:pt>
                <c:pt idx="128">
                  <c:v>0.979677701955594</c:v>
                </c:pt>
                <c:pt idx="129">
                  <c:v>0.980261182690221</c:v>
                </c:pt>
                <c:pt idx="130">
                  <c:v>0.98082848566340897</c:v>
                </c:pt>
                <c:pt idx="131">
                  <c:v>0.98138002266565405</c:v>
                </c:pt>
                <c:pt idx="132">
                  <c:v>0.98191619739937996</c:v>
                </c:pt>
                <c:pt idx="133">
                  <c:v>0.982437405473083</c:v>
                </c:pt>
                <c:pt idx="134">
                  <c:v>0.98294403440961298</c:v>
                </c:pt>
                <c:pt idx="135">
                  <c:v>0.98343646366745496</c:v>
                </c:pt>
                <c:pt idx="136">
                  <c:v>0.98391506467393797</c:v>
                </c:pt>
                <c:pt idx="137">
                  <c:v>0.98438020086934597</c:v>
                </c:pt>
                <c:pt idx="138">
                  <c:v>0.984832227760993</c:v>
                </c:pt>
                <c:pt idx="139">
                  <c:v>0.98527149298633998</c:v>
                </c:pt>
                <c:pt idx="140">
                  <c:v>0.98569833638433102</c:v>
                </c:pt>
                <c:pt idx="141">
                  <c:v>0.98611309007413805</c:v>
                </c:pt>
                <c:pt idx="142">
                  <c:v>0.98651607854057999</c:v>
                </c:pt>
                <c:pt idx="143">
                  <c:v>0.98690761872551303</c:v>
                </c:pt>
                <c:pt idx="144">
                  <c:v>0.98728802012454098</c:v>
                </c:pt>
                <c:pt idx="145">
                  <c:v>0.98765758488844502</c:v>
                </c:pt>
                <c:pt idx="146">
                  <c:v>0.98801660792874302</c:v>
                </c:pt>
                <c:pt idx="147">
                  <c:v>0.98836537702687399</c:v>
                </c:pt>
                <c:pt idx="148">
                  <c:v>0.98870417294649704</c:v>
                </c:pt>
                <c:pt idx="149">
                  <c:v>0.98903326954844895</c:v>
                </c:pt>
                <c:pt idx="150">
                  <c:v>0.98935293390793599</c:v>
                </c:pt>
                <c:pt idx="151">
                  <c:v>0.98966342643357297</c:v>
                </c:pt>
                <c:pt idx="152">
                  <c:v>0.98996500098788198</c:v>
                </c:pt>
                <c:pt idx="153">
                  <c:v>0.99025790500894195</c:v>
                </c:pt>
                <c:pt idx="154">
                  <c:v>0.99054237963285097</c:v>
                </c:pt>
                <c:pt idx="155">
                  <c:v>0.990818659816734</c:v>
                </c:pt>
                <c:pt idx="156">
                  <c:v>0.99108697446201499</c:v>
                </c:pt>
                <c:pt idx="157">
                  <c:v>0.99134754653772506</c:v>
                </c:pt>
                <c:pt idx="158">
                  <c:v>0.99160059320361804</c:v>
                </c:pt>
                <c:pt idx="159">
                  <c:v>0.99184632593288902</c:v>
                </c:pt>
                <c:pt idx="160">
                  <c:v>0.99208495063431601</c:v>
                </c:pt>
                <c:pt idx="161">
                  <c:v>0.99231666777365202</c:v>
                </c:pt>
                <c:pt idx="162">
                  <c:v>0.99254167249411696</c:v>
                </c:pt>
                <c:pt idx="163">
                  <c:v>0.992760154735853</c:v>
                </c:pt>
                <c:pt idx="164">
                  <c:v>0.99297229935421705</c:v>
                </c:pt>
                <c:pt idx="165">
                  <c:v>0.99317828623679705</c:v>
                </c:pt>
                <c:pt idx="166">
                  <c:v>0.99337829041906101</c:v>
                </c:pt>
                <c:pt idx="167">
                  <c:v>0.993572482198537</c:v>
                </c:pt>
                <c:pt idx="168">
                  <c:v>0.99376102724746695</c:v>
                </c:pt>
                <c:pt idx="169">
                  <c:v>0.99394408672383905</c:v>
                </c:pt>
                <c:pt idx="170">
                  <c:v>0.994121817380757</c:v>
                </c:pt>
                <c:pt idx="171">
                  <c:v>0.99429437167409995</c:v>
                </c:pt>
                <c:pt idx="172">
                  <c:v>0.994461897868407</c:v>
                </c:pt>
                <c:pt idx="173">
                  <c:v>0.99462454014097101</c:v>
                </c:pt>
                <c:pt idx="174">
                  <c:v>0.99478243868410299</c:v>
                </c:pt>
                <c:pt idx="175">
                  <c:v>0.99493572980554001</c:v>
                </c:pt>
                <c:pt idx="176">
                  <c:v>0.99508454602698804</c:v>
                </c:pt>
                <c:pt idx="177">
                  <c:v>0.99522901618076698</c:v>
                </c:pt>
                <c:pt idx="178">
                  <c:v>0.99536926550457905</c:v>
                </c:pt>
                <c:pt idx="179">
                  <c:v>0.99550541573436302</c:v>
                </c:pt>
                <c:pt idx="180">
                  <c:v>0.99563758519525702</c:v>
                </c:pt>
                <c:pt idx="181">
                  <c:v>0.99576588889066298</c:v>
                </c:pt>
                <c:pt idx="182">
                  <c:v>0.99589043858941995</c:v>
                </c:pt>
                <c:pt idx="183">
                  <c:v>0.99601134291109605</c:v>
                </c:pt>
                <c:pt idx="184">
                  <c:v>0.99612870740941095</c:v>
                </c:pt>
                <c:pt idx="185">
                  <c:v>0.99624263465380103</c:v>
                </c:pt>
                <c:pt idx="186">
                  <c:v>0.99635322430914797</c:v>
                </c:pt>
                <c:pt idx="187">
                  <c:v>0.99646057321368198</c:v>
                </c:pt>
                <c:pt idx="188">
                  <c:v>0.99656477545508604</c:v>
                </c:pt>
                <c:pt idx="189">
                  <c:v>0.99666592244482199</c:v>
                </c:pt>
                <c:pt idx="190">
                  <c:v>0.99676410299069496</c:v>
                </c:pt>
                <c:pt idx="191">
                  <c:v>0.99685940336768597</c:v>
                </c:pt>
                <c:pt idx="192">
                  <c:v>0.99695190738708195</c:v>
                </c:pt>
                <c:pt idx="193">
                  <c:v>0.99704169646391605</c:v>
                </c:pt>
                <c:pt idx="194">
                  <c:v>0.99712884968275795</c:v>
                </c:pt>
                <c:pt idx="195">
                  <c:v>0.99721344386187405</c:v>
                </c:pt>
                <c:pt idx="196">
                  <c:v>0.99729555361579003</c:v>
                </c:pt>
                <c:pt idx="197">
                  <c:v>0.99737525141628303</c:v>
                </c:pt>
                <c:pt idx="198">
                  <c:v>0.99745260765182497</c:v>
                </c:pt>
                <c:pt idx="199">
                  <c:v>0.99752769068552105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'Original, i&gt;7 can correct error'!$I$1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val>
            <c:numRef>
              <c:f>'Original, i&gt;7 can correct error'!$I$2:$I$201</c:f>
              <c:numCache>
                <c:formatCode>0.000</c:formatCode>
                <c:ptCount val="200"/>
                <c:pt idx="0">
                  <c:v>0.51002083983109003</c:v>
                </c:pt>
                <c:pt idx="1">
                  <c:v>0.52016750068907203</c:v>
                </c:pt>
                <c:pt idx="2">
                  <c:v>0.53055789729279501</c:v>
                </c:pt>
                <c:pt idx="3">
                  <c:v>0.54128145002368899</c:v>
                </c:pt>
                <c:pt idx="4">
                  <c:v>0.55238461653357995</c:v>
                </c:pt>
                <c:pt idx="5">
                  <c:v>0.56387025482273501</c:v>
                </c:pt>
                <c:pt idx="6">
                  <c:v>0.57570806605394098</c:v>
                </c:pt>
                <c:pt idx="7">
                  <c:v>0.58784825438087496</c:v>
                </c:pt>
                <c:pt idx="8">
                  <c:v>0.60023259204033697</c:v>
                </c:pt>
                <c:pt idx="9">
                  <c:v>0.61280130545167699</c:v>
                </c:pt>
                <c:pt idx="10">
                  <c:v>0.62549664213232603</c:v>
                </c:pt>
                <c:pt idx="11">
                  <c:v>0.63826438589817702</c:v>
                </c:pt>
                <c:pt idx="12">
                  <c:v>0.65105431456683704</c:v>
                </c:pt>
                <c:pt idx="13">
                  <c:v>0.66382021554066795</c:v>
                </c:pt>
                <c:pt idx="14">
                  <c:v>0.67651967510760702</c:v>
                </c:pt>
                <c:pt idx="15">
                  <c:v>0.68911387208556496</c:v>
                </c:pt>
                <c:pt idx="16">
                  <c:v>0.70156733785121905</c:v>
                </c:pt>
                <c:pt idx="17">
                  <c:v>0.71384779613274896</c:v>
                </c:pt>
                <c:pt idx="18">
                  <c:v>0.72592599459007601</c:v>
                </c:pt>
                <c:pt idx="19">
                  <c:v>0.73777560840447398</c:v>
                </c:pt>
                <c:pt idx="20">
                  <c:v>0.74937314253423204</c:v>
                </c:pt>
                <c:pt idx="21">
                  <c:v>0.76069784827728404</c:v>
                </c:pt>
                <c:pt idx="22">
                  <c:v>0.77173167181878499</c:v>
                </c:pt>
                <c:pt idx="23">
                  <c:v>0.78245917929685704</c:v>
                </c:pt>
                <c:pt idx="24">
                  <c:v>0.79286747692555604</c:v>
                </c:pt>
                <c:pt idx="25">
                  <c:v>0.80294614219907201</c:v>
                </c:pt>
                <c:pt idx="26">
                  <c:v>0.81268711921973202</c:v>
                </c:pt>
                <c:pt idx="27">
                  <c:v>0.82208461144318101</c:v>
                </c:pt>
                <c:pt idx="28">
                  <c:v>0.83113495838871698</c:v>
                </c:pt>
                <c:pt idx="29">
                  <c:v>0.83983649973642804</c:v>
                </c:pt>
                <c:pt idx="30">
                  <c:v>0.84818942879431602</c:v>
                </c:pt>
                <c:pt idx="31">
                  <c:v>0.856195637830242</c:v>
                </c:pt>
                <c:pt idx="32">
                  <c:v>0.86385855802786005</c:v>
                </c:pt>
                <c:pt idx="33">
                  <c:v>0.87118299688349699</c:v>
                </c:pt>
                <c:pt idx="34">
                  <c:v>0.87817497575757997</c:v>
                </c:pt>
                <c:pt idx="35">
                  <c:v>0.88484157007383502</c:v>
                </c:pt>
                <c:pt idx="36">
                  <c:v>0.89119075436151396</c:v>
                </c:pt>
                <c:pt idx="37">
                  <c:v>0.89723125399358195</c:v>
                </c:pt>
                <c:pt idx="38">
                  <c:v>0.90297240511362797</c:v>
                </c:pt>
                <c:pt idx="39">
                  <c:v>0.908424023886507</c:v>
                </c:pt>
                <c:pt idx="40">
                  <c:v>0.91359628440879004</c:v>
                </c:pt>
                <c:pt idx="41">
                  <c:v>0.91849961466809804</c:v>
                </c:pt>
                <c:pt idx="42">
                  <c:v>0.92314458808822897</c:v>
                </c:pt>
                <c:pt idx="43">
                  <c:v>0.92754184139064899</c:v>
                </c:pt>
                <c:pt idx="44">
                  <c:v>0.93170199504187001</c:v>
                </c:pt>
                <c:pt idx="45">
                  <c:v>0.93563558414909598</c:v>
                </c:pt>
                <c:pt idx="46">
                  <c:v>0.93935300564104995</c:v>
                </c:pt>
                <c:pt idx="47">
                  <c:v>0.94286446073724905</c:v>
                </c:pt>
                <c:pt idx="48">
                  <c:v>0.94617991977849203</c:v>
                </c:pt>
                <c:pt idx="49">
                  <c:v>0.94930908744070597</c:v>
                </c:pt>
                <c:pt idx="50">
                  <c:v>0.95226137518713705</c:v>
                </c:pt>
                <c:pt idx="51">
                  <c:v>0.95504588558044801</c:v>
                </c:pt>
                <c:pt idx="52">
                  <c:v>0.95767139032525905</c:v>
                </c:pt>
                <c:pt idx="53">
                  <c:v>0.96014632513702503</c:v>
                </c:pt>
                <c:pt idx="54">
                  <c:v>0.96247878147878096</c:v>
                </c:pt>
                <c:pt idx="55">
                  <c:v>0.96467650875713995</c:v>
                </c:pt>
                <c:pt idx="56">
                  <c:v>0.96674690803621899</c:v>
                </c:pt>
                <c:pt idx="57">
                  <c:v>0.96869704013329305</c:v>
                </c:pt>
                <c:pt idx="58">
                  <c:v>0.97053362974242596</c:v>
                </c:pt>
                <c:pt idx="59">
                  <c:v>0.97226307155765002</c:v>
                </c:pt>
                <c:pt idx="60">
                  <c:v>0.97389144276527295</c:v>
                </c:pt>
                <c:pt idx="61">
                  <c:v>0.97542450637631894</c:v>
                </c:pt>
                <c:pt idx="62">
                  <c:v>0.97686772587113402</c:v>
                </c:pt>
                <c:pt idx="63">
                  <c:v>0.97822627503579496</c:v>
                </c:pt>
                <c:pt idx="64">
                  <c:v>0.97950504929895099</c:v>
                </c:pt>
                <c:pt idx="65">
                  <c:v>0.98070867647469395</c:v>
                </c:pt>
                <c:pt idx="66">
                  <c:v>0.98184153178775102</c:v>
                </c:pt>
                <c:pt idx="67">
                  <c:v>0.98290774429490901</c:v>
                </c:pt>
                <c:pt idx="68">
                  <c:v>0.98391121196740905</c:v>
                </c:pt>
                <c:pt idx="69">
                  <c:v>0.98485561207772898</c:v>
                </c:pt>
                <c:pt idx="70">
                  <c:v>0.985744412252336</c:v>
                </c:pt>
                <c:pt idx="71">
                  <c:v>0.98658088121966403</c:v>
                </c:pt>
                <c:pt idx="72">
                  <c:v>0.98736809852673002</c:v>
                </c:pt>
                <c:pt idx="73">
                  <c:v>0.98810896740653398</c:v>
                </c:pt>
                <c:pt idx="74">
                  <c:v>0.98880622008592201</c:v>
                </c:pt>
                <c:pt idx="75">
                  <c:v>0.98946243001713396</c:v>
                </c:pt>
                <c:pt idx="76">
                  <c:v>0.99008001996891604</c:v>
                </c:pt>
                <c:pt idx="77">
                  <c:v>0.99066127047859198</c:v>
                </c:pt>
                <c:pt idx="78">
                  <c:v>0.99120832790370705</c:v>
                </c:pt>
                <c:pt idx="79">
                  <c:v>0.99172321207921299</c:v>
                </c:pt>
                <c:pt idx="80">
                  <c:v>0.99220782358860704</c:v>
                </c:pt>
                <c:pt idx="81">
                  <c:v>0.99266395009192299</c:v>
                </c:pt>
                <c:pt idx="82">
                  <c:v>0.99309327516948598</c:v>
                </c:pt>
                <c:pt idx="83">
                  <c:v>0.99349738096499396</c:v>
                </c:pt>
                <c:pt idx="84">
                  <c:v>0.993877756434832</c:v>
                </c:pt>
                <c:pt idx="85">
                  <c:v>0.99423580225174601</c:v>
                </c:pt>
                <c:pt idx="86">
                  <c:v>0.99457283601390301</c:v>
                </c:pt>
                <c:pt idx="87">
                  <c:v>0.99489009715862697</c:v>
                </c:pt>
                <c:pt idx="88">
                  <c:v>0.99518875159498699</c:v>
                </c:pt>
                <c:pt idx="89">
                  <c:v>0.99546989606917902</c:v>
                </c:pt>
                <c:pt idx="90">
                  <c:v>0.99573456227638002</c:v>
                </c:pt>
                <c:pt idx="91">
                  <c:v>0.99598372073234698</c:v>
                </c:pt>
                <c:pt idx="92">
                  <c:v>0.99621828441762905</c:v>
                </c:pt>
                <c:pt idx="93">
                  <c:v>0.99643911220681203</c:v>
                </c:pt>
                <c:pt idx="94">
                  <c:v>0.99664701209469797</c:v>
                </c:pt>
                <c:pt idx="95">
                  <c:v>0.99684274423083696</c:v>
                </c:pt>
                <c:pt idx="96">
                  <c:v>0.997027023363807</c:v>
                </c:pt>
                <c:pt idx="97">
                  <c:v>0.997200523182599</c:v>
                </c:pt>
                <c:pt idx="98">
                  <c:v>0.99736387632137302</c:v>
                </c:pt>
                <c:pt idx="99">
                  <c:v>0.99751767843220895</c:v>
                </c:pt>
                <c:pt idx="100">
                  <c:v>0.99766248998374296</c:v>
                </c:pt>
                <c:pt idx="101">
                  <c:v>0.99779883835708805</c:v>
                </c:pt>
                <c:pt idx="102">
                  <c:v>0.99792721981593302</c:v>
                </c:pt>
                <c:pt idx="103">
                  <c:v>0.99804810135833899</c:v>
                </c:pt>
                <c:pt idx="104">
                  <c:v>0.99816192245731294</c:v>
                </c:pt>
                <c:pt idx="105">
                  <c:v>0.99826909669684605</c:v>
                </c:pt>
                <c:pt idx="106">
                  <c:v>0.99837001330971598</c:v>
                </c:pt>
                <c:pt idx="107">
                  <c:v>0.99846503862298897</c:v>
                </c:pt>
                <c:pt idx="108">
                  <c:v>0.99855451741677204</c:v>
                </c:pt>
                <c:pt idx="109">
                  <c:v>0.99863877420150604</c:v>
                </c:pt>
                <c:pt idx="110">
                  <c:v>0.99871811441868796</c:v>
                </c:pt>
                <c:pt idx="111">
                  <c:v>0.99879282556969895</c:v>
                </c:pt>
                <c:pt idx="112">
                  <c:v>0.99886317827706295</c:v>
                </c:pt>
                <c:pt idx="113">
                  <c:v>0.99892942728224798</c:v>
                </c:pt>
                <c:pt idx="114">
                  <c:v>0.99899181238385004</c:v>
                </c:pt>
                <c:pt idx="115">
                  <c:v>0.99905055931976405</c:v>
                </c:pt>
                <c:pt idx="116">
                  <c:v>0.99910588059674299</c:v>
                </c:pt>
                <c:pt idx="117">
                  <c:v>0.99915797627050895</c:v>
                </c:pt>
                <c:pt idx="118">
                  <c:v>0.99920703467942296</c:v>
                </c:pt>
                <c:pt idx="119">
                  <c:v>0.99925323313450998</c:v>
                </c:pt>
                <c:pt idx="120">
                  <c:v>0.99929673856846402</c:v>
                </c:pt>
                <c:pt idx="121">
                  <c:v>0.999337708146121</c:v>
                </c:pt>
                <c:pt idx="122">
                  <c:v>0.99937628983870996</c:v>
                </c:pt>
                <c:pt idx="123">
                  <c:v>0.99941262296405697</c:v>
                </c:pt>
                <c:pt idx="124">
                  <c:v>0.999446838694797</c:v>
                </c:pt>
                <c:pt idx="125">
                  <c:v>0.99947906053650903</c:v>
                </c:pt>
                <c:pt idx="126">
                  <c:v>0.999509404777568</c:v>
                </c:pt>
                <c:pt idx="127">
                  <c:v>0.99953798059876298</c:v>
                </c:pt>
                <c:pt idx="128">
                  <c:v>0.99956489173077301</c:v>
                </c:pt>
                <c:pt idx="129">
                  <c:v>0.99959023493309496</c:v>
                </c:pt>
                <c:pt idx="130">
                  <c:v>0.99961410161553699</c:v>
                </c:pt>
                <c:pt idx="131">
                  <c:v>0.99963657785164495</c:v>
                </c:pt>
                <c:pt idx="132">
                  <c:v>0.99965774469106905</c:v>
                </c:pt>
                <c:pt idx="133">
                  <c:v>0.99967767845353905</c:v>
                </c:pt>
                <c:pt idx="134">
                  <c:v>0.99969645100556603</c:v>
                </c:pt>
                <c:pt idx="135">
                  <c:v>0.99971413002086895</c:v>
                </c:pt>
                <c:pt idx="136">
                  <c:v>0.99973077922550502</c:v>
                </c:pt>
                <c:pt idx="137">
                  <c:v>0.999746458628614</c:v>
                </c:pt>
                <c:pt idx="138">
                  <c:v>0.99976122473961404</c:v>
                </c:pt>
                <c:pt idx="139">
                  <c:v>0.999775130772659</c:v>
                </c:pt>
                <c:pt idx="140">
                  <c:v>0.99978822683911495</c:v>
                </c:pt>
                <c:pt idx="141">
                  <c:v>0.99980056012874896</c:v>
                </c:pt>
                <c:pt idx="142">
                  <c:v>0.99981217508030995</c:v>
                </c:pt>
                <c:pt idx="143">
                  <c:v>0.99982311354211295</c:v>
                </c:pt>
                <c:pt idx="144">
                  <c:v>0.99983341492323297</c:v>
                </c:pt>
                <c:pt idx="145">
                  <c:v>0.99984311633584499</c:v>
                </c:pt>
                <c:pt idx="146">
                  <c:v>0.99985225272923905</c:v>
                </c:pt>
                <c:pt idx="147">
                  <c:v>0.99986085701599903</c:v>
                </c:pt>
                <c:pt idx="148">
                  <c:v>0.99986896019080196</c:v>
                </c:pt>
                <c:pt idx="149">
                  <c:v>0.99987659144228203</c:v>
                </c:pt>
                <c:pt idx="150">
                  <c:v>0.99988377825834396</c:v>
                </c:pt>
                <c:pt idx="151">
                  <c:v>0.99989054652533904</c:v>
                </c:pt>
                <c:pt idx="152">
                  <c:v>0.99989692062143698</c:v>
                </c:pt>
                <c:pt idx="153">
                  <c:v>0.999902923504559</c:v>
                </c:pt>
                <c:pt idx="154">
                  <c:v>0.99990857679515799</c:v>
                </c:pt>
                <c:pt idx="155">
                  <c:v>0.99991390085418796</c:v>
                </c:pt>
                <c:pt idx="156">
                  <c:v>0.99991891485650697</c:v>
                </c:pt>
                <c:pt idx="157">
                  <c:v>0.99992363686000696</c:v>
                </c:pt>
                <c:pt idx="158">
                  <c:v>0.99992808387070398</c:v>
                </c:pt>
                <c:pt idx="159">
                  <c:v>0.999932271904036</c:v>
                </c:pt>
                <c:pt idx="160">
                  <c:v>0.99993621604258298</c:v>
                </c:pt>
                <c:pt idx="161">
                  <c:v>0.99993993049042196</c:v>
                </c:pt>
                <c:pt idx="162">
                  <c:v>0.99994342862431096</c:v>
                </c:pt>
                <c:pt idx="163">
                  <c:v>0.99994672304189203</c:v>
                </c:pt>
                <c:pt idx="164">
                  <c:v>0.99994982560708001</c:v>
                </c:pt>
                <c:pt idx="165">
                  <c:v>0.99995274749280705</c:v>
                </c:pt>
                <c:pt idx="166">
                  <c:v>0.99995549922127802</c:v>
                </c:pt>
                <c:pt idx="167">
                  <c:v>0.99995809070187502</c:v>
                </c:pt>
                <c:pt idx="168">
                  <c:v>0.99996053126685402</c:v>
                </c:pt>
                <c:pt idx="169">
                  <c:v>0.99996282970496597</c:v>
                </c:pt>
                <c:pt idx="170">
                  <c:v>0.99996499429311403</c:v>
                </c:pt>
                <c:pt idx="171">
                  <c:v>0.99996703282616295</c:v>
                </c:pt>
                <c:pt idx="172">
                  <c:v>0.99996895264502195</c:v>
                </c:pt>
                <c:pt idx="173">
                  <c:v>0.99997076066308099</c:v>
                </c:pt>
                <c:pt idx="174">
                  <c:v>0.99997246339111301</c:v>
                </c:pt>
                <c:pt idx="175">
                  <c:v>0.999974066960721</c:v>
                </c:pt>
                <c:pt idx="176">
                  <c:v>0.99997557714642404</c:v>
                </c:pt>
                <c:pt idx="177">
                  <c:v>0.99997699938645501</c:v>
                </c:pt>
                <c:pt idx="178">
                  <c:v>0.99997833880234299</c:v>
                </c:pt>
                <c:pt idx="179">
                  <c:v>0.99997960021735899</c:v>
                </c:pt>
                <c:pt idx="180">
                  <c:v>0.99998078817388703</c:v>
                </c:pt>
                <c:pt idx="181">
                  <c:v>0.99998190694978295</c:v>
                </c:pt>
                <c:pt idx="182">
                  <c:v>0.999982960573779</c:v>
                </c:pt>
                <c:pt idx="183">
                  <c:v>0.99998395283999197</c:v>
                </c:pt>
                <c:pt idx="184">
                  <c:v>0.99998488732158597</c:v>
                </c:pt>
                <c:pt idx="185">
                  <c:v>0.99998576738364497</c:v>
                </c:pt>
                <c:pt idx="186">
                  <c:v>0.99998659619528396</c:v>
                </c:pt>
                <c:pt idx="187">
                  <c:v>0.99998737674106397</c:v>
                </c:pt>
                <c:pt idx="188">
                  <c:v>0.99998811183174197</c:v>
                </c:pt>
                <c:pt idx="189">
                  <c:v>0.99998880411438995</c:v>
                </c:pt>
                <c:pt idx="190">
                  <c:v>0.99998945608192802</c:v>
                </c:pt>
                <c:pt idx="191">
                  <c:v>0.99999007008210095</c:v>
                </c:pt>
                <c:pt idx="192">
                  <c:v>0.99999064832593498</c:v>
                </c:pt>
                <c:pt idx="193">
                  <c:v>0.99999119289569505</c:v>
                </c:pt>
                <c:pt idx="194">
                  <c:v>0.99999170575238805</c:v>
                </c:pt>
                <c:pt idx="195">
                  <c:v>0.99999218874282103</c:v>
                </c:pt>
                <c:pt idx="196">
                  <c:v>0.99999264360625195</c:v>
                </c:pt>
                <c:pt idx="197">
                  <c:v>0.99999307198065701</c:v>
                </c:pt>
                <c:pt idx="198">
                  <c:v>0.99999347540862105</c:v>
                </c:pt>
                <c:pt idx="199">
                  <c:v>0.99999385534289897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58784"/>
        <c:axId val="109383680"/>
      </c:lineChart>
      <c:catAx>
        <c:axId val="9115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383680"/>
        <c:crosses val="autoZero"/>
        <c:auto val="1"/>
        <c:lblAlgn val="ctr"/>
        <c:lblOffset val="100"/>
        <c:noMultiLvlLbl val="0"/>
      </c:catAx>
      <c:valAx>
        <c:axId val="10938368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91158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'New, i&gt;8 can correct e (2'!$F$1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'New, i&gt;8 can correct e (2'!$A$2:$A$201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'New, i&gt;8 can correct e (2'!$F$2:$F$201</c:f>
              <c:numCache>
                <c:formatCode>0.000</c:formatCode>
                <c:ptCount val="200"/>
                <c:pt idx="0">
                  <c:v>0.49253708233044602</c:v>
                </c:pt>
                <c:pt idx="1">
                  <c:v>0.483144744382763</c:v>
                </c:pt>
                <c:pt idx="2">
                  <c:v>0.471911289698981</c:v>
                </c:pt>
                <c:pt idx="3">
                  <c:v>0.45903836079272597</c:v>
                </c:pt>
                <c:pt idx="4">
                  <c:v>0.444805200551114</c:v>
                </c:pt>
                <c:pt idx="5">
                  <c:v>0.42952159661574801</c:v>
                </c:pt>
                <c:pt idx="6">
                  <c:v>0.413486943105146</c:v>
                </c:pt>
                <c:pt idx="7">
                  <c:v>0.39696517567855799</c:v>
                </c:pt>
                <c:pt idx="8">
                  <c:v>0.38017568461110501</c:v>
                </c:pt>
                <c:pt idx="9">
                  <c:v>0.363295013337536</c:v>
                </c:pt>
                <c:pt idx="10">
                  <c:v>0.346463592549413</c:v>
                </c:pt>
                <c:pt idx="11">
                  <c:v>0.32979355056472298</c:v>
                </c:pt>
                <c:pt idx="12">
                  <c:v>0.31337551389048801</c:v>
                </c:pt>
                <c:pt idx="13">
                  <c:v>0.29728379315744102</c:v>
                </c:pt>
                <c:pt idx="14">
                  <c:v>0.28157993229910799</c:v>
                </c:pt>
                <c:pt idx="15">
                  <c:v>0.26631500763813698</c:v>
                </c:pt>
                <c:pt idx="16">
                  <c:v>0.251531044914652</c:v>
                </c:pt>
                <c:pt idx="17">
                  <c:v>0.237261874893227</c:v>
                </c:pt>
                <c:pt idx="18">
                  <c:v>0.22353372782728301</c:v>
                </c:pt>
                <c:pt idx="19">
                  <c:v>0.21036571104926599</c:v>
                </c:pt>
                <c:pt idx="20">
                  <c:v>0.197770286612484</c:v>
                </c:pt>
                <c:pt idx="21">
                  <c:v>0.185753797026914</c:v>
                </c:pt>
                <c:pt idx="22">
                  <c:v>0.174317053653927</c:v>
                </c:pt>
                <c:pt idx="23">
                  <c:v>0.16345596416144401</c:v>
                </c:pt>
                <c:pt idx="24">
                  <c:v>0.153162210145219</c:v>
                </c:pt>
                <c:pt idx="25">
                  <c:v>0.14342390491049301</c:v>
                </c:pt>
                <c:pt idx="26">
                  <c:v>0.134226242033571</c:v>
                </c:pt>
                <c:pt idx="27">
                  <c:v>0.12555210221457799</c:v>
                </c:pt>
                <c:pt idx="28">
                  <c:v>0.117382609319245</c:v>
                </c:pt>
                <c:pt idx="29">
                  <c:v>0.10969761731291799</c:v>
                </c:pt>
                <c:pt idx="30">
                  <c:v>0.102476152132113</c:v>
                </c:pt>
                <c:pt idx="31">
                  <c:v>9.5696772051773599E-2</c:v>
                </c:pt>
                <c:pt idx="32">
                  <c:v>8.9337878117483005E-2</c:v>
                </c:pt>
                <c:pt idx="33">
                  <c:v>8.3377969159610404E-2</c:v>
                </c:pt>
                <c:pt idx="34">
                  <c:v>7.7795840463977695E-2</c:v>
                </c:pt>
                <c:pt idx="35">
                  <c:v>7.2570754074698401E-2</c:v>
                </c:pt>
                <c:pt idx="36">
                  <c:v>6.76825566131809E-2</c:v>
                </c:pt>
                <c:pt idx="37">
                  <c:v>6.3111773322716405E-2</c:v>
                </c:pt>
                <c:pt idx="38">
                  <c:v>5.8839675172031897E-2</c:v>
                </c:pt>
                <c:pt idx="39">
                  <c:v>5.4848317791103503E-2</c:v>
                </c:pt>
                <c:pt idx="40">
                  <c:v>5.1120575182093897E-2</c:v>
                </c:pt>
                <c:pt idx="41">
                  <c:v>4.7640145829238201E-2</c:v>
                </c:pt>
                <c:pt idx="42">
                  <c:v>4.4391553960914702E-2</c:v>
                </c:pt>
                <c:pt idx="43">
                  <c:v>4.1360140318023701E-2</c:v>
                </c:pt>
                <c:pt idx="44">
                  <c:v>3.8532045881757702E-2</c:v>
                </c:pt>
                <c:pt idx="45">
                  <c:v>3.5894191241937497E-2</c:v>
                </c:pt>
                <c:pt idx="46">
                  <c:v>3.3434247093991801E-2</c:v>
                </c:pt>
                <c:pt idx="47">
                  <c:v>3.1140612048021699E-2</c:v>
                </c:pt>
                <c:pt idx="48">
                  <c:v>2.9002378287790599E-2</c:v>
                </c:pt>
                <c:pt idx="49">
                  <c:v>2.7009301389674101E-2</c:v>
                </c:pt>
                <c:pt idx="50">
                  <c:v>2.5151768555036799E-2</c:v>
                </c:pt>
                <c:pt idx="51">
                  <c:v>2.3420766801961802E-2</c:v>
                </c:pt>
                <c:pt idx="52">
                  <c:v>2.1807851481584501E-2</c:v>
                </c:pt>
                <c:pt idx="53">
                  <c:v>2.03051153995513E-2</c:v>
                </c:pt>
                <c:pt idx="54">
                  <c:v>1.8905158753968601E-2</c:v>
                </c:pt>
                <c:pt idx="55">
                  <c:v>1.76010600450268E-2</c:v>
                </c:pt>
                <c:pt idx="56">
                  <c:v>1.63863480660674E-2</c:v>
                </c:pt>
                <c:pt idx="57">
                  <c:v>1.5254975049334801E-2</c:v>
                </c:pt>
                <c:pt idx="58">
                  <c:v>1.4201291010455299E-2</c:v>
                </c:pt>
                <c:pt idx="59">
                  <c:v>1.3220019938169399E-2</c:v>
                </c:pt>
                <c:pt idx="60">
                  <c:v>1.23062340434919E-2</c:v>
                </c:pt>
                <c:pt idx="61">
                  <c:v>1.1455335617150101E-2</c:v>
                </c:pt>
                <c:pt idx="62">
                  <c:v>1.06630336023291E-2</c:v>
                </c:pt>
                <c:pt idx="63">
                  <c:v>9.92532460087521E-3</c:v>
                </c:pt>
                <c:pt idx="64">
                  <c:v>9.2384743367592108E-3</c:v>
                </c:pt>
                <c:pt idx="65">
                  <c:v>8.5990001992675893E-3</c:v>
                </c:pt>
                <c:pt idx="66">
                  <c:v>8.0036548219880599E-3</c:v>
                </c:pt>
                <c:pt idx="67">
                  <c:v>7.4494106518832696E-3</c:v>
                </c:pt>
                <c:pt idx="68">
                  <c:v>6.9334454618815104E-3</c:v>
                </c:pt>
                <c:pt idx="69">
                  <c:v>6.45312876024707E-3</c:v>
                </c:pt>
                <c:pt idx="70">
                  <c:v>6.0060090503748801E-3</c:v>
                </c:pt>
                <c:pt idx="71">
                  <c:v>5.5898018954701001E-3</c:v>
                </c:pt>
                <c:pt idx="72">
                  <c:v>5.2023787436996398E-3</c:v>
                </c:pt>
                <c:pt idx="73">
                  <c:v>4.8417564707748601E-3</c:v>
                </c:pt>
                <c:pt idx="74">
                  <c:v>4.5060875984630497E-3</c:v>
                </c:pt>
                <c:pt idx="75">
                  <c:v>4.1936511491832001E-3</c:v>
                </c:pt>
                <c:pt idx="76">
                  <c:v>3.9028440985684199E-3</c:v>
                </c:pt>
                <c:pt idx="77">
                  <c:v>3.6321733896446801E-3</c:v>
                </c:pt>
                <c:pt idx="78">
                  <c:v>3.3802484740524702E-3</c:v>
                </c:pt>
                <c:pt idx="79">
                  <c:v>3.14577434750298E-3</c:v>
                </c:pt>
                <c:pt idx="80">
                  <c:v>2.9275450483984798E-3</c:v>
                </c:pt>
                <c:pt idx="81">
                  <c:v>2.7244375902436002E-3</c:v>
                </c:pt>
                <c:pt idx="82">
                  <c:v>2.5354063001207499E-3</c:v>
                </c:pt>
                <c:pt idx="83">
                  <c:v>2.3594775370937701E-3</c:v>
                </c:pt>
                <c:pt idx="84">
                  <c:v>2.1957447659310598E-3</c:v>
                </c:pt>
                <c:pt idx="85">
                  <c:v>2.0433639630041802E-3</c:v>
                </c:pt>
                <c:pt idx="86">
                  <c:v>1.9015493326135001E-3</c:v>
                </c:pt>
                <c:pt idx="87">
                  <c:v>1.76956931332415E-3</c:v>
                </c:pt>
                <c:pt idx="88">
                  <c:v>1.64674285515675E-3</c:v>
                </c:pt>
                <c:pt idx="89">
                  <c:v>1.53243594967571E-3</c:v>
                </c:pt>
                <c:pt idx="90">
                  <c:v>1.4260583961504701E-3</c:v>
                </c:pt>
                <c:pt idx="91">
                  <c:v>1.32706078803363E-3</c:v>
                </c:pt>
                <c:pt idx="92">
                  <c:v>1.2349317050106699E-3</c:v>
                </c:pt>
                <c:pt idx="93">
                  <c:v>1.14919509682535E-3</c:v>
                </c:pt>
                <c:pt idx="94">
                  <c:v>1.06940784597987E-3</c:v>
                </c:pt>
                <c:pt idx="95">
                  <c:v>9.9515749725051809E-4</c:v>
                </c:pt>
                <c:pt idx="96">
                  <c:v>9.2606014274867305E-4</c:v>
                </c:pt>
                <c:pt idx="97">
                  <c:v>8.6175845199936601E-4</c:v>
                </c:pt>
                <c:pt idx="98">
                  <c:v>8.0191983720480202E-4</c:v>
                </c:pt>
                <c:pt idx="99">
                  <c:v>7.4623474451213101E-4</c:v>
                </c:pt>
                <c:pt idx="100">
                  <c:v>6.9441506271582102E-4</c:v>
                </c:pt>
                <c:pt idx="101">
                  <c:v>6.4619264139649198E-4</c:v>
                </c:pt>
                <c:pt idx="102">
                  <c:v>6.0131791103358297E-4</c:v>
                </c:pt>
                <c:pt idx="103">
                  <c:v>5.5955859812973003E-4</c:v>
                </c:pt>
                <c:pt idx="104">
                  <c:v>5.2069852885279196E-4</c:v>
                </c:pt>
                <c:pt idx="105">
                  <c:v>4.8453651513959801E-4</c:v>
                </c:pt>
                <c:pt idx="106">
                  <c:v>4.5088531761377799E-4</c:v>
                </c:pt>
                <c:pt idx="107">
                  <c:v>4.1957068005276602E-4</c:v>
                </c:pt>
                <c:pt idx="108">
                  <c:v>3.9043043049534601E-4</c:v>
                </c:pt>
                <c:pt idx="109">
                  <c:v>3.6331364441483799E-4</c:v>
                </c:pt>
                <c:pt idx="110">
                  <c:v>3.3807986569348399E-4</c:v>
                </c:pt>
                <c:pt idx="111">
                  <c:v>3.1459838142434298E-4</c:v>
                </c:pt>
                <c:pt idx="112">
                  <c:v>2.9274754683755299E-4</c:v>
                </c:pt>
                <c:pt idx="113">
                  <c:v>2.7241415690075699E-4</c:v>
                </c:pt>
                <c:pt idx="114">
                  <c:v>2.53492861378966E-4</c:v>
                </c:pt>
                <c:pt idx="115">
                  <c:v>2.3588562035921701E-4</c:v>
                </c:pt>
                <c:pt idx="116">
                  <c:v>2.1950119745018599E-4</c:v>
                </c:pt>
                <c:pt idx="117">
                  <c:v>2.0425468805824399E-4</c:v>
                </c:pt>
                <c:pt idx="118">
                  <c:v>1.9006708031942701E-4</c:v>
                </c:pt>
                <c:pt idx="119">
                  <c:v>1.76864846433163E-4</c:v>
                </c:pt>
                <c:pt idx="120">
                  <c:v>1.6457956229813599E-4</c:v>
                </c:pt>
                <c:pt idx="121">
                  <c:v>1.5314755349520601E-4</c:v>
                </c:pt>
                <c:pt idx="122">
                  <c:v>1.4250956579661E-4</c:v>
                </c:pt>
                <c:pt idx="123">
                  <c:v>1.32610458506034E-4</c:v>
                </c:pt>
                <c:pt idx="124">
                  <c:v>1.2339891905080899E-4</c:v>
                </c:pt>
                <c:pt idx="125">
                  <c:v>1.1482719735635E-4</c:v>
                </c:pt>
                <c:pt idx="126">
                  <c:v>1.06850858634152E-4</c:v>
                </c:pt>
                <c:pt idx="127">
                  <c:v>9.94285533091112E-5</c:v>
                </c:pt>
                <c:pt idx="128">
                  <c:v>9.2521802899813506E-5</c:v>
                </c:pt>
                <c:pt idx="129">
                  <c:v>8.6094800747335293E-5</c:v>
                </c:pt>
                <c:pt idx="130">
                  <c:v>8.0114226564317003E-5</c:v>
                </c:pt>
                <c:pt idx="131">
                  <c:v>7.4549073847116797E-5</c:v>
                </c:pt>
                <c:pt idx="132">
                  <c:v>6.9370489259994397E-5</c:v>
                </c:pt>
                <c:pt idx="133">
                  <c:v>6.4551623161817896E-5</c:v>
                </c:pt>
                <c:pt idx="134">
                  <c:v>6.0067490503192099E-5</c:v>
                </c:pt>
                <c:pt idx="135">
                  <c:v>5.5894841375246801E-5</c:v>
                </c:pt>
                <c:pt idx="136">
                  <c:v>5.20122938115733E-5</c:v>
                </c:pt>
                <c:pt idx="137">
                  <c:v>4.8399207830156102E-5</c:v>
                </c:pt>
                <c:pt idx="138">
                  <c:v>4.5037103064571603E-5</c:v>
                </c:pt>
                <c:pt idx="139">
                  <c:v>4.1908546222024703E-5</c:v>
                </c:pt>
                <c:pt idx="140">
                  <c:v>3.8997314808398899E-5</c:v>
                </c:pt>
                <c:pt idx="141">
                  <c:v>3.6288313050628899E-5</c:v>
                </c:pt>
                <c:pt idx="142">
                  <c:v>3.3767493655342099E-5</c:v>
                </c:pt>
                <c:pt idx="143">
                  <c:v>3.1421784998899599E-5</c:v>
                </c:pt>
                <c:pt idx="144">
                  <c:v>2.9239023372037201E-5</c:v>
                </c:pt>
                <c:pt idx="145">
                  <c:v>2.7207889928395501E-5</c:v>
                </c:pt>
                <c:pt idx="146">
                  <c:v>2.5317852010544499E-5</c:v>
                </c:pt>
                <c:pt idx="147">
                  <c:v>2.35591085497532E-5</c:v>
                </c:pt>
                <c:pt idx="148">
                  <c:v>2.1922539256781601E-5</c:v>
                </c:pt>
                <c:pt idx="149">
                  <c:v>2.03996573405962E-5</c:v>
                </c:pt>
                <c:pt idx="150">
                  <c:v>1.8982565510155799E-5</c:v>
                </c:pt>
                <c:pt idx="151">
                  <c:v>1.7663915031381202E-5</c:v>
                </c:pt>
                <c:pt idx="152">
                  <c:v>1.64368676272455E-5</c:v>
                </c:pt>
                <c:pt idx="153">
                  <c:v>1.52950600236189E-5</c:v>
                </c:pt>
                <c:pt idx="154">
                  <c:v>1.42325709572026E-5</c:v>
                </c:pt>
                <c:pt idx="155">
                  <c:v>1.3243890474622901E-5</c:v>
                </c:pt>
                <c:pt idx="156">
                  <c:v>1.2323891363622401E-5</c:v>
                </c:pt>
                <c:pt idx="157">
                  <c:v>1.1467802568315E-5</c:v>
                </c:pt>
                <c:pt idx="158">
                  <c:v>1.0671184450753099E-5</c:v>
                </c:pt>
                <c:pt idx="159">
                  <c:v>9.9299057706077495E-6</c:v>
                </c:pt>
                <c:pt idx="160">
                  <c:v>9.2401222636628997E-6</c:v>
                </c:pt>
                <c:pt idx="161">
                  <c:v>8.5982567081065402E-6</c:v>
                </c:pt>
                <c:pt idx="162">
                  <c:v>8.0009803753067807E-6</c:v>
                </c:pt>
                <c:pt idx="163">
                  <c:v>7.44519576892912E-6</c:v>
                </c:pt>
                <c:pt idx="164">
                  <c:v>6.9280205629306997E-6</c:v>
                </c:pt>
                <c:pt idx="165">
                  <c:v>6.4467726551725197E-6</c:v>
                </c:pt>
                <c:pt idx="166">
                  <c:v>5.9989562591769599E-6</c:v>
                </c:pt>
                <c:pt idx="167">
                  <c:v>5.5822489619297903E-6</c:v>
                </c:pt>
                <c:pt idx="168">
                  <c:v>5.1944896806392903E-6</c:v>
                </c:pt>
                <c:pt idx="169">
                  <c:v>4.8336674560150997E-6</c:v>
                </c:pt>
                <c:pt idx="170">
                  <c:v>4.4979110239723299E-6</c:v>
                </c:pt>
                <c:pt idx="171">
                  <c:v>4.1854791116954802E-6</c:v>
                </c:pt>
                <c:pt idx="172">
                  <c:v>3.8947514077523702E-6</c:v>
                </c:pt>
                <c:pt idx="173">
                  <c:v>3.6242201594425302E-6</c:v>
                </c:pt>
                <c:pt idx="174">
                  <c:v>3.3724823538143999E-6</c:v>
                </c:pt>
                <c:pt idx="175">
                  <c:v>3.1382324418122598E-6</c:v>
                </c:pt>
                <c:pt idx="176">
                  <c:v>2.92025556782765E-6</c:v>
                </c:pt>
                <c:pt idx="177">
                  <c:v>2.7174212695515002E-6</c:v>
                </c:pt>
                <c:pt idx="178">
                  <c:v>2.52867761545958E-6</c:v>
                </c:pt>
                <c:pt idx="179">
                  <c:v>2.3530457495341801E-6</c:v>
                </c:pt>
                <c:pt idx="180">
                  <c:v>2.1896148149351099E-6</c:v>
                </c:pt>
                <c:pt idx="181">
                  <c:v>2.03753723029731E-6</c:v>
                </c:pt>
                <c:pt idx="182">
                  <c:v>1.8960242941618099E-6</c:v>
                </c:pt>
                <c:pt idx="183">
                  <c:v>1.7643420947472E-6</c:v>
                </c:pt>
                <c:pt idx="184">
                  <c:v>1.6418077038515999E-6</c:v>
                </c:pt>
                <c:pt idx="185">
                  <c:v>1.52778563514887E-6</c:v>
                </c:pt>
                <c:pt idx="186">
                  <c:v>1.4216845485135501E-6</c:v>
                </c:pt>
                <c:pt idx="187">
                  <c:v>1.32295418328409E-6</c:v>
                </c:pt>
                <c:pt idx="188">
                  <c:v>1.23108250456192E-6</c:v>
                </c:pt>
                <c:pt idx="189">
                  <c:v>1.14559304774732E-6</c:v>
                </c:pt>
                <c:pt idx="190">
                  <c:v>1.06604244754251E-6</c:v>
                </c:pt>
                <c:pt idx="191">
                  <c:v>9.9201813860707691E-7</c:v>
                </c:pt>
                <c:pt idx="192">
                  <c:v>9.2313621594267004E-7</c:v>
                </c:pt>
                <c:pt idx="193">
                  <c:v>8.5903944391057099E-7</c:v>
                </c:pt>
                <c:pt idx="194">
                  <c:v>7.9939540355794195E-7</c:v>
                </c:pt>
                <c:pt idx="195">
                  <c:v>7.4389476864459203E-7</c:v>
                </c:pt>
                <c:pt idx="196">
                  <c:v>6.9224970142992798E-7</c:v>
                </c:pt>
                <c:pt idx="197">
                  <c:v>6.4419235990111805E-7</c:v>
                </c:pt>
                <c:pt idx="198">
                  <c:v>5.9947350870070205E-7</c:v>
                </c:pt>
                <c:pt idx="199">
                  <c:v>5.5786122655015705E-7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'New, i&gt;8 can correct e (2'!$G$1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'New, i&gt;8 can correct e (2'!$A$2:$A$201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'New, i&gt;8 can correct e (2'!$G$2:$G$201</c:f>
              <c:numCache>
                <c:formatCode>0.000</c:formatCode>
                <c:ptCount val="200"/>
                <c:pt idx="0">
                  <c:v>0.50365605604989805</c:v>
                </c:pt>
                <c:pt idx="1">
                  <c:v>0.505657354775777</c:v>
                </c:pt>
                <c:pt idx="2">
                  <c:v>0.50610777545818397</c:v>
                </c:pt>
                <c:pt idx="3">
                  <c:v>0.50517148068274698</c:v>
                </c:pt>
                <c:pt idx="4">
                  <c:v>0.50304698196453701</c:v>
                </c:pt>
                <c:pt idx="5">
                  <c:v>0.49993751474133902</c:v>
                </c:pt>
                <c:pt idx="6">
                  <c:v>0.49602799280766502</c:v>
                </c:pt>
                <c:pt idx="7">
                  <c:v>0.49147317300847898</c:v>
                </c:pt>
                <c:pt idx="8">
                  <c:v>0.48639576732060702</c:v>
                </c:pt>
                <c:pt idx="9">
                  <c:v>0.48089055107536999</c:v>
                </c:pt>
                <c:pt idx="10">
                  <c:v>0.47503071775656402</c:v>
                </c:pt>
                <c:pt idx="11">
                  <c:v>0.46887414161780999</c:v>
                </c:pt>
                <c:pt idx="12">
                  <c:v>0.46246843239519603</c:v>
                </c:pt>
                <c:pt idx="13">
                  <c:v>0.45585458934914402</c:v>
                </c:pt>
                <c:pt idx="14">
                  <c:v>0.449069343684939</c:v>
                </c:pt>
                <c:pt idx="15">
                  <c:v>0.44214652334308302</c:v>
                </c:pt>
                <c:pt idx="16">
                  <c:v>0.43511771987789799</c:v>
                </c:pt>
                <c:pt idx="17">
                  <c:v>0.42801248949385401</c:v>
                </c:pt>
                <c:pt idx="18">
                  <c:v>0.42085832695478598</c:v>
                </c:pt>
                <c:pt idx="19">
                  <c:v>0.41368052246348302</c:v>
                </c:pt>
                <c:pt idx="20">
                  <c:v>0.40650200741845999</c:v>
                </c:pt>
                <c:pt idx="21">
                  <c:v>0.39934324203524901</c:v>
                </c:pt>
                <c:pt idx="22">
                  <c:v>0.392222173600484</c:v>
                </c:pt>
                <c:pt idx="23">
                  <c:v>0.385154254428971</c:v>
                </c:pt>
                <c:pt idx="24">
                  <c:v>0.37815255503384998</c:v>
                </c:pt>
                <c:pt idx="25">
                  <c:v>0.37122790211552198</c:v>
                </c:pt>
                <c:pt idx="26">
                  <c:v>0.36438906839983598</c:v>
                </c:pt>
                <c:pt idx="27">
                  <c:v>0.35764298155405899</c:v>
                </c:pt>
                <c:pt idx="28">
                  <c:v>0.35099494435551398</c:v>
                </c:pt>
                <c:pt idx="29">
                  <c:v>0.344448838818606</c:v>
                </c:pt>
                <c:pt idx="30">
                  <c:v>0.33800734883776801</c:v>
                </c:pt>
                <c:pt idx="31">
                  <c:v>0.33167213868733197</c:v>
                </c:pt>
                <c:pt idx="32">
                  <c:v>0.32544402834764802</c:v>
                </c:pt>
                <c:pt idx="33">
                  <c:v>0.31932314909514897</c:v>
                </c:pt>
                <c:pt idx="34">
                  <c:v>0.31330906649703399</c:v>
                </c:pt>
                <c:pt idx="35">
                  <c:v>0.307400912103171</c:v>
                </c:pt>
                <c:pt idx="36">
                  <c:v>0.30159747018016803</c:v>
                </c:pt>
                <c:pt idx="37">
                  <c:v>0.29589726321668602</c:v>
                </c:pt>
                <c:pt idx="38">
                  <c:v>0.29029862339142998</c:v>
                </c:pt>
                <c:pt idx="39">
                  <c:v>0.284799738604884</c:v>
                </c:pt>
                <c:pt idx="40">
                  <c:v>0.279398715522439</c:v>
                </c:pt>
                <c:pt idx="41">
                  <c:v>0.27409360579997</c:v>
                </c:pt>
                <c:pt idx="42">
                  <c:v>0.26888243909047799</c:v>
                </c:pt>
                <c:pt idx="43">
                  <c:v>0.263763246819886</c:v>
                </c:pt>
                <c:pt idx="44">
                  <c:v>0.25873408069727</c:v>
                </c:pt>
                <c:pt idx="45">
                  <c:v>0.253793029468181</c:v>
                </c:pt>
                <c:pt idx="46">
                  <c:v>0.24893821883643999</c:v>
                </c:pt>
                <c:pt idx="47">
                  <c:v>0.24416783526271199</c:v>
                </c:pt>
                <c:pt idx="48">
                  <c:v>0.23948012013794501</c:v>
                </c:pt>
                <c:pt idx="49">
                  <c:v>0.23487337583245901</c:v>
                </c:pt>
                <c:pt idx="50">
                  <c:v>0.230345967375748</c:v>
                </c:pt>
                <c:pt idx="51">
                  <c:v>0.225896322895905</c:v>
                </c:pt>
                <c:pt idx="52">
                  <c:v>0.221522933084247</c:v>
                </c:pt>
                <c:pt idx="53">
                  <c:v>0.217224349904795</c:v>
                </c:pt>
                <c:pt idx="54">
                  <c:v>0.21299918472993201</c:v>
                </c:pt>
                <c:pt idx="55">
                  <c:v>0.208846106051225</c:v>
                </c:pt>
                <c:pt idx="56">
                  <c:v>0.204763836887532</c:v>
                </c:pt>
                <c:pt idx="57">
                  <c:v>0.20075115198996801</c:v>
                </c:pt>
                <c:pt idx="58">
                  <c:v>0.19680687492454799</c:v>
                </c:pt>
                <c:pt idx="59">
                  <c:v>0.19292987770159101</c:v>
                </c:pt>
                <c:pt idx="60">
                  <c:v>0.18911906731629599</c:v>
                </c:pt>
                <c:pt idx="61">
                  <c:v>0.18537339862827401</c:v>
                </c:pt>
                <c:pt idx="62">
                  <c:v>0.18169186086570299</c:v>
                </c:pt>
                <c:pt idx="63">
                  <c:v>0.17807347751948799</c:v>
                </c:pt>
                <c:pt idx="64">
                  <c:v>0.174517303674598</c:v>
                </c:pt>
                <c:pt idx="65">
                  <c:v>0.17102242346716101</c:v>
                </c:pt>
                <c:pt idx="66">
                  <c:v>0.16758794767661001</c:v>
                </c:pt>
                <c:pt idx="67">
                  <c:v>0.16421301145876899</c:v>
                </c:pt>
                <c:pt idx="68">
                  <c:v>0.160896772222895</c:v>
                </c:pt>
                <c:pt idx="69">
                  <c:v>0.15763840765338799</c:v>
                </c:pt>
                <c:pt idx="70">
                  <c:v>0.15443711387506201</c:v>
                </c:pt>
                <c:pt idx="71">
                  <c:v>0.15129210375936</c:v>
                </c:pt>
                <c:pt idx="72">
                  <c:v>0.148202605367727</c:v>
                </c:pt>
                <c:pt idx="73">
                  <c:v>0.14516786052751501</c:v>
                </c:pt>
                <c:pt idx="74">
                  <c:v>0.142187123535019</c:v>
                </c:pt>
                <c:pt idx="75">
                  <c:v>0.13925965997985701</c:v>
                </c:pt>
                <c:pt idx="76">
                  <c:v>0.136384745684479</c:v>
                </c:pt>
                <c:pt idx="77">
                  <c:v>0.13356166575245901</c:v>
                </c:pt>
                <c:pt idx="78">
                  <c:v>0.13078971371904699</c:v>
                </c:pt>
                <c:pt idx="79">
                  <c:v>0.12806819079749801</c:v>
                </c:pt>
                <c:pt idx="80">
                  <c:v>0.12539640521475001</c:v>
                </c:pt>
                <c:pt idx="81">
                  <c:v>0.122773671630061</c:v>
                </c:pt>
                <c:pt idx="82">
                  <c:v>0.120199310630498</c:v>
                </c:pt>
                <c:pt idx="83">
                  <c:v>0.117672648297241</c:v>
                </c:pt>
                <c:pt idx="84">
                  <c:v>0.115193015836978</c:v>
                </c:pt>
                <c:pt idx="85">
                  <c:v>0.11275974927285499</c:v>
                </c:pt>
                <c:pt idx="86">
                  <c:v>0.110372189189725</c:v>
                </c:pt>
                <c:pt idx="87">
                  <c:v>0.108029680528698</c:v>
                </c:pt>
                <c:pt idx="88">
                  <c:v>0.10573157242628101</c:v>
                </c:pt>
                <c:pt idx="89">
                  <c:v>0.103477218093617</c:v>
                </c:pt>
                <c:pt idx="90">
                  <c:v>0.10126597473169401</c:v>
                </c:pt>
                <c:pt idx="91">
                  <c:v>9.9097203478568499E-2</c:v>
                </c:pt>
                <c:pt idx="92">
                  <c:v>9.6970269384951693E-2</c:v>
                </c:pt>
                <c:pt idx="93">
                  <c:v>9.4884541414786097E-2</c:v>
                </c:pt>
                <c:pt idx="94">
                  <c:v>9.2839392467635895E-2</c:v>
                </c:pt>
                <c:pt idx="95">
                  <c:v>9.08341994199688E-2</c:v>
                </c:pt>
                <c:pt idx="96">
                  <c:v>8.8868343182673198E-2</c:v>
                </c:pt>
                <c:pt idx="97">
                  <c:v>8.6941208772292097E-2</c:v>
                </c:pt>
                <c:pt idx="98">
                  <c:v>8.5052185393744401E-2</c:v>
                </c:pt>
                <c:pt idx="99">
                  <c:v>8.3200666532438503E-2</c:v>
                </c:pt>
                <c:pt idx="100">
                  <c:v>8.1386050053902606E-2</c:v>
                </c:pt>
                <c:pt idx="101">
                  <c:v>7.9607738309203202E-2</c:v>
                </c:pt>
                <c:pt idx="102">
                  <c:v>7.7865138244624404E-2</c:v>
                </c:pt>
                <c:pt idx="103">
                  <c:v>7.6157661514175204E-2</c:v>
                </c:pt>
                <c:pt idx="104">
                  <c:v>7.4484724593709403E-2</c:v>
                </c:pt>
                <c:pt idx="105">
                  <c:v>7.2845748895495693E-2</c:v>
                </c:pt>
                <c:pt idx="106">
                  <c:v>7.1240160882267506E-2</c:v>
                </c:pt>
                <c:pt idx="107">
                  <c:v>6.9667392179859594E-2</c:v>
                </c:pt>
                <c:pt idx="108">
                  <c:v>6.8126879687640501E-2</c:v>
                </c:pt>
                <c:pt idx="109">
                  <c:v>6.6618065686088399E-2</c:v>
                </c:pt>
                <c:pt idx="110">
                  <c:v>6.5140397940893199E-2</c:v>
                </c:pt>
                <c:pt idx="111">
                  <c:v>6.3693329803090198E-2</c:v>
                </c:pt>
                <c:pt idx="112">
                  <c:v>6.2276320304806898E-2</c:v>
                </c:pt>
                <c:pt idx="113">
                  <c:v>6.0888834250235703E-2</c:v>
                </c:pt>
                <c:pt idx="114">
                  <c:v>5.95303423015573E-2</c:v>
                </c:pt>
                <c:pt idx="115">
                  <c:v>5.8200321059568703E-2</c:v>
                </c:pt>
                <c:pt idx="116">
                  <c:v>5.6898253138826703E-2</c:v>
                </c:pt>
                <c:pt idx="117">
                  <c:v>5.5623627237169099E-2</c:v>
                </c:pt>
                <c:pt idx="118">
                  <c:v>5.4375938199517901E-2</c:v>
                </c:pt>
                <c:pt idx="119">
                  <c:v>5.3154687075909798E-2</c:v>
                </c:pt>
                <c:pt idx="120">
                  <c:v>5.1959381173716498E-2</c:v>
                </c:pt>
                <c:pt idx="121">
                  <c:v>5.0789534104088499E-2</c:v>
                </c:pt>
                <c:pt idx="122">
                  <c:v>4.9644665822621802E-2</c:v>
                </c:pt>
                <c:pt idx="123">
                  <c:v>4.8524302664339602E-2</c:v>
                </c:pt>
                <c:pt idx="124">
                  <c:v>4.74279773730448E-2</c:v>
                </c:pt>
                <c:pt idx="125">
                  <c:v>4.6355229125163197E-2</c:v>
                </c:pt>
                <c:pt idx="126">
                  <c:v>4.5305603548159497E-2</c:v>
                </c:pt>
                <c:pt idx="127">
                  <c:v>4.4278652733696799E-2</c:v>
                </c:pt>
                <c:pt idx="128">
                  <c:v>4.3273935245643803E-2</c:v>
                </c:pt>
                <c:pt idx="129">
                  <c:v>4.2291016123093501E-2</c:v>
                </c:pt>
                <c:pt idx="130">
                  <c:v>4.1329466878558499E-2</c:v>
                </c:pt>
                <c:pt idx="131">
                  <c:v>4.0388865491490199E-2</c:v>
                </c:pt>
                <c:pt idx="132">
                  <c:v>3.9468796397312898E-2</c:v>
                </c:pt>
                <c:pt idx="133">
                  <c:v>3.8568850472119498E-2</c:v>
                </c:pt>
                <c:pt idx="134">
                  <c:v>3.7688625013234903E-2</c:v>
                </c:pt>
                <c:pt idx="135">
                  <c:v>3.6827723715804103E-2</c:v>
                </c:pt>
                <c:pt idx="136">
                  <c:v>3.5985759195697603E-2</c:v>
                </c:pt>
                <c:pt idx="137">
                  <c:v>3.5162342738850598E-2</c:v>
                </c:pt>
                <c:pt idx="138">
                  <c:v>3.4357099626019599E-2</c:v>
                </c:pt>
                <c:pt idx="139">
                  <c:v>3.3569658836396003E-2</c:v>
                </c:pt>
                <c:pt idx="140">
                  <c:v>3.2799655576645201E-2</c:v>
                </c:pt>
                <c:pt idx="141">
                  <c:v>3.2046731237423E-2</c:v>
                </c:pt>
                <c:pt idx="142">
                  <c:v>3.1310533347137799E-2</c:v>
                </c:pt>
                <c:pt idx="143">
                  <c:v>3.0590715523149601E-2</c:v>
                </c:pt>
                <c:pt idx="144">
                  <c:v>2.9886937420555901E-2</c:v>
                </c:pt>
                <c:pt idx="145">
                  <c:v>2.91988646787214E-2</c:v>
                </c:pt>
                <c:pt idx="146">
                  <c:v>2.8526168865716701E-2</c:v>
                </c:pt>
                <c:pt idx="147">
                  <c:v>2.7868527420803601E-2</c:v>
                </c:pt>
                <c:pt idx="148">
                  <c:v>2.72256235951241E-2</c:v>
                </c:pt>
                <c:pt idx="149">
                  <c:v>2.6597146390725902E-2</c:v>
                </c:pt>
                <c:pt idx="150">
                  <c:v>2.59827904980677E-2</c:v>
                </c:pt>
                <c:pt idx="151">
                  <c:v>2.5382256232130501E-2</c:v>
                </c:pt>
                <c:pt idx="152">
                  <c:v>2.47952494672707E-2</c:v>
                </c:pt>
                <c:pt idx="153">
                  <c:v>2.42214815709248E-2</c:v>
                </c:pt>
                <c:pt idx="154">
                  <c:v>2.36606693362993E-2</c:v>
                </c:pt>
                <c:pt idx="155">
                  <c:v>2.3112534914145302E-2</c:v>
                </c:pt>
                <c:pt idx="156">
                  <c:v>2.2576805743734801E-2</c:v>
                </c:pt>
                <c:pt idx="157">
                  <c:v>2.2053214483139801E-2</c:v>
                </c:pt>
                <c:pt idx="158">
                  <c:v>2.1541498938915299E-2</c:v>
                </c:pt>
                <c:pt idx="159">
                  <c:v>2.1041401995278701E-2</c:v>
                </c:pt>
                <c:pt idx="160">
                  <c:v>2.0552671542878601E-2</c:v>
                </c:pt>
                <c:pt idx="161">
                  <c:v>2.0075060407236799E-2</c:v>
                </c:pt>
                <c:pt idx="162">
                  <c:v>1.96083262769523E-2</c:v>
                </c:pt>
                <c:pt idx="163">
                  <c:v>1.91522316317345E-2</c:v>
                </c:pt>
                <c:pt idx="164">
                  <c:v>1.8706543670351398E-2</c:v>
                </c:pt>
                <c:pt idx="165">
                  <c:v>1.8271034238554602E-2</c:v>
                </c:pt>
                <c:pt idx="166">
                  <c:v>1.78454797570506E-2</c:v>
                </c:pt>
                <c:pt idx="167">
                  <c:v>1.7429661149583501E-2</c:v>
                </c:pt>
                <c:pt idx="168">
                  <c:v>1.7023363771184699E-2</c:v>
                </c:pt>
                <c:pt idx="169">
                  <c:v>1.66263773366476E-2</c:v>
                </c:pt>
                <c:pt idx="170">
                  <c:v>1.6238495849277799E-2</c:v>
                </c:pt>
                <c:pt idx="171">
                  <c:v>1.5859517529973999E-2</c:v>
                </c:pt>
                <c:pt idx="172">
                  <c:v>1.54892447466772E-2</c:v>
                </c:pt>
                <c:pt idx="173">
                  <c:v>1.5127483944239E-2</c:v>
                </c:pt>
                <c:pt idx="174">
                  <c:v>1.4774045574744901E-2</c:v>
                </c:pt>
                <c:pt idx="175">
                  <c:v>1.44287440283337E-2</c:v>
                </c:pt>
                <c:pt idx="176">
                  <c:v>1.4091397564546099E-2</c:v>
                </c:pt>
                <c:pt idx="177">
                  <c:v>1.3761828244234499E-2</c:v>
                </c:pt>
                <c:pt idx="178">
                  <c:v>1.3439861862067699E-2</c:v>
                </c:pt>
                <c:pt idx="179">
                  <c:v>1.3125327879653099E-2</c:v>
                </c:pt>
                <c:pt idx="180">
                  <c:v>1.28180593593081E-2</c:v>
                </c:pt>
                <c:pt idx="181">
                  <c:v>1.25178928984978E-2</c:v>
                </c:pt>
                <c:pt idx="182">
                  <c:v>1.22246685649668E-2</c:v>
                </c:pt>
                <c:pt idx="183">
                  <c:v>1.19382298325801E-2</c:v>
                </c:pt>
                <c:pt idx="184">
                  <c:v>1.1658423517892799E-2</c:v>
                </c:pt>
                <c:pt idx="185">
                  <c:v>1.1385099717463799E-2</c:v>
                </c:pt>
                <c:pt idx="186">
                  <c:v>1.11181117459302E-2</c:v>
                </c:pt>
                <c:pt idx="187">
                  <c:v>1.08573160748497E-2</c:v>
                </c:pt>
                <c:pt idx="188">
                  <c:v>1.0602572272329899E-2</c:v>
                </c:pt>
                <c:pt idx="189">
                  <c:v>1.0353742943445699E-2</c:v>
                </c:pt>
                <c:pt idx="190">
                  <c:v>1.0110693671462299E-2</c:v>
                </c:pt>
                <c:pt idx="191">
                  <c:v>9.8732929598620896E-3</c:v>
                </c:pt>
                <c:pt idx="192">
                  <c:v>9.6414121751877795E-3</c:v>
                </c:pt>
                <c:pt idx="193">
                  <c:v>9.4149254907037409E-3</c:v>
                </c:pt>
                <c:pt idx="194">
                  <c:v>9.1937098308798801E-3</c:v>
                </c:pt>
                <c:pt idx="195">
                  <c:v>8.9776448167004398E-3</c:v>
                </c:pt>
                <c:pt idx="196">
                  <c:v>8.7666127117996297E-3</c:v>
                </c:pt>
                <c:pt idx="197">
                  <c:v>8.5604983694243901E-3</c:v>
                </c:pt>
                <c:pt idx="198">
                  <c:v>8.3591891802248606E-3</c:v>
                </c:pt>
                <c:pt idx="199">
                  <c:v>8.1625750208723109E-3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'New, i&gt;8 can correct e (2'!$H$1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'New, i&gt;8 can correct e (2'!$A$2:$A$201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'New, i&gt;8 can correct e (2'!$H$2:$H$201</c:f>
              <c:numCache>
                <c:formatCode>0.000</c:formatCode>
                <c:ptCount val="200"/>
                <c:pt idx="0">
                  <c:v>0.51477141471972199</c:v>
                </c:pt>
                <c:pt idx="1">
                  <c:v>0.52814704760777598</c:v>
                </c:pt>
                <c:pt idx="2">
                  <c:v>0.54024720859047104</c:v>
                </c:pt>
                <c:pt idx="3">
                  <c:v>0.551216708681325</c:v>
                </c:pt>
                <c:pt idx="4">
                  <c:v>0.56120619207295697</c:v>
                </c:pt>
                <c:pt idx="5">
                  <c:v>0.57035591157044996</c:v>
                </c:pt>
                <c:pt idx="6">
                  <c:v>0.57878611662860402</c:v>
                </c:pt>
                <c:pt idx="7">
                  <c:v>0.58659457996485498</c:v>
                </c:pt>
                <c:pt idx="8">
                  <c:v>0.59385908305345303</c:v>
                </c:pt>
                <c:pt idx="9">
                  <c:v>0.60064206943009701</c:v>
                </c:pt>
                <c:pt idx="10">
                  <c:v>0.60699541093119003</c:v>
                </c:pt>
                <c:pt idx="11">
                  <c:v>0.61296427888631</c:v>
                </c:pt>
                <c:pt idx="12">
                  <c:v>0.61858980832633403</c:v>
                </c:pt>
                <c:pt idx="13">
                  <c:v>0.62391070084631595</c:v>
                </c:pt>
                <c:pt idx="14">
                  <c:v>0.62896397535731896</c:v>
                </c:pt>
                <c:pt idx="15">
                  <c:v>0.63378516459427603</c:v>
                </c:pt>
                <c:pt idx="16">
                  <c:v>0.63840817343434098</c:v>
                </c:pt>
                <c:pt idx="17">
                  <c:v>0.64286495842033897</c:v>
                </c:pt>
                <c:pt idx="18">
                  <c:v>0.64718518347347598</c:v>
                </c:pt>
                <c:pt idx="19">
                  <c:v>0.65139591006644804</c:v>
                </c:pt>
                <c:pt idx="20">
                  <c:v>0.65552137631719198</c:v>
                </c:pt>
                <c:pt idx="21">
                  <c:v>0.65958288205807603</c:v>
                </c:pt>
                <c:pt idx="22">
                  <c:v>0.66359878113064297</c:v>
                </c:pt>
                <c:pt idx="23">
                  <c:v>0.66758455687052198</c:v>
                </c:pt>
                <c:pt idx="24">
                  <c:v>0.67155299034729099</c:v>
                </c:pt>
                <c:pt idx="25">
                  <c:v>0.67551436167446699</c:v>
                </c:pt>
                <c:pt idx="26">
                  <c:v>0.67947669351126505</c:v>
                </c:pt>
                <c:pt idx="27">
                  <c:v>0.68344600755415896</c:v>
                </c:pt>
                <c:pt idx="28">
                  <c:v>0.68742658366058995</c:v>
                </c:pt>
                <c:pt idx="29">
                  <c:v>0.69142120171289101</c:v>
                </c:pt>
                <c:pt idx="30">
                  <c:v>0.69543138385760495</c:v>
                </c:pt>
                <c:pt idx="31">
                  <c:v>0.69945759934575202</c:v>
                </c:pt>
                <c:pt idx="32">
                  <c:v>0.70349945579475104</c:v>
                </c:pt>
                <c:pt idx="33">
                  <c:v>0.70755586710959895</c:v>
                </c:pt>
                <c:pt idx="34">
                  <c:v>0.71162519328060203</c:v>
                </c:pt>
                <c:pt idx="35">
                  <c:v>0.71570537233701803</c:v>
                </c:pt>
                <c:pt idx="36">
                  <c:v>0.71979402046619401</c:v>
                </c:pt>
                <c:pt idx="37">
                  <c:v>0.72388852225613898</c:v>
                </c:pt>
                <c:pt idx="38">
                  <c:v>0.72798610567632804</c:v>
                </c:pt>
                <c:pt idx="39">
                  <c:v>0.73208390009687196</c:v>
                </c:pt>
                <c:pt idx="40">
                  <c:v>0.73617899215288896</c:v>
                </c:pt>
                <c:pt idx="41">
                  <c:v>0.74026846312420103</c:v>
                </c:pt>
                <c:pt idx="42">
                  <c:v>0.74434942316535102</c:v>
                </c:pt>
                <c:pt idx="43">
                  <c:v>0.74841903786421204</c:v>
                </c:pt>
                <c:pt idx="44">
                  <c:v>0.75247454919402101</c:v>
                </c:pt>
                <c:pt idx="45">
                  <c:v>0.75651329197934603</c:v>
                </c:pt>
                <c:pt idx="46">
                  <c:v>0.76053270532952499</c:v>
                </c:pt>
                <c:pt idx="47">
                  <c:v>0.76453034325284897</c:v>
                </c:pt>
                <c:pt idx="48">
                  <c:v>0.76850387992483205</c:v>
                </c:pt>
                <c:pt idx="49">
                  <c:v>0.77245111416332501</c:v>
                </c:pt>
                <c:pt idx="50">
                  <c:v>0.77636997175348399</c:v>
                </c:pt>
                <c:pt idx="51">
                  <c:v>0.78025850626551596</c:v>
                </c:pt>
                <c:pt idx="52">
                  <c:v>0.78411489864278106</c:v>
                </c:pt>
                <c:pt idx="53">
                  <c:v>0.78793745579330499</c:v>
                </c:pt>
                <c:pt idx="54">
                  <c:v>0.79172460838057601</c:v>
                </c:pt>
                <c:pt idx="55">
                  <c:v>0.79547490797809906</c:v>
                </c:pt>
                <c:pt idx="56">
                  <c:v>0.79918702372596595</c:v>
                </c:pt>
                <c:pt idx="57">
                  <c:v>0.80285973860554705</c:v>
                </c:pt>
                <c:pt idx="58">
                  <c:v>0.806491945429752</c:v>
                </c:pt>
                <c:pt idx="59">
                  <c:v>0.810082641896124</c:v>
                </c:pt>
                <c:pt idx="60">
                  <c:v>0.81363092915242896</c:v>
                </c:pt>
                <c:pt idx="61">
                  <c:v>0.81713600304485601</c:v>
                </c:pt>
                <c:pt idx="62">
                  <c:v>0.82059715251909804</c:v>
                </c:pt>
                <c:pt idx="63">
                  <c:v>0.82401375446978498</c:v>
                </c:pt>
                <c:pt idx="64">
                  <c:v>0.82738526933694001</c:v>
                </c:pt>
                <c:pt idx="65">
                  <c:v>0.83071123677004399</c:v>
                </c:pt>
                <c:pt idx="66">
                  <c:v>0.83399127138083295</c:v>
                </c:pt>
                <c:pt idx="67">
                  <c:v>0.83722505860158403</c:v>
                </c:pt>
                <c:pt idx="68">
                  <c:v>0.84041235066187703</c:v>
                </c:pt>
                <c:pt idx="69">
                  <c:v>0.84355296269375701</c:v>
                </c:pt>
                <c:pt idx="70">
                  <c:v>0.84664676897244595</c:v>
                </c:pt>
                <c:pt idx="71">
                  <c:v>0.84969369929750704</c:v>
                </c:pt>
                <c:pt idx="72">
                  <c:v>0.85269373551744798</c:v>
                </c:pt>
                <c:pt idx="73">
                  <c:v>0.85564690819915301</c:v>
                </c:pt>
                <c:pt idx="74">
                  <c:v>0.85855329344214204</c:v>
                </c:pt>
                <c:pt idx="75">
                  <c:v>0.86141300983660396</c:v>
                </c:pt>
                <c:pt idx="76">
                  <c:v>0.864226215563211</c:v>
                </c:pt>
                <c:pt idx="77">
                  <c:v>0.86699310563197396</c:v>
                </c:pt>
                <c:pt idx="78">
                  <c:v>0.86971390925685099</c:v>
                </c:pt>
                <c:pt idx="79">
                  <c:v>0.87238888736233</c:v>
                </c:pt>
                <c:pt idx="80">
                  <c:v>0.87501833021786202</c:v>
                </c:pt>
                <c:pt idx="81">
                  <c:v>0.877602555195794</c:v>
                </c:pt>
                <c:pt idx="82">
                  <c:v>0.88014190464826303</c:v>
                </c:pt>
                <c:pt idx="83">
                  <c:v>0.882636743898364</c:v>
                </c:pt>
                <c:pt idx="84">
                  <c:v>0.88508745934097</c:v>
                </c:pt>
                <c:pt idx="85">
                  <c:v>0.88749445664840598</c:v>
                </c:pt>
                <c:pt idx="86">
                  <c:v>0.88985815907641197</c:v>
                </c:pt>
                <c:pt idx="87">
                  <c:v>0.89217900586572896</c:v>
                </c:pt>
                <c:pt idx="88">
                  <c:v>0.89445745073483696</c:v>
                </c:pt>
                <c:pt idx="89">
                  <c:v>0.89669396045944505</c:v>
                </c:pt>
                <c:pt idx="90">
                  <c:v>0.89888901353447703</c:v>
                </c:pt>
                <c:pt idx="91">
                  <c:v>0.90104309891443202</c:v>
                </c:pt>
                <c:pt idx="92">
                  <c:v>0.90315671482813598</c:v>
                </c:pt>
                <c:pt idx="93">
                  <c:v>0.90523036766408205</c:v>
                </c:pt>
                <c:pt idx="94">
                  <c:v>0.90726457092268098</c:v>
                </c:pt>
                <c:pt idx="95">
                  <c:v>0.90925984423192396</c:v>
                </c:pt>
                <c:pt idx="96">
                  <c:v>0.91121671242311697</c:v>
                </c:pt>
                <c:pt idx="97">
                  <c:v>0.91313570466348004</c:v>
                </c:pt>
                <c:pt idx="98">
                  <c:v>0.91501735364257697</c:v>
                </c:pt>
                <c:pt idx="99">
                  <c:v>0.916862194809697</c:v>
                </c:pt>
                <c:pt idx="100">
                  <c:v>0.91867076565942496</c:v>
                </c:pt>
                <c:pt idx="101">
                  <c:v>0.92044360506280098</c:v>
                </c:pt>
                <c:pt idx="102">
                  <c:v>0.922181252641609</c:v>
                </c:pt>
                <c:pt idx="103">
                  <c:v>0.92388424818342096</c:v>
                </c:pt>
                <c:pt idx="104">
                  <c:v>0.92555313109522397</c:v>
                </c:pt>
                <c:pt idx="105">
                  <c:v>0.92718843989347299</c:v>
                </c:pt>
                <c:pt idx="106">
                  <c:v>0.92879071172864203</c:v>
                </c:pt>
                <c:pt idx="107">
                  <c:v>0.930360481942337</c:v>
                </c:pt>
                <c:pt idx="108">
                  <c:v>0.93189828365523197</c:v>
                </c:pt>
                <c:pt idx="109">
                  <c:v>0.933404647384108</c:v>
                </c:pt>
                <c:pt idx="110">
                  <c:v>0.934880100686449</c:v>
                </c:pt>
                <c:pt idx="111">
                  <c:v>0.93632516783103104</c:v>
                </c:pt>
                <c:pt idx="112">
                  <c:v>0.937740369493132</c:v>
                </c:pt>
                <c:pt idx="113">
                  <c:v>0.93912622247297695</c:v>
                </c:pt>
                <c:pt idx="114">
                  <c:v>0.94048323943617096</c:v>
                </c:pt>
                <c:pt idx="115">
                  <c:v>0.94181192867488295</c:v>
                </c:pt>
                <c:pt idx="116">
                  <c:v>0.94311279388867297</c:v>
                </c:pt>
                <c:pt idx="117">
                  <c:v>0.94438633398384697</c:v>
                </c:pt>
                <c:pt idx="118">
                  <c:v>0.945633042890343</c:v>
                </c:pt>
                <c:pt idx="119">
                  <c:v>0.94685340939515705</c:v>
                </c:pt>
                <c:pt idx="120">
                  <c:v>0.948047916991412</c:v>
                </c:pt>
                <c:pt idx="121">
                  <c:v>0.94921704374217097</c:v>
                </c:pt>
                <c:pt idx="122">
                  <c:v>0.95036126215820005</c:v>
                </c:pt>
                <c:pt idx="123">
                  <c:v>0.95148103908887605</c:v>
                </c:pt>
                <c:pt idx="124">
                  <c:v>0.95257683562550499</c:v>
                </c:pt>
                <c:pt idx="125">
                  <c:v>0.95364910701634498</c:v>
                </c:pt>
                <c:pt idx="126">
                  <c:v>0.95469830259267996</c:v>
                </c:pt>
                <c:pt idx="127">
                  <c:v>0.95572486570527304</c:v>
                </c:pt>
                <c:pt idx="128">
                  <c:v>0.95672923367065299</c:v>
                </c:pt>
                <c:pt idx="129">
                  <c:v>0.95771183772660295</c:v>
                </c:pt>
                <c:pt idx="130">
                  <c:v>0.95867310299636399</c:v>
                </c:pt>
                <c:pt idx="131">
                  <c:v>0.95961344846099195</c:v>
                </c:pt>
                <c:pt idx="132">
                  <c:v>0.96053328693941298</c:v>
                </c:pt>
                <c:pt idx="133">
                  <c:v>0.96143302507568196</c:v>
                </c:pt>
                <c:pt idx="134">
                  <c:v>0.96231306333303701</c:v>
                </c:pt>
                <c:pt idx="135">
                  <c:v>0.96317379599429698</c:v>
                </c:pt>
                <c:pt idx="136">
                  <c:v>0.96401561039908701</c:v>
                </c:pt>
                <c:pt idx="137">
                  <c:v>0.96483889004896095</c:v>
                </c:pt>
                <c:pt idx="138">
                  <c:v>0.96564400995960697</c:v>
                </c:pt>
                <c:pt idx="139">
                  <c:v>0.96643133980976503</c:v>
                </c:pt>
                <c:pt idx="140">
                  <c:v>0.96720124318182799</c:v>
                </c:pt>
                <c:pt idx="141">
                  <c:v>0.96795407759266305</c:v>
                </c:pt>
                <c:pt idx="142">
                  <c:v>0.96869019452838501</c:v>
                </c:pt>
                <c:pt idx="143">
                  <c:v>0.96940993948279097</c:v>
                </c:pt>
                <c:pt idx="144">
                  <c:v>0.97011365199920097</c:v>
                </c:pt>
                <c:pt idx="145">
                  <c:v>0.97080166571544901</c:v>
                </c:pt>
                <c:pt idx="146">
                  <c:v>0.97147430841178295</c:v>
                </c:pt>
                <c:pt idx="147">
                  <c:v>0.97213190206144695</c:v>
                </c:pt>
                <c:pt idx="148">
                  <c:v>0.97277476288373999</c:v>
                </c:pt>
                <c:pt idx="149">
                  <c:v>0.97340320139932501</c:v>
                </c:pt>
                <c:pt idx="150">
                  <c:v>0.97401752248761597</c:v>
                </c:pt>
                <c:pt idx="151">
                  <c:v>0.97461802544605103</c:v>
                </c:pt>
                <c:pt idx="152">
                  <c:v>0.97520500405106902</c:v>
                </c:pt>
                <c:pt idx="153">
                  <c:v>0.97577874662063302</c:v>
                </c:pt>
                <c:pt idx="154">
                  <c:v>0.97633953607815205</c:v>
                </c:pt>
                <c:pt idx="155">
                  <c:v>0.97688765001762601</c:v>
                </c:pt>
                <c:pt idx="156">
                  <c:v>0.97742336076990899</c:v>
                </c:pt>
                <c:pt idx="157">
                  <c:v>0.97794693546991396</c:v>
                </c:pt>
                <c:pt idx="158">
                  <c:v>0.97845863612469397</c:v>
                </c:pt>
                <c:pt idx="159">
                  <c:v>0.97895871968221004</c:v>
                </c:pt>
                <c:pt idx="160">
                  <c:v>0.97944743810073298</c:v>
                </c:pt>
                <c:pt idx="161">
                  <c:v>0.97992503841874301</c:v>
                </c:pt>
                <c:pt idx="162">
                  <c:v>0.98039176282523299</c:v>
                </c:pt>
                <c:pt idx="163">
                  <c:v>0.98084784873032504</c:v>
                </c:pt>
                <c:pt idx="164">
                  <c:v>0.98129352883610699</c:v>
                </c:pt>
                <c:pt idx="165">
                  <c:v>0.98172903120761801</c:v>
                </c:pt>
                <c:pt idx="166">
                  <c:v>0.98215457934388095</c:v>
                </c:pt>
                <c:pt idx="167">
                  <c:v>0.98257039224893405</c:v>
                </c:pt>
                <c:pt idx="168">
                  <c:v>0.98297668450278097</c:v>
                </c:pt>
                <c:pt idx="169">
                  <c:v>0.98337366633218903</c:v>
                </c:pt>
                <c:pt idx="170">
                  <c:v>0.98376154368128799</c:v>
                </c:pt>
                <c:pt idx="171">
                  <c:v>0.98414051828190696</c:v>
                </c:pt>
                <c:pt idx="172">
                  <c:v>0.98451078772358902</c:v>
                </c:pt>
                <c:pt idx="173">
                  <c:v>0.98487254552325199</c:v>
                </c:pt>
                <c:pt idx="174">
                  <c:v>0.98522598119443805</c:v>
                </c:pt>
                <c:pt idx="175">
                  <c:v>0.98557128031609897</c:v>
                </c:pt>
                <c:pt idx="176">
                  <c:v>0.985908624600909</c:v>
                </c:pt>
                <c:pt idx="177">
                  <c:v>0.98623819196303897</c:v>
                </c:pt>
                <c:pt idx="178">
                  <c:v>0.986560156585365</c:v>
                </c:pt>
                <c:pt idx="179">
                  <c:v>0.98687468898609998</c:v>
                </c:pt>
                <c:pt idx="180">
                  <c:v>0.98718195608478898</c:v>
                </c:pt>
                <c:pt idx="181">
                  <c:v>0.98748212126766599</c:v>
                </c:pt>
                <c:pt idx="182">
                  <c:v>0.98777534445233905</c:v>
                </c:pt>
                <c:pt idx="183">
                  <c:v>0.98806178215177998</c:v>
                </c:pt>
                <c:pt idx="184">
                  <c:v>0.98834158753760804</c:v>
                </c:pt>
                <c:pt idx="185">
                  <c:v>0.98861491050264105</c:v>
                </c:pt>
                <c:pt idx="186">
                  <c:v>0.98888189772269397</c:v>
                </c:pt>
                <c:pt idx="187">
                  <c:v>0.989142692717637</c:v>
                </c:pt>
                <c:pt idx="188">
                  <c:v>0.98939743591165896</c:v>
                </c:pt>
                <c:pt idx="189">
                  <c:v>0.98964626469276695</c:v>
                </c:pt>
                <c:pt idx="190">
                  <c:v>0.98988931347148401</c:v>
                </c:pt>
                <c:pt idx="191">
                  <c:v>0.99012671373874706</c:v>
                </c:pt>
                <c:pt idx="192">
                  <c:v>0.99035859412300298</c:v>
                </c:pt>
                <c:pt idx="193">
                  <c:v>0.99058508044648796</c:v>
                </c:pt>
                <c:pt idx="194">
                  <c:v>0.99080629578069301</c:v>
                </c:pt>
                <c:pt idx="195">
                  <c:v>0.99102236050100601</c:v>
                </c:pt>
                <c:pt idx="196">
                  <c:v>0.99123339234053798</c:v>
                </c:pt>
                <c:pt idx="197">
                  <c:v>0.99143950644311796</c:v>
                </c:pt>
                <c:pt idx="198">
                  <c:v>0.991640815415473</c:v>
                </c:pt>
                <c:pt idx="199">
                  <c:v>0.991837429378577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'New, i&gt;8 can correct e (2'!$I$1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val>
            <c:numRef>
              <c:f>'New, i&gt;8 can correct e (2'!$I$2:$I$201</c:f>
              <c:numCache>
                <c:formatCode>0.000</c:formatCode>
                <c:ptCount val="200"/>
                <c:pt idx="0">
                  <c:v>0.52587217961278598</c:v>
                </c:pt>
                <c:pt idx="1">
                  <c:v>0.55052306474092705</c:v>
                </c:pt>
                <c:pt idx="2">
                  <c:v>0.57401306234208005</c:v>
                </c:pt>
                <c:pt idx="3">
                  <c:v>0.59640044832584604</c:v>
                </c:pt>
                <c:pt idx="4">
                  <c:v>0.61773121551249699</c:v>
                </c:pt>
                <c:pt idx="5">
                  <c:v>0.638037572167786</c:v>
                </c:pt>
                <c:pt idx="6">
                  <c:v>0.65734229975713399</c:v>
                </c:pt>
                <c:pt idx="7">
                  <c:v>0.67566510378302702</c:v>
                </c:pt>
                <c:pt idx="8">
                  <c:v>0.69302805200826001</c:v>
                </c:pt>
                <c:pt idx="9">
                  <c:v>0.70945884949951299</c:v>
                </c:pt>
                <c:pt idx="10">
                  <c:v>0.72499194651274002</c:v>
                </c:pt>
                <c:pt idx="11">
                  <c:v>0.73966805392100199</c:v>
                </c:pt>
                <c:pt idx="12">
                  <c:v>0.75353270772382697</c:v>
                </c:pt>
                <c:pt idx="13">
                  <c:v>0.76663443698568501</c:v>
                </c:pt>
                <c:pt idx="14">
                  <c:v>0.77902288524853902</c:v>
                </c:pt>
                <c:pt idx="15">
                  <c:v>0.79074712983615503</c:v>
                </c:pt>
                <c:pt idx="16">
                  <c:v>0.80185431390872697</c:v>
                </c:pt>
                <c:pt idx="17">
                  <c:v>0.81238863013552898</c:v>
                </c:pt>
                <c:pt idx="18">
                  <c:v>0.82239066840088804</c:v>
                </c:pt>
                <c:pt idx="19">
                  <c:v>0.83189708145991403</c:v>
                </c:pt>
                <c:pt idx="20">
                  <c:v>0.84094052037861799</c:v>
                </c:pt>
                <c:pt idx="21">
                  <c:v>0.84954977840576595</c:v>
                </c:pt>
                <c:pt idx="22">
                  <c:v>0.85775008310441303</c:v>
                </c:pt>
                <c:pt idx="23">
                  <c:v>0.86556347737575501</c:v>
                </c:pt>
                <c:pt idx="24">
                  <c:v>0.87300925208921398</c:v>
                </c:pt>
                <c:pt idx="25">
                  <c:v>0.88010437992525803</c:v>
                </c:pt>
                <c:pt idx="26">
                  <c:v>0.88686393365623895</c:v>
                </c:pt>
                <c:pt idx="27">
                  <c:v>0.89330146679637901</c:v>
                </c:pt>
                <c:pt idx="28">
                  <c:v>0.89942934735597702</c:v>
                </c:pt>
                <c:pt idx="29">
                  <c:v>0.90525903900756899</c:v>
                </c:pt>
                <c:pt idx="30">
                  <c:v>0.91080133376646999</c:v>
                </c:pt>
                <c:pt idx="31">
                  <c:v>0.91606653378027203</c:v>
                </c:pt>
                <c:pt idx="32">
                  <c:v>0.92106459151951403</c:v>
                </c:pt>
                <c:pt idx="33">
                  <c:v>0.925805212250986</c:v>
                </c:pt>
                <c:pt idx="34">
                  <c:v>0.93029792531401001</c:v>
                </c:pt>
                <c:pt idx="35">
                  <c:v>0.93455212963666601</c:v>
                </c:pt>
                <c:pt idx="36">
                  <c:v>0.93857711915509201</c:v>
                </c:pt>
                <c:pt idx="37">
                  <c:v>0.94238209272110396</c:v>
                </c:pt>
                <c:pt idx="38">
                  <c:v>0.945976152291922</c:v>
                </c:pt>
                <c:pt idx="39">
                  <c:v>0.94936829425835201</c:v>
                </c:pt>
                <c:pt idx="40">
                  <c:v>0.95256739303558102</c:v>
                </c:pt>
                <c:pt idx="41">
                  <c:v>0.955582183939375</c:v>
                </c:pt>
                <c:pt idx="42">
                  <c:v>0.95842124348227897</c:v>
                </c:pt>
                <c:pt idx="43">
                  <c:v>0.96109296980919801</c:v>
                </c:pt>
                <c:pt idx="44">
                  <c:v>0.96360556399504205</c:v>
                </c:pt>
                <c:pt idx="45">
                  <c:v>0.965967012464926</c:v>
                </c:pt>
                <c:pt idx="46">
                  <c:v>0.96818507346105798</c:v>
                </c:pt>
                <c:pt idx="47">
                  <c:v>0.97026726157473597</c:v>
                </c:pt>
                <c:pt idx="48">
                  <c:v>0.97222083884079002</c:v>
                </c:pt>
                <c:pt idx="49">
                  <c:v>0.97405280608919098</c:v>
                </c:pt>
                <c:pt idx="50">
                  <c:v>0.97576989703254102</c:v>
                </c:pt>
                <c:pt idx="51">
                  <c:v>0.97737857454343702</c:v>
                </c:pt>
                <c:pt idx="52">
                  <c:v>0.97888502896393004</c:v>
                </c:pt>
                <c:pt idx="53">
                  <c:v>0.98029517826575796</c:v>
                </c:pt>
                <c:pt idx="54">
                  <c:v>0.98161466986764301</c:v>
                </c:pt>
                <c:pt idx="55">
                  <c:v>0.98284888391207803</c:v>
                </c:pt>
                <c:pt idx="56">
                  <c:v>0.98400293780651304</c:v>
                </c:pt>
                <c:pt idx="57">
                  <c:v>0.98508169184097605</c:v>
                </c:pt>
                <c:pt idx="58">
                  <c:v>0.986089755704468</c:v>
                </c:pt>
                <c:pt idx="59">
                  <c:v>0.98703149531491396</c:v>
                </c:pt>
                <c:pt idx="60">
                  <c:v>0.98791104234869298</c:v>
                </c:pt>
                <c:pt idx="61">
                  <c:v>0.988732299943611</c:v>
                </c:pt>
                <c:pt idx="62">
                  <c:v>0.98949895303197799</c:v>
                </c:pt>
                <c:pt idx="63">
                  <c:v>0.99021447671305296</c:v>
                </c:pt>
                <c:pt idx="64">
                  <c:v>0.99088214518118301</c:v>
                </c:pt>
                <c:pt idx="65">
                  <c:v>0.991505040688067</c:v>
                </c:pt>
                <c:pt idx="66">
                  <c:v>0.99208606246797304</c:v>
                </c:pt>
                <c:pt idx="67">
                  <c:v>0.99262793556554496</c:v>
                </c:pt>
                <c:pt idx="68">
                  <c:v>0.993133219515691</c:v>
                </c:pt>
                <c:pt idx="69">
                  <c:v>0.99360431683391504</c:v>
                </c:pt>
                <c:pt idx="70">
                  <c:v>0.99404348128343401</c:v>
                </c:pt>
                <c:pt idx="71">
                  <c:v>0.99445282589242701</c:v>
                </c:pt>
                <c:pt idx="72">
                  <c:v>0.99483433070101202</c:v>
                </c:pt>
                <c:pt idx="73">
                  <c:v>0.99518985022293704</c:v>
                </c:pt>
                <c:pt idx="74">
                  <c:v>0.99552112061167597</c:v>
                </c:pt>
                <c:pt idx="75">
                  <c:v>0.99582976652468402</c:v>
                </c:pt>
                <c:pt idx="76">
                  <c:v>0.99611730768296103</c:v>
                </c:pt>
                <c:pt idx="77">
                  <c:v>0.99638516512604602</c:v>
                </c:pt>
                <c:pt idx="78">
                  <c:v>0.99663466716492899</c:v>
                </c:pt>
                <c:pt idx="79">
                  <c:v>0.996867055037432</c:v>
                </c:pt>
                <c:pt idx="80">
                  <c:v>0.99708348827220505</c:v>
                </c:pt>
                <c:pt idx="81">
                  <c:v>0.99728504976882404</c:v>
                </c:pt>
                <c:pt idx="82">
                  <c:v>0.99747275060247698</c:v>
                </c:pt>
                <c:pt idx="83">
                  <c:v>0.99764753456251098</c:v>
                </c:pt>
                <c:pt idx="84">
                  <c:v>0.99781028243469805</c:v>
                </c:pt>
                <c:pt idx="85">
                  <c:v>0.99796181603743805</c:v>
                </c:pt>
                <c:pt idx="86">
                  <c:v>0.99810290202236696</c:v>
                </c:pt>
                <c:pt idx="87">
                  <c:v>0.99823425544994304</c:v>
                </c:pt>
                <c:pt idx="88">
                  <c:v>0.99835654315057698</c:v>
                </c:pt>
                <c:pt idx="89">
                  <c:v>0.99847038688177703</c:v>
                </c:pt>
                <c:pt idx="90">
                  <c:v>0.99857636629163105</c:v>
                </c:pt>
                <c:pt idx="91">
                  <c:v>0.99867502169871603</c:v>
                </c:pt>
                <c:pt idx="92">
                  <c:v>0.99876685669824194</c:v>
                </c:pt>
                <c:pt idx="93">
                  <c:v>0.99885234060397499</c:v>
                </c:pt>
                <c:pt idx="94">
                  <c:v>0.99893191073510801</c:v>
                </c:pt>
                <c:pt idx="95">
                  <c:v>0.99900597455692297</c:v>
                </c:pt>
                <c:pt idx="96">
                  <c:v>0.99907491168373197</c:v>
                </c:pt>
                <c:pt idx="97">
                  <c:v>0.99913907575219396</c:v>
                </c:pt>
                <c:pt idx="98">
                  <c:v>0.99919879617274598</c:v>
                </c:pt>
                <c:pt idx="99">
                  <c:v>0.99925437976652598</c:v>
                </c:pt>
                <c:pt idx="100">
                  <c:v>0.99930611229477095</c:v>
                </c:pt>
                <c:pt idx="101">
                  <c:v>0.99935425988734505</c:v>
                </c:pt>
                <c:pt idx="102">
                  <c:v>0.99939907037667497</c:v>
                </c:pt>
                <c:pt idx="103">
                  <c:v>0.99944077454304803</c:v>
                </c:pt>
                <c:pt idx="104">
                  <c:v>0.99947958727688602</c:v>
                </c:pt>
                <c:pt idx="105">
                  <c:v>0.99951570866329498</c:v>
                </c:pt>
                <c:pt idx="106">
                  <c:v>0.99954932499388105</c:v>
                </c:pt>
                <c:pt idx="107">
                  <c:v>0.99958060971054097</c:v>
                </c:pt>
                <c:pt idx="108">
                  <c:v>0.99960972428564299</c:v>
                </c:pt>
                <c:pt idx="109">
                  <c:v>0.99963681904274704</c:v>
                </c:pt>
                <c:pt idx="110">
                  <c:v>0.99966203392178399</c:v>
                </c:pt>
                <c:pt idx="111">
                  <c:v>0.99968549919233396</c:v>
                </c:pt>
                <c:pt idx="112">
                  <c:v>0.99970733611845397</c:v>
                </c:pt>
                <c:pt idx="113">
                  <c:v>0.99972765757826698</c:v>
                </c:pt>
                <c:pt idx="114">
                  <c:v>0.99974656864132005</c:v>
                </c:pt>
                <c:pt idx="115">
                  <c:v>0.99976416710655103</c:v>
                </c:pt>
                <c:pt idx="116">
                  <c:v>0.99978054400348204</c:v>
                </c:pt>
                <c:pt idx="117">
                  <c:v>0.99979578405913905</c:v>
                </c:pt>
                <c:pt idx="118">
                  <c:v>0.99980996613297801</c:v>
                </c:pt>
                <c:pt idx="119">
                  <c:v>0.99982316362199497</c:v>
                </c:pt>
                <c:pt idx="120">
                  <c:v>0.99983544483804199</c:v>
                </c:pt>
                <c:pt idx="121">
                  <c:v>0.99984687335921796</c:v>
                </c:pt>
                <c:pt idx="122">
                  <c:v>0.99985750835710197</c:v>
                </c:pt>
                <c:pt idx="123">
                  <c:v>0.99986740490148296</c:v>
                </c:pt>
                <c:pt idx="124">
                  <c:v>0.99987661424410101</c:v>
                </c:pt>
                <c:pt idx="125">
                  <c:v>0.99988518408284799</c:v>
                </c:pt>
                <c:pt idx="126">
                  <c:v>0.99989315880774698</c:v>
                </c:pt>
                <c:pt idx="127">
                  <c:v>0.99990057972998203</c:v>
                </c:pt>
                <c:pt idx="128">
                  <c:v>0.99990748529510498</c:v>
                </c:pt>
                <c:pt idx="129">
                  <c:v>0.99991391128153495</c:v>
                </c:pt>
                <c:pt idx="130">
                  <c:v>0.99991989098534395</c:v>
                </c:pt>
                <c:pt idx="131">
                  <c:v>0.99992545539226896</c:v>
                </c:pt>
                <c:pt idx="132">
                  <c:v>0.99993063333784105</c:v>
                </c:pt>
                <c:pt idx="133">
                  <c:v>0.99993545165643705</c:v>
                </c:pt>
                <c:pt idx="134">
                  <c:v>0.99993993532001801</c:v>
                </c:pt>
                <c:pt idx="135">
                  <c:v>0.99994410756727403</c:v>
                </c:pt>
                <c:pt idx="136">
                  <c:v>0.99994798978693999</c:v>
                </c:pt>
                <c:pt idx="137">
                  <c:v>0.99995160257749105</c:v>
                </c:pt>
                <c:pt idx="138">
                  <c:v>0.99995496442912102</c:v>
                </c:pt>
                <c:pt idx="139">
                  <c:v>0.999958092769066</c:v>
                </c:pt>
                <c:pt idx="140">
                  <c:v>0.99996100381463104</c:v>
                </c:pt>
                <c:pt idx="141">
                  <c:v>0.99996371265714001</c:v>
                </c:pt>
                <c:pt idx="142">
                  <c:v>0.99996623334007395</c:v>
                </c:pt>
                <c:pt idx="143">
                  <c:v>0.99996857893179203</c:v>
                </c:pt>
                <c:pt idx="144">
                  <c:v>0.99997076159320397</c:v>
                </c:pt>
                <c:pt idx="145">
                  <c:v>0.999972792640759</c:v>
                </c:pt>
                <c:pt idx="146">
                  <c:v>0.99997468260505895</c:v>
                </c:pt>
                <c:pt idx="147">
                  <c:v>0.99997644128541396</c:v>
                </c:pt>
                <c:pt idx="148">
                  <c:v>0.99997807780060499</c:v>
                </c:pt>
                <c:pt idx="149">
                  <c:v>0.999979600636132</c:v>
                </c:pt>
                <c:pt idx="150">
                  <c:v>0.99998101768817904</c:v>
                </c:pt>
                <c:pt idx="151">
                  <c:v>0.99998233630453304</c:v>
                </c:pt>
                <c:pt idx="152">
                  <c:v>0.99998356332265903</c:v>
                </c:pt>
                <c:pt idx="153">
                  <c:v>0.99998470510513504</c:v>
                </c:pt>
                <c:pt idx="154">
                  <c:v>0.99998576757263102</c:v>
                </c:pt>
                <c:pt idx="155">
                  <c:v>0.99998675623458899</c:v>
                </c:pt>
                <c:pt idx="156">
                  <c:v>0.99998767621778495</c:v>
                </c:pt>
                <c:pt idx="157">
                  <c:v>0.99998853229290097</c:v>
                </c:pt>
                <c:pt idx="158">
                  <c:v>0.99998932889925396</c:v>
                </c:pt>
                <c:pt idx="159">
                  <c:v>0.99999007016781005</c:v>
                </c:pt>
                <c:pt idx="160">
                  <c:v>0.9999907599426</c:v>
                </c:pt>
                <c:pt idx="161">
                  <c:v>0.99999140180064405</c:v>
                </c:pt>
                <c:pt idx="162">
                  <c:v>0.99999199907049696</c:v>
                </c:pt>
                <c:pt idx="163">
                  <c:v>0.99999255484951</c:v>
                </c:pt>
                <c:pt idx="164">
                  <c:v>0.99999307201988097</c:v>
                </c:pt>
                <c:pt idx="165">
                  <c:v>0.99999355326360595</c:v>
                </c:pt>
                <c:pt idx="166">
                  <c:v>0.99999400107637604</c:v>
                </c:pt>
                <c:pt idx="167">
                  <c:v>0.999994417780528</c:v>
                </c:pt>
                <c:pt idx="168">
                  <c:v>0.99999480553707398</c:v>
                </c:pt>
                <c:pt idx="169">
                  <c:v>0.99999516635691699</c:v>
                </c:pt>
                <c:pt idx="170">
                  <c:v>0.99999550211127097</c:v>
                </c:pt>
                <c:pt idx="171">
                  <c:v>0.99999581454136599</c:v>
                </c:pt>
                <c:pt idx="172">
                  <c:v>0.99999610526747695</c:v>
                </c:pt>
                <c:pt idx="173">
                  <c:v>0.99999637579732503</c:v>
                </c:pt>
                <c:pt idx="174">
                  <c:v>0.99999662753389595</c:v>
                </c:pt>
                <c:pt idx="175">
                  <c:v>0.99999686178271696</c:v>
                </c:pt>
                <c:pt idx="176">
                  <c:v>0.99999707975862395</c:v>
                </c:pt>
                <c:pt idx="177">
                  <c:v>0.999997282592061</c:v>
                </c:pt>
                <c:pt idx="178">
                  <c:v>0.99999747133494599</c:v>
                </c:pt>
                <c:pt idx="179">
                  <c:v>0.99999764696612303</c:v>
                </c:pt>
                <c:pt idx="180">
                  <c:v>0.99999781039643698</c:v>
                </c:pt>
                <c:pt idx="181">
                  <c:v>0.99999796247346096</c:v>
                </c:pt>
                <c:pt idx="182">
                  <c:v>0.99999810398588895</c:v>
                </c:pt>
                <c:pt idx="183">
                  <c:v>0.99999823566762602</c:v>
                </c:pt>
                <c:pt idx="184">
                  <c:v>0.999998358201594</c:v>
                </c:pt>
                <c:pt idx="185">
                  <c:v>0.99999847222327398</c:v>
                </c:pt>
                <c:pt idx="186">
                  <c:v>0.99999857832400296</c:v>
                </c:pt>
                <c:pt idx="187">
                  <c:v>0.999998677054037</c:v>
                </c:pt>
                <c:pt idx="188">
                  <c:v>0.99999876892540696</c:v>
                </c:pt>
                <c:pt idx="189">
                  <c:v>0.99999885441457703</c:v>
                </c:pt>
                <c:pt idx="190">
                  <c:v>0.99999893396490902</c:v>
                </c:pt>
                <c:pt idx="191">
                  <c:v>0.99999900798896602</c:v>
                </c:pt>
                <c:pt idx="192">
                  <c:v>0.99999907687065104</c:v>
                </c:pt>
                <c:pt idx="193">
                  <c:v>0.999999140967199</c:v>
                </c:pt>
                <c:pt idx="194">
                  <c:v>0.99999920061102698</c:v>
                </c:pt>
                <c:pt idx="195">
                  <c:v>0.99999925611146001</c:v>
                </c:pt>
                <c:pt idx="196">
                  <c:v>0.99999930775633505</c:v>
                </c:pt>
                <c:pt idx="197">
                  <c:v>0.99999935581349397</c:v>
                </c:pt>
                <c:pt idx="198">
                  <c:v>0.99999940053216996</c:v>
                </c:pt>
                <c:pt idx="199">
                  <c:v>0.99999944214428405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43712"/>
        <c:axId val="109445504"/>
      </c:lineChart>
      <c:catAx>
        <c:axId val="10944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445504"/>
        <c:crosses val="autoZero"/>
        <c:auto val="1"/>
        <c:lblAlgn val="ctr"/>
        <c:lblOffset val="100"/>
        <c:noMultiLvlLbl val="0"/>
      </c:catAx>
      <c:valAx>
        <c:axId val="10944550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09443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5.5 Original</c:v>
          </c:tx>
          <c:marker>
            <c:symbol val="none"/>
          </c:marker>
          <c:cat>
            <c:numRef>
              <c:f>'Comparison of Treatments'!$A$2:$A$201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'Comparison of Treatments'!$B$2:$B$201</c:f>
              <c:numCache>
                <c:formatCode>0.000</c:formatCode>
                <c:ptCount val="200"/>
                <c:pt idx="0">
                  <c:v>0.50534765070800203</c:v>
                </c:pt>
                <c:pt idx="1">
                  <c:v>0.50888321037248396</c:v>
                </c:pt>
                <c:pt idx="2">
                  <c:v>0.51069457007121799</c:v>
                </c:pt>
                <c:pt idx="3">
                  <c:v>0.51099318640978397</c:v>
                </c:pt>
                <c:pt idx="4">
                  <c:v>0.51006455514718496</c:v>
                </c:pt>
                <c:pt idx="5">
                  <c:v>0.50819806080724805</c:v>
                </c:pt>
                <c:pt idx="6">
                  <c:v>0.50563380927788604</c:v>
                </c:pt>
                <c:pt idx="7">
                  <c:v>0.502542834348088</c:v>
                </c:pt>
                <c:pt idx="8">
                  <c:v>0.49903280772859998</c:v>
                </c:pt>
                <c:pt idx="9">
                  <c:v>0.49516428110367899</c:v>
                </c:pt>
                <c:pt idx="10">
                  <c:v>0.49096725204863101</c:v>
                </c:pt>
                <c:pt idx="11">
                  <c:v>0.486454100380312</c:v>
                </c:pt>
                <c:pt idx="12">
                  <c:v>0.48162844187102699</c:v>
                </c:pt>
                <c:pt idx="13">
                  <c:v>0.47649068771557801</c:v>
                </c:pt>
                <c:pt idx="14">
                  <c:v>0.47104138047399502</c:v>
                </c:pt>
                <c:pt idx="15">
                  <c:v>0.46528300504320702</c:v>
                </c:pt>
                <c:pt idx="16">
                  <c:v>0.45922092510655999</c:v>
                </c:pt>
                <c:pt idx="17">
                  <c:v>0.45286370423911898</c:v>
                </c:pt>
                <c:pt idx="18">
                  <c:v>0.44622313454387602</c:v>
                </c:pt>
                <c:pt idx="19">
                  <c:v>0.439314017603678</c:v>
                </c:pt>
                <c:pt idx="20">
                  <c:v>0.43215385585703198</c:v>
                </c:pt>
                <c:pt idx="21">
                  <c:v>0.42476248141360201</c:v>
                </c:pt>
                <c:pt idx="22">
                  <c:v>0.41716162187261902</c:v>
                </c:pt>
                <c:pt idx="23">
                  <c:v>0.40937448358795198</c:v>
                </c:pt>
                <c:pt idx="24">
                  <c:v>0.40142533902170602</c:v>
                </c:pt>
                <c:pt idx="25">
                  <c:v>0.39333910018149099</c:v>
                </c:pt>
                <c:pt idx="26">
                  <c:v>0.38514094511736802</c:v>
                </c:pt>
                <c:pt idx="27">
                  <c:v>0.37685595847389802</c:v>
                </c:pt>
                <c:pt idx="28">
                  <c:v>0.36850880884953202</c:v>
                </c:pt>
                <c:pt idx="29">
                  <c:v>0.36012346367061598</c:v>
                </c:pt>
                <c:pt idx="30">
                  <c:v>0.35172294391991399</c:v>
                </c:pt>
                <c:pt idx="31">
                  <c:v>0.34332911982685699</c:v>
                </c:pt>
                <c:pt idx="32">
                  <c:v>0.33496254745977699</c:v>
                </c:pt>
                <c:pt idx="33">
                  <c:v>0.326642345095702</c:v>
                </c:pt>
                <c:pt idx="34">
                  <c:v>0.31838610731668998</c:v>
                </c:pt>
                <c:pt idx="35">
                  <c:v>0.31020985402111301</c:v>
                </c:pt>
                <c:pt idx="36">
                  <c:v>0.30212801096059799</c:v>
                </c:pt>
                <c:pt idx="37">
                  <c:v>0.29415341802276501</c:v>
                </c:pt>
                <c:pt idx="38">
                  <c:v>0.28629736126979699</c:v>
                </c:pt>
                <c:pt idx="39">
                  <c:v>0.27856962469702701</c:v>
                </c:pt>
                <c:pt idx="40">
                  <c:v>0.27097856064682102</c:v>
                </c:pt>
                <c:pt idx="41">
                  <c:v>0.263531157642374</c:v>
                </c:pt>
                <c:pt idx="42">
                  <c:v>0.25623314662168201</c:v>
                </c:pt>
                <c:pt idx="43">
                  <c:v>0.249089082409687</c:v>
                </c:pt>
                <c:pt idx="44">
                  <c:v>0.24210244346703999</c:v>
                </c:pt>
                <c:pt idx="45">
                  <c:v>0.235275731916508</c:v>
                </c:pt>
                <c:pt idx="46">
                  <c:v>0.22861055778800399</c:v>
                </c:pt>
                <c:pt idx="47">
                  <c:v>0.22210775001927599</c:v>
                </c:pt>
                <c:pt idx="48">
                  <c:v>0.215767433256108</c:v>
                </c:pt>
                <c:pt idx="49">
                  <c:v>0.20958911526833701</c:v>
                </c:pt>
                <c:pt idx="50">
                  <c:v>0.20357176845326599</c:v>
                </c:pt>
                <c:pt idx="51">
                  <c:v>0.1977138919793</c:v>
                </c:pt>
                <c:pt idx="52">
                  <c:v>0.19201359582114599</c:v>
                </c:pt>
                <c:pt idx="53">
                  <c:v>0.18646865039306099</c:v>
                </c:pt>
                <c:pt idx="54">
                  <c:v>0.18107654777476001</c:v>
                </c:pt>
                <c:pt idx="55">
                  <c:v>0.17583453993708301</c:v>
                </c:pt>
                <c:pt idx="56">
                  <c:v>0.17073970111449099</c:v>
                </c:pt>
                <c:pt idx="57">
                  <c:v>0.16578895501297</c:v>
                </c:pt>
                <c:pt idx="58">
                  <c:v>0.16097911281381599</c:v>
                </c:pt>
                <c:pt idx="59">
                  <c:v>0.15630690648640799</c:v>
                </c:pt>
                <c:pt idx="60">
                  <c:v>0.15176900407452101</c:v>
                </c:pt>
                <c:pt idx="61">
                  <c:v>0.14736205023447399</c:v>
                </c:pt>
                <c:pt idx="62">
                  <c:v>0.14308267410893499</c:v>
                </c:pt>
                <c:pt idx="63">
                  <c:v>0.138927509382471</c:v>
                </c:pt>
                <c:pt idx="64">
                  <c:v>0.13489320867941301</c:v>
                </c:pt>
                <c:pt idx="65">
                  <c:v>0.13097645830228399</c:v>
                </c:pt>
                <c:pt idx="66">
                  <c:v>0.127173977590325</c:v>
                </c:pt>
                <c:pt idx="67">
                  <c:v>0.12348254373076099</c:v>
                </c:pt>
                <c:pt idx="68">
                  <c:v>0.119898987254066</c:v>
                </c:pt>
                <c:pt idx="69">
                  <c:v>0.11642020033757899</c:v>
                </c:pt>
                <c:pt idx="70">
                  <c:v>0.113043141039454</c:v>
                </c:pt>
                <c:pt idx="71">
                  <c:v>0.109764836515735</c:v>
                </c:pt>
                <c:pt idx="72">
                  <c:v>0.10658238792897901</c:v>
                </c:pt>
                <c:pt idx="73">
                  <c:v>0.10349296158516599</c:v>
                </c:pt>
                <c:pt idx="74">
                  <c:v>0.10049380588135</c:v>
                </c:pt>
                <c:pt idx="75">
                  <c:v>9.7582240841063497E-2</c:v>
                </c:pt>
                <c:pt idx="76">
                  <c:v>9.4755660855326898E-2</c:v>
                </c:pt>
                <c:pt idx="77">
                  <c:v>9.2011534264672803E-2</c:v>
                </c:pt>
                <c:pt idx="78">
                  <c:v>8.9347402626702196E-2</c:v>
                </c:pt>
                <c:pt idx="79">
                  <c:v>8.6760879725756995E-2</c:v>
                </c:pt>
                <c:pt idx="80">
                  <c:v>8.4249650373503904E-2</c:v>
                </c:pt>
                <c:pt idx="81">
                  <c:v>8.1811471624558194E-2</c:v>
                </c:pt>
                <c:pt idx="82">
                  <c:v>7.9444160810041201E-2</c:v>
                </c:pt>
                <c:pt idx="83">
                  <c:v>7.71456098692931E-2</c:v>
                </c:pt>
                <c:pt idx="84">
                  <c:v>7.4913772901730999E-2</c:v>
                </c:pt>
                <c:pt idx="85">
                  <c:v>7.2746667182693195E-2</c:v>
                </c:pt>
                <c:pt idx="86">
                  <c:v>7.06423714102795E-2</c:v>
                </c:pt>
                <c:pt idx="87">
                  <c:v>6.8599023936097306E-2</c:v>
                </c:pt>
                <c:pt idx="88">
                  <c:v>6.6614820993203705E-2</c:v>
                </c:pt>
                <c:pt idx="89">
                  <c:v>6.4688014932258106E-2</c:v>
                </c:pt>
                <c:pt idx="90">
                  <c:v>6.2816912474960199E-2</c:v>
                </c:pt>
                <c:pt idx="91">
                  <c:v>6.0999872992144398E-2</c:v>
                </c:pt>
                <c:pt idx="92">
                  <c:v>5.9235306812470301E-2</c:v>
                </c:pt>
                <c:pt idx="93">
                  <c:v>5.75216735664099E-2</c:v>
                </c:pt>
                <c:pt idx="94">
                  <c:v>5.5857480569163398E-2</c:v>
                </c:pt>
                <c:pt idx="95">
                  <c:v>5.42412812452586E-2</c:v>
                </c:pt>
                <c:pt idx="96">
                  <c:v>5.2671676130948503E-2</c:v>
                </c:pt>
                <c:pt idx="97">
                  <c:v>5.11473011700865E-2</c:v>
                </c:pt>
                <c:pt idx="98">
                  <c:v>4.9666841725684703E-2</c:v>
                </c:pt>
                <c:pt idx="99">
                  <c:v>4.82290207954401E-2</c:v>
                </c:pt>
                <c:pt idx="100">
                  <c:v>4.6832600283692898E-2</c:v>
                </c:pt>
                <c:pt idx="101">
                  <c:v>4.5476379698641198E-2</c:v>
                </c:pt>
                <c:pt idx="102">
                  <c:v>4.4159194894828301E-2</c:v>
                </c:pt>
                <c:pt idx="103">
                  <c:v>4.2879916860105498E-2</c:v>
                </c:pt>
                <c:pt idx="104">
                  <c:v>4.1637450546132403E-2</c:v>
                </c:pt>
                <c:pt idx="105">
                  <c:v>4.0430733741371502E-2</c:v>
                </c:pt>
                <c:pt idx="106">
                  <c:v>3.92587359853988E-2</c:v>
                </c:pt>
                <c:pt idx="107">
                  <c:v>3.8120457523324103E-2</c:v>
                </c:pt>
                <c:pt idx="108">
                  <c:v>3.7014928299041398E-2</c:v>
                </c:pt>
                <c:pt idx="109">
                  <c:v>3.5941206985995601E-2</c:v>
                </c:pt>
                <c:pt idx="110">
                  <c:v>3.4898380054159198E-2</c:v>
                </c:pt>
                <c:pt idx="111">
                  <c:v>3.3885560871892803E-2</c:v>
                </c:pt>
                <c:pt idx="112">
                  <c:v>3.2901888841366099E-2</c:v>
                </c:pt>
                <c:pt idx="113">
                  <c:v>3.1946528566251797E-2</c:v>
                </c:pt>
                <c:pt idx="114">
                  <c:v>3.1018669050401099E-2</c:v>
                </c:pt>
                <c:pt idx="115">
                  <c:v>3.0117522926265999E-2</c:v>
                </c:pt>
                <c:pt idx="116">
                  <c:v>2.92423257118356E-2</c:v>
                </c:pt>
                <c:pt idx="117">
                  <c:v>2.8392335094916999E-2</c:v>
                </c:pt>
                <c:pt idx="118">
                  <c:v>2.75668302436008E-2</c:v>
                </c:pt>
                <c:pt idx="119">
                  <c:v>2.6765111141823301E-2</c:v>
                </c:pt>
                <c:pt idx="120">
                  <c:v>2.5986497948937901E-2</c:v>
                </c:pt>
                <c:pt idx="121">
                  <c:v>2.52303303822944E-2</c:v>
                </c:pt>
                <c:pt idx="122">
                  <c:v>2.4495967121816401E-2</c:v>
                </c:pt>
                <c:pt idx="123">
                  <c:v>2.3782785235658299E-2</c:v>
                </c:pt>
                <c:pt idx="124">
                  <c:v>2.30901796260208E-2</c:v>
                </c:pt>
                <c:pt idx="125">
                  <c:v>2.2417562494269499E-2</c:v>
                </c:pt>
                <c:pt idx="126">
                  <c:v>2.1764362824533499E-2</c:v>
                </c:pt>
                <c:pt idx="127">
                  <c:v>2.11300284190299E-2</c:v>
                </c:pt>
                <c:pt idx="128">
                  <c:v>2.0514015244274101E-2</c:v>
                </c:pt>
                <c:pt idx="129">
                  <c:v>1.9915802278439601E-2</c:v>
                </c:pt>
                <c:pt idx="130">
                  <c:v>1.9334880815373601E-2</c:v>
                </c:pt>
                <c:pt idx="131">
                  <c:v>1.8770756600547899E-2</c:v>
                </c:pt>
                <c:pt idx="132">
                  <c:v>1.8222949410231198E-2</c:v>
                </c:pt>
                <c:pt idx="133">
                  <c:v>1.7690992644360099E-2</c:v>
                </c:pt>
                <c:pt idx="134">
                  <c:v>1.71744329325457E-2</c:v>
                </c:pt>
                <c:pt idx="135">
                  <c:v>1.6672829752687E-2</c:v>
                </c:pt>
                <c:pt idx="136">
                  <c:v>1.61857550616917E-2</c:v>
                </c:pt>
                <c:pt idx="137">
                  <c:v>1.57127929378191E-2</c:v>
                </c:pt>
                <c:pt idx="138">
                  <c:v>1.5253539234195101E-2</c:v>
                </c:pt>
                <c:pt idx="139">
                  <c:v>1.48076012430674E-2</c:v>
                </c:pt>
                <c:pt idx="140">
                  <c:v>1.4374597370385E-2</c:v>
                </c:pt>
                <c:pt idx="141">
                  <c:v>1.39541568203158E-2</c:v>
                </c:pt>
                <c:pt idx="142">
                  <c:v>1.35459192893304E-2</c:v>
                </c:pt>
                <c:pt idx="143">
                  <c:v>1.31495346694955E-2</c:v>
                </c:pt>
                <c:pt idx="144">
                  <c:v>1.2764662760644399E-2</c:v>
                </c:pt>
                <c:pt idx="145">
                  <c:v>1.2390972991101101E-2</c:v>
                </c:pt>
                <c:pt idx="146">
                  <c:v>1.2028144146655999E-2</c:v>
                </c:pt>
                <c:pt idx="147">
                  <c:v>1.16758641075012E-2</c:v>
                </c:pt>
                <c:pt idx="148">
                  <c:v>1.13338295928489E-2</c:v>
                </c:pt>
                <c:pt idx="149">
                  <c:v>1.10017459129686E-2</c:v>
                </c:pt>
                <c:pt idx="150">
                  <c:v>1.06793267283941E-2</c:v>
                </c:pt>
                <c:pt idx="151">
                  <c:v>1.0366293816055E-2</c:v>
                </c:pt>
                <c:pt idx="152">
                  <c:v>1.00623768421078E-2</c:v>
                </c:pt>
                <c:pt idx="153">
                  <c:v>9.7673131412466894E-3</c:v>
                </c:pt>
                <c:pt idx="154">
                  <c:v>9.4808475022801503E-3</c:v>
                </c:pt>
                <c:pt idx="155">
                  <c:v>9.2027319597787604E-3</c:v>
                </c:pt>
                <c:pt idx="156">
                  <c:v>8.9327255915970794E-3</c:v>
                </c:pt>
                <c:pt idx="157">
                  <c:v>8.6705943220897006E-3</c:v>
                </c:pt>
                <c:pt idx="158">
                  <c:v>8.4161107308411906E-3</c:v>
                </c:pt>
                <c:pt idx="159">
                  <c:v>8.1690538667439205E-3</c:v>
                </c:pt>
                <c:pt idx="160">
                  <c:v>7.9292090672592203E-3</c:v>
                </c:pt>
                <c:pt idx="161">
                  <c:v>7.6963677827064101E-3</c:v>
                </c:pt>
                <c:pt idx="162">
                  <c:v>7.47032740543051E-3</c:v>
                </c:pt>
                <c:pt idx="163">
                  <c:v>7.2508911037029201E-3</c:v>
                </c:pt>
                <c:pt idx="164">
                  <c:v>7.0378676602175097E-3</c:v>
                </c:pt>
                <c:pt idx="165">
                  <c:v>6.8310713150480998E-3</c:v>
                </c:pt>
                <c:pt idx="166">
                  <c:v>6.6303216129365503E-3</c:v>
                </c:pt>
                <c:pt idx="167">
                  <c:v>6.4354432547911698E-3</c:v>
                </c:pt>
                <c:pt idx="168">
                  <c:v>6.2462659532712796E-3</c:v>
                </c:pt>
                <c:pt idx="169">
                  <c:v>6.0626242923452599E-3</c:v>
                </c:pt>
                <c:pt idx="170">
                  <c:v>5.88435759070839E-3</c:v>
                </c:pt>
                <c:pt idx="171">
                  <c:v>5.71130976895271E-3</c:v>
                </c:pt>
                <c:pt idx="172">
                  <c:v>5.5433292203865697E-3</c:v>
                </c:pt>
                <c:pt idx="173">
                  <c:v>5.3802686853977001E-3</c:v>
                </c:pt>
                <c:pt idx="174">
                  <c:v>5.2219851292683497E-3</c:v>
                </c:pt>
                <c:pt idx="175">
                  <c:v>5.0683396233428E-3</c:v>
                </c:pt>
                <c:pt idx="176">
                  <c:v>4.9191972294561704E-3</c:v>
                </c:pt>
                <c:pt idx="177">
                  <c:v>4.7744268875383102E-3</c:v>
                </c:pt>
                <c:pt idx="178">
                  <c:v>4.6339013063026301E-3</c:v>
                </c:pt>
                <c:pt idx="179">
                  <c:v>4.4974968569385203E-3</c:v>
                </c:pt>
                <c:pt idx="180">
                  <c:v>4.3650934697252904E-3</c:v>
                </c:pt>
                <c:pt idx="181">
                  <c:v>4.2365745334887904E-3</c:v>
                </c:pt>
                <c:pt idx="182">
                  <c:v>4.1118267978238398E-3</c:v>
                </c:pt>
                <c:pt idx="183">
                  <c:v>3.9907402780079504E-3</c:v>
                </c:pt>
                <c:pt idx="184">
                  <c:v>3.8732081625346198E-3</c:v>
                </c:pt>
                <c:pt idx="185">
                  <c:v>3.75912672319543E-3</c:v>
                </c:pt>
                <c:pt idx="186">
                  <c:v>3.64839522764129E-3</c:v>
                </c:pt>
                <c:pt idx="187">
                  <c:v>3.5409158543595002E-3</c:v>
                </c:pt>
                <c:pt idx="188">
                  <c:v>3.4365936099988001E-3</c:v>
                </c:pt>
                <c:pt idx="189">
                  <c:v>3.3353362489803601E-3</c:v>
                </c:pt>
                <c:pt idx="190">
                  <c:v>3.23705419533483E-3</c:v>
                </c:pt>
                <c:pt idx="191">
                  <c:v>3.1416604667038502E-3</c:v>
                </c:pt>
                <c:pt idx="192">
                  <c:v>3.0490706004501402E-3</c:v>
                </c:pt>
                <c:pt idx="193">
                  <c:v>2.95920258181706E-3</c:v>
                </c:pt>
                <c:pt idx="194">
                  <c:v>2.87197677408541E-3</c:v>
                </c:pt>
                <c:pt idx="195">
                  <c:v>2.7873158506722799E-3</c:v>
                </c:pt>
                <c:pt idx="196">
                  <c:v>2.7051447291197199E-3</c:v>
                </c:pt>
                <c:pt idx="197">
                  <c:v>2.62539050692442E-3</c:v>
                </c:pt>
                <c:pt idx="198">
                  <c:v>2.5479823991559E-3</c:v>
                </c:pt>
                <c:pt idx="199">
                  <c:v>2.4728516778177701E-3</c:v>
                </c:pt>
              </c:numCache>
            </c:numRef>
          </c:val>
          <c:smooth val="0"/>
        </c:ser>
        <c:ser>
          <c:idx val="1"/>
          <c:order val="1"/>
          <c:tx>
            <c:v>6.5 Original</c:v>
          </c:tx>
          <c:marker>
            <c:symbol val="none"/>
          </c:marker>
          <c:cat>
            <c:numRef>
              <c:f>'Comparison of Treatments'!$A$2:$A$201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'Comparison of Treatments'!$C$2:$C$201</c:f>
              <c:numCache>
                <c:formatCode>0.000</c:formatCode>
                <c:ptCount val="200"/>
                <c:pt idx="0">
                  <c:v>0.51825553746374498</c:v>
                </c:pt>
                <c:pt idx="1">
                  <c:v>0.53554690990134701</c:v>
                </c:pt>
                <c:pt idx="2">
                  <c:v>0.55194121817585895</c:v>
                </c:pt>
                <c:pt idx="3">
                  <c:v>0.56753104546244004</c:v>
                </c:pt>
                <c:pt idx="4">
                  <c:v>0.58240990712589202</c:v>
                </c:pt>
                <c:pt idx="5">
                  <c:v>0.59665102786253399</c:v>
                </c:pt>
                <c:pt idx="6">
                  <c:v>0.61029875559485902</c:v>
                </c:pt>
                <c:pt idx="7">
                  <c:v>0.62337206617988095</c:v>
                </c:pt>
                <c:pt idx="8">
                  <c:v>0.63587370109255203</c:v>
                </c:pt>
                <c:pt idx="9">
                  <c:v>0.64779928036409895</c:v>
                </c:pt>
                <c:pt idx="10">
                  <c:v>0.65914389745911695</c:v>
                </c:pt>
                <c:pt idx="11">
                  <c:v>0.66990599554772901</c:v>
                </c:pt>
                <c:pt idx="12">
                  <c:v>0.680089170505634</c:v>
                </c:pt>
                <c:pt idx="13">
                  <c:v>0.68970260967061803</c:v>
                </c:pt>
                <c:pt idx="14">
                  <c:v>0.69876079523692602</c:v>
                </c:pt>
                <c:pt idx="15">
                  <c:v>0.70728278465584205</c:v>
                </c:pt>
                <c:pt idx="16">
                  <c:v>0.71529137467706405</c:v>
                </c:pt>
                <c:pt idx="17">
                  <c:v>0.72281220937183199</c:v>
                </c:pt>
                <c:pt idx="18">
                  <c:v>0.72987297876882296</c:v>
                </c:pt>
                <c:pt idx="19">
                  <c:v>0.73650267108823297</c:v>
                </c:pt>
                <c:pt idx="20">
                  <c:v>0.74273094663970496</c:v>
                </c:pt>
                <c:pt idx="21">
                  <c:v>0.74858761350145697</c:v>
                </c:pt>
                <c:pt idx="22">
                  <c:v>0.754102173502742</c:v>
                </c:pt>
                <c:pt idx="23">
                  <c:v>0.75930347327431602</c:v>
                </c:pt>
                <c:pt idx="24">
                  <c:v>0.76421942847302904</c:v>
                </c:pt>
                <c:pt idx="25">
                  <c:v>0.76887679047122504</c:v>
                </c:pt>
                <c:pt idx="26">
                  <c:v>0.77330098940678405</c:v>
                </c:pt>
                <c:pt idx="27">
                  <c:v>0.77751601216905497</c:v>
                </c:pt>
                <c:pt idx="28">
                  <c:v>0.78154432142548202</c:v>
                </c:pt>
                <c:pt idx="29">
                  <c:v>0.785406807546561</c:v>
                </c:pt>
                <c:pt idx="30">
                  <c:v>0.78912276828483496</c:v>
                </c:pt>
                <c:pt idx="31">
                  <c:v>0.79270991178206596</c:v>
                </c:pt>
                <c:pt idx="32">
                  <c:v>0.796184379069793</c:v>
                </c:pt>
                <c:pt idx="33">
                  <c:v>0.79956078271106701</c:v>
                </c:pt>
                <c:pt idx="34">
                  <c:v>0.80285225862698695</c:v>
                </c:pt>
                <c:pt idx="35">
                  <c:v>0.80607052848108995</c:v>
                </c:pt>
                <c:pt idx="36">
                  <c:v>0.80922597027585197</c:v>
                </c:pt>
                <c:pt idx="37">
                  <c:v>0.812327695062942</c:v>
                </c:pt>
                <c:pt idx="38">
                  <c:v>0.81538362789360996</c:v>
                </c:pt>
                <c:pt idx="39">
                  <c:v>0.81840059134526</c:v>
                </c:pt>
                <c:pt idx="40">
                  <c:v>0.82138439205841995</c:v>
                </c:pt>
                <c:pt idx="41">
                  <c:v>0.82433989744233305</c:v>
                </c:pt>
                <c:pt idx="42">
                  <c:v>0.82727113083014803</c:v>
                </c:pt>
                <c:pt idx="43">
                  <c:v>0.83018134440580305</c:v>
                </c:pt>
                <c:pt idx="44">
                  <c:v>0.83307309943901697</c:v>
                </c:pt>
                <c:pt idx="45">
                  <c:v>0.83594834276700802</c:v>
                </c:pt>
                <c:pt idx="46">
                  <c:v>0.83880847000360104</c:v>
                </c:pt>
                <c:pt idx="47">
                  <c:v>0.84165440356534404</c:v>
                </c:pt>
                <c:pt idx="48">
                  <c:v>0.84448664671818696</c:v>
                </c:pt>
                <c:pt idx="49">
                  <c:v>0.84730534304990701</c:v>
                </c:pt>
                <c:pt idx="50">
                  <c:v>0.85011033097597399</c:v>
                </c:pt>
                <c:pt idx="51">
                  <c:v>0.85290118525714598</c:v>
                </c:pt>
                <c:pt idx="52">
                  <c:v>0.85567727146654404</c:v>
                </c:pt>
                <c:pt idx="53">
                  <c:v>0.85843777842373004</c:v>
                </c:pt>
                <c:pt idx="54">
                  <c:v>0.86118175739519698</c:v>
                </c:pt>
                <c:pt idx="55">
                  <c:v>0.86390814696166496</c:v>
                </c:pt>
                <c:pt idx="56">
                  <c:v>0.866615811991026</c:v>
                </c:pt>
                <c:pt idx="57">
                  <c:v>0.86930356112261098</c:v>
                </c:pt>
                <c:pt idx="58">
                  <c:v>0.87197017047322101</c:v>
                </c:pt>
                <c:pt idx="59">
                  <c:v>0.87461440412565805</c:v>
                </c:pt>
                <c:pt idx="60">
                  <c:v>0.877235024131782</c:v>
                </c:pt>
                <c:pt idx="61">
                  <c:v>0.879830814302206</c:v>
                </c:pt>
                <c:pt idx="62">
                  <c:v>0.88240058529117704</c:v>
                </c:pt>
                <c:pt idx="63">
                  <c:v>0.88494318624971302</c:v>
                </c:pt>
                <c:pt idx="64">
                  <c:v>0.88745751300084297</c:v>
                </c:pt>
                <c:pt idx="65">
                  <c:v>0.88994251595664098</c:v>
                </c:pt>
                <c:pt idx="66">
                  <c:v>0.89239720007650902</c:v>
                </c:pt>
                <c:pt idx="67">
                  <c:v>0.89482063709084303</c:v>
                </c:pt>
                <c:pt idx="68">
                  <c:v>0.89721196284442695</c:v>
                </c:pt>
                <c:pt idx="69">
                  <c:v>0.89957038078346097</c:v>
                </c:pt>
                <c:pt idx="70">
                  <c:v>0.90189516317221496</c:v>
                </c:pt>
                <c:pt idx="71">
                  <c:v>0.90418565160226805</c:v>
                </c:pt>
                <c:pt idx="72">
                  <c:v>0.90644125789329899</c:v>
                </c:pt>
                <c:pt idx="73">
                  <c:v>0.90866145936031295</c:v>
                </c:pt>
                <c:pt idx="74">
                  <c:v>0.910845804099776</c:v>
                </c:pt>
                <c:pt idx="75">
                  <c:v>0.91299390519835599</c:v>
                </c:pt>
                <c:pt idx="76">
                  <c:v>0.91510544011930794</c:v>
                </c:pt>
                <c:pt idx="77">
                  <c:v>0.91718014871268905</c:v>
                </c:pt>
                <c:pt idx="78">
                  <c:v>0.91921783102385402</c:v>
                </c:pt>
                <c:pt idx="79">
                  <c:v>0.92121834494386701</c:v>
                </c:pt>
                <c:pt idx="80">
                  <c:v>0.92318160374015001</c:v>
                </c:pt>
                <c:pt idx="81">
                  <c:v>0.92510757413003597</c:v>
                </c:pt>
                <c:pt idx="82">
                  <c:v>0.92699627107910398</c:v>
                </c:pt>
                <c:pt idx="83">
                  <c:v>0.92884775915663698</c:v>
                </c:pt>
                <c:pt idx="84">
                  <c:v>0.93066214713209405</c:v>
                </c:pt>
                <c:pt idx="85">
                  <c:v>0.93243958604003596</c:v>
                </c:pt>
                <c:pt idx="86">
                  <c:v>0.93418026656028896</c:v>
                </c:pt>
                <c:pt idx="87">
                  <c:v>0.93588441643676201</c:v>
                </c:pt>
                <c:pt idx="88">
                  <c:v>0.93755229794635897</c:v>
                </c:pt>
                <c:pt idx="89">
                  <c:v>0.93918420542741399</c:v>
                </c:pt>
                <c:pt idx="90">
                  <c:v>0.94078046287541806</c:v>
                </c:pt>
                <c:pt idx="91">
                  <c:v>0.94234142161226497</c:v>
                </c:pt>
                <c:pt idx="92">
                  <c:v>0.94386745803394001</c:v>
                </c:pt>
                <c:pt idx="93">
                  <c:v>0.94535897144039505</c:v>
                </c:pt>
                <c:pt idx="94">
                  <c:v>0.94681638195031204</c:v>
                </c:pt>
                <c:pt idx="95">
                  <c:v>0.94824012850261497</c:v>
                </c:pt>
                <c:pt idx="96">
                  <c:v>0.94963066705100796</c:v>
                </c:pt>
                <c:pt idx="97">
                  <c:v>0.95098846829291495</c:v>
                </c:pt>
                <c:pt idx="98">
                  <c:v>0.95231401665194404</c:v>
                </c:pt>
                <c:pt idx="99">
                  <c:v>0.95360780812107604</c:v>
                </c:pt>
                <c:pt idx="100">
                  <c:v>0.95487034883755195</c:v>
                </c:pt>
                <c:pt idx="101">
                  <c:v>0.95610215360658402</c:v>
                </c:pt>
                <c:pt idx="102">
                  <c:v>0.95730374450802902</c:v>
                </c:pt>
                <c:pt idx="103">
                  <c:v>0.95847564958404796</c:v>
                </c:pt>
                <c:pt idx="104">
                  <c:v>0.95961840160552403</c:v>
                </c:pt>
                <c:pt idx="105">
                  <c:v>0.96073253691487404</c:v>
                </c:pt>
                <c:pt idx="106">
                  <c:v>0.96181859434277095</c:v>
                </c:pt>
                <c:pt idx="107">
                  <c:v>0.96287711419618605</c:v>
                </c:pt>
                <c:pt idx="108">
                  <c:v>0.96390863731507903</c:v>
                </c:pt>
                <c:pt idx="109">
                  <c:v>0.96491370419508005</c:v>
                </c:pt>
                <c:pt idx="110">
                  <c:v>0.96589285417340398</c:v>
                </c:pt>
                <c:pt idx="111">
                  <c:v>0.96684662467530003</c:v>
                </c:pt>
                <c:pt idx="112">
                  <c:v>0.96777555051831299</c:v>
                </c:pt>
                <c:pt idx="113">
                  <c:v>0.96868016327167805</c:v>
                </c:pt>
                <c:pt idx="114">
                  <c:v>0.96956099066819901</c:v>
                </c:pt>
                <c:pt idx="115">
                  <c:v>0.97041855606599303</c:v>
                </c:pt>
                <c:pt idx="116">
                  <c:v>0.97125337795757405</c:v>
                </c:pt>
                <c:pt idx="117">
                  <c:v>0.972065969523768</c:v>
                </c:pt>
                <c:pt idx="118">
                  <c:v>0.97285683823004798</c:v>
                </c:pt>
                <c:pt idx="119">
                  <c:v>0.97362648546293096</c:v>
                </c:pt>
                <c:pt idx="120">
                  <c:v>0.97437540620416996</c:v>
                </c:pt>
                <c:pt idx="121">
                  <c:v>0.97510408874052601</c:v>
                </c:pt>
                <c:pt idx="122">
                  <c:v>0.97581301440701096</c:v>
                </c:pt>
                <c:pt idx="123">
                  <c:v>0.97650265736156305</c:v>
                </c:pt>
                <c:pt idx="124">
                  <c:v>0.97717348438917295</c:v>
                </c:pt>
                <c:pt idx="125">
                  <c:v>0.977825954733609</c:v>
                </c:pt>
                <c:pt idx="126">
                  <c:v>0.978460519954926</c:v>
                </c:pt>
                <c:pt idx="127">
                  <c:v>0.979077623602157</c:v>
                </c:pt>
                <c:pt idx="128">
                  <c:v>0.979677701955594</c:v>
                </c:pt>
                <c:pt idx="129">
                  <c:v>0.980261182690221</c:v>
                </c:pt>
                <c:pt idx="130">
                  <c:v>0.98082848566340897</c:v>
                </c:pt>
                <c:pt idx="131">
                  <c:v>0.98138002266565405</c:v>
                </c:pt>
                <c:pt idx="132">
                  <c:v>0.98191619739937996</c:v>
                </c:pt>
                <c:pt idx="133">
                  <c:v>0.982437405473083</c:v>
                </c:pt>
                <c:pt idx="134">
                  <c:v>0.98294403440961298</c:v>
                </c:pt>
                <c:pt idx="135">
                  <c:v>0.98343646366745496</c:v>
                </c:pt>
                <c:pt idx="136">
                  <c:v>0.98391506467393797</c:v>
                </c:pt>
                <c:pt idx="137">
                  <c:v>0.98438020086934597</c:v>
                </c:pt>
                <c:pt idx="138">
                  <c:v>0.984832227760993</c:v>
                </c:pt>
                <c:pt idx="139">
                  <c:v>0.98527149298633998</c:v>
                </c:pt>
                <c:pt idx="140">
                  <c:v>0.98569833638433102</c:v>
                </c:pt>
                <c:pt idx="141">
                  <c:v>0.98611309007413805</c:v>
                </c:pt>
                <c:pt idx="142">
                  <c:v>0.98651607854057999</c:v>
                </c:pt>
                <c:pt idx="143">
                  <c:v>0.98690761872551303</c:v>
                </c:pt>
                <c:pt idx="144">
                  <c:v>0.98728802012454098</c:v>
                </c:pt>
                <c:pt idx="145">
                  <c:v>0.98765758488844502</c:v>
                </c:pt>
                <c:pt idx="146">
                  <c:v>0.98801660792874302</c:v>
                </c:pt>
                <c:pt idx="147">
                  <c:v>0.98836537702687399</c:v>
                </c:pt>
                <c:pt idx="148">
                  <c:v>0.98870417294649704</c:v>
                </c:pt>
                <c:pt idx="149">
                  <c:v>0.98903326954844895</c:v>
                </c:pt>
                <c:pt idx="150">
                  <c:v>0.98935293390793599</c:v>
                </c:pt>
                <c:pt idx="151">
                  <c:v>0.98966342643357297</c:v>
                </c:pt>
                <c:pt idx="152">
                  <c:v>0.98996500098788198</c:v>
                </c:pt>
                <c:pt idx="153">
                  <c:v>0.99025790500894195</c:v>
                </c:pt>
                <c:pt idx="154">
                  <c:v>0.99054237963285097</c:v>
                </c:pt>
                <c:pt idx="155">
                  <c:v>0.990818659816734</c:v>
                </c:pt>
                <c:pt idx="156">
                  <c:v>0.99108697446201499</c:v>
                </c:pt>
                <c:pt idx="157">
                  <c:v>0.99134754653772506</c:v>
                </c:pt>
                <c:pt idx="158">
                  <c:v>0.99160059320361804</c:v>
                </c:pt>
                <c:pt idx="159">
                  <c:v>0.99184632593288902</c:v>
                </c:pt>
                <c:pt idx="160">
                  <c:v>0.99208495063431601</c:v>
                </c:pt>
                <c:pt idx="161">
                  <c:v>0.99231666777365202</c:v>
                </c:pt>
                <c:pt idx="162">
                  <c:v>0.99254167249411696</c:v>
                </c:pt>
                <c:pt idx="163">
                  <c:v>0.992760154735853</c:v>
                </c:pt>
                <c:pt idx="164">
                  <c:v>0.99297229935421705</c:v>
                </c:pt>
                <c:pt idx="165">
                  <c:v>0.99317828623679705</c:v>
                </c:pt>
                <c:pt idx="166">
                  <c:v>0.99337829041906101</c:v>
                </c:pt>
                <c:pt idx="167">
                  <c:v>0.993572482198537</c:v>
                </c:pt>
                <c:pt idx="168">
                  <c:v>0.99376102724746695</c:v>
                </c:pt>
                <c:pt idx="169">
                  <c:v>0.99394408672383905</c:v>
                </c:pt>
                <c:pt idx="170">
                  <c:v>0.994121817380757</c:v>
                </c:pt>
                <c:pt idx="171">
                  <c:v>0.99429437167409995</c:v>
                </c:pt>
                <c:pt idx="172">
                  <c:v>0.994461897868407</c:v>
                </c:pt>
                <c:pt idx="173">
                  <c:v>0.99462454014097101</c:v>
                </c:pt>
                <c:pt idx="174">
                  <c:v>0.99478243868410299</c:v>
                </c:pt>
                <c:pt idx="175">
                  <c:v>0.99493572980554001</c:v>
                </c:pt>
                <c:pt idx="176">
                  <c:v>0.99508454602698804</c:v>
                </c:pt>
                <c:pt idx="177">
                  <c:v>0.99522901618076698</c:v>
                </c:pt>
                <c:pt idx="178">
                  <c:v>0.99536926550457905</c:v>
                </c:pt>
                <c:pt idx="179">
                  <c:v>0.99550541573436302</c:v>
                </c:pt>
                <c:pt idx="180">
                  <c:v>0.99563758519525702</c:v>
                </c:pt>
                <c:pt idx="181">
                  <c:v>0.99576588889066298</c:v>
                </c:pt>
                <c:pt idx="182">
                  <c:v>0.99589043858941995</c:v>
                </c:pt>
                <c:pt idx="183">
                  <c:v>0.99601134291109605</c:v>
                </c:pt>
                <c:pt idx="184">
                  <c:v>0.99612870740941095</c:v>
                </c:pt>
                <c:pt idx="185">
                  <c:v>0.99624263465380103</c:v>
                </c:pt>
                <c:pt idx="186">
                  <c:v>0.99635322430914797</c:v>
                </c:pt>
                <c:pt idx="187">
                  <c:v>0.99646057321368198</c:v>
                </c:pt>
                <c:pt idx="188">
                  <c:v>0.99656477545508604</c:v>
                </c:pt>
                <c:pt idx="189">
                  <c:v>0.99666592244482199</c:v>
                </c:pt>
                <c:pt idx="190">
                  <c:v>0.99676410299069496</c:v>
                </c:pt>
                <c:pt idx="191">
                  <c:v>0.99685940336768597</c:v>
                </c:pt>
                <c:pt idx="192">
                  <c:v>0.99695190738708195</c:v>
                </c:pt>
                <c:pt idx="193">
                  <c:v>0.99704169646391605</c:v>
                </c:pt>
                <c:pt idx="194">
                  <c:v>0.99712884968275795</c:v>
                </c:pt>
                <c:pt idx="195">
                  <c:v>0.99721344386187405</c:v>
                </c:pt>
                <c:pt idx="196">
                  <c:v>0.99729555361579003</c:v>
                </c:pt>
                <c:pt idx="197">
                  <c:v>0.99737525141628303</c:v>
                </c:pt>
                <c:pt idx="198">
                  <c:v>0.99745260765182497</c:v>
                </c:pt>
                <c:pt idx="199">
                  <c:v>0.99752769068552105</c:v>
                </c:pt>
              </c:numCache>
            </c:numRef>
          </c:val>
          <c:smooth val="0"/>
        </c:ser>
        <c:ser>
          <c:idx val="2"/>
          <c:order val="2"/>
          <c:tx>
            <c:v>5.5 Slack</c:v>
          </c:tx>
          <c:spPr>
            <a:ln>
              <a:prstDash val="sysDash"/>
            </a:ln>
          </c:spPr>
          <c:marker>
            <c:symbol val="none"/>
          </c:marker>
          <c:cat>
            <c:numRef>
              <c:f>'Comparison of Treatments'!$A$2:$A$201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'Comparison of Treatments'!$D$2:$D$201</c:f>
              <c:numCache>
                <c:formatCode>0.000</c:formatCode>
                <c:ptCount val="200"/>
                <c:pt idx="0">
                  <c:v>0.50365605604989805</c:v>
                </c:pt>
                <c:pt idx="1">
                  <c:v>0.505657354775777</c:v>
                </c:pt>
                <c:pt idx="2">
                  <c:v>0.50610777545818397</c:v>
                </c:pt>
                <c:pt idx="3">
                  <c:v>0.50517148068274698</c:v>
                </c:pt>
                <c:pt idx="4">
                  <c:v>0.50304698196453701</c:v>
                </c:pt>
                <c:pt idx="5">
                  <c:v>0.49993751474133902</c:v>
                </c:pt>
                <c:pt idx="6">
                  <c:v>0.49602799280766502</c:v>
                </c:pt>
                <c:pt idx="7">
                  <c:v>0.49147317300847898</c:v>
                </c:pt>
                <c:pt idx="8">
                  <c:v>0.48639576732060702</c:v>
                </c:pt>
                <c:pt idx="9">
                  <c:v>0.48089055107536999</c:v>
                </c:pt>
                <c:pt idx="10">
                  <c:v>0.47503071775656402</c:v>
                </c:pt>
                <c:pt idx="11">
                  <c:v>0.46887414161780999</c:v>
                </c:pt>
                <c:pt idx="12">
                  <c:v>0.46246843239519603</c:v>
                </c:pt>
                <c:pt idx="13">
                  <c:v>0.45585458934914402</c:v>
                </c:pt>
                <c:pt idx="14">
                  <c:v>0.449069343684939</c:v>
                </c:pt>
                <c:pt idx="15">
                  <c:v>0.44214652334308302</c:v>
                </c:pt>
                <c:pt idx="16">
                  <c:v>0.43511771987789799</c:v>
                </c:pt>
                <c:pt idx="17">
                  <c:v>0.42801248949385401</c:v>
                </c:pt>
                <c:pt idx="18">
                  <c:v>0.42085832695478598</c:v>
                </c:pt>
                <c:pt idx="19">
                  <c:v>0.41368052246348302</c:v>
                </c:pt>
                <c:pt idx="20">
                  <c:v>0.40650200741845999</c:v>
                </c:pt>
                <c:pt idx="21">
                  <c:v>0.39934324203524901</c:v>
                </c:pt>
                <c:pt idx="22">
                  <c:v>0.392222173600484</c:v>
                </c:pt>
                <c:pt idx="23">
                  <c:v>0.385154254428971</c:v>
                </c:pt>
                <c:pt idx="24">
                  <c:v>0.37815255503384998</c:v>
                </c:pt>
                <c:pt idx="25">
                  <c:v>0.37122790211552198</c:v>
                </c:pt>
                <c:pt idx="26">
                  <c:v>0.36438906839983598</c:v>
                </c:pt>
                <c:pt idx="27">
                  <c:v>0.35764298155405899</c:v>
                </c:pt>
                <c:pt idx="28">
                  <c:v>0.35099494435551398</c:v>
                </c:pt>
                <c:pt idx="29">
                  <c:v>0.344448838818606</c:v>
                </c:pt>
                <c:pt idx="30">
                  <c:v>0.33800734883776801</c:v>
                </c:pt>
                <c:pt idx="31">
                  <c:v>0.33167213868733197</c:v>
                </c:pt>
                <c:pt idx="32">
                  <c:v>0.32544402834764802</c:v>
                </c:pt>
                <c:pt idx="33">
                  <c:v>0.31932314909514897</c:v>
                </c:pt>
                <c:pt idx="34">
                  <c:v>0.31330906649703399</c:v>
                </c:pt>
                <c:pt idx="35">
                  <c:v>0.307400912103171</c:v>
                </c:pt>
                <c:pt idx="36">
                  <c:v>0.30159747018016803</c:v>
                </c:pt>
                <c:pt idx="37">
                  <c:v>0.29589726321668602</c:v>
                </c:pt>
                <c:pt idx="38">
                  <c:v>0.29029862339142998</c:v>
                </c:pt>
                <c:pt idx="39">
                  <c:v>0.284799738604884</c:v>
                </c:pt>
                <c:pt idx="40">
                  <c:v>0.279398715522439</c:v>
                </c:pt>
                <c:pt idx="41">
                  <c:v>0.27409360579997</c:v>
                </c:pt>
                <c:pt idx="42">
                  <c:v>0.26888243909047799</c:v>
                </c:pt>
                <c:pt idx="43">
                  <c:v>0.263763246819886</c:v>
                </c:pt>
                <c:pt idx="44">
                  <c:v>0.25873408069727</c:v>
                </c:pt>
                <c:pt idx="45">
                  <c:v>0.253793029468181</c:v>
                </c:pt>
                <c:pt idx="46">
                  <c:v>0.24893821883643999</c:v>
                </c:pt>
                <c:pt idx="47">
                  <c:v>0.24416783526271199</c:v>
                </c:pt>
                <c:pt idx="48">
                  <c:v>0.23948012013794501</c:v>
                </c:pt>
                <c:pt idx="49">
                  <c:v>0.23487337583245901</c:v>
                </c:pt>
                <c:pt idx="50">
                  <c:v>0.230345967375748</c:v>
                </c:pt>
                <c:pt idx="51">
                  <c:v>0.225896322895905</c:v>
                </c:pt>
                <c:pt idx="52">
                  <c:v>0.221522933084247</c:v>
                </c:pt>
                <c:pt idx="53">
                  <c:v>0.217224349904795</c:v>
                </c:pt>
                <c:pt idx="54">
                  <c:v>0.21299918472993201</c:v>
                </c:pt>
                <c:pt idx="55">
                  <c:v>0.208846106051225</c:v>
                </c:pt>
                <c:pt idx="56">
                  <c:v>0.204763836887532</c:v>
                </c:pt>
                <c:pt idx="57">
                  <c:v>0.20075115198996801</c:v>
                </c:pt>
                <c:pt idx="58">
                  <c:v>0.19680687492454799</c:v>
                </c:pt>
                <c:pt idx="59">
                  <c:v>0.19292987770159101</c:v>
                </c:pt>
                <c:pt idx="60">
                  <c:v>0.18911906731629599</c:v>
                </c:pt>
                <c:pt idx="61">
                  <c:v>0.18537339862827401</c:v>
                </c:pt>
                <c:pt idx="62">
                  <c:v>0.18169186086570299</c:v>
                </c:pt>
                <c:pt idx="63">
                  <c:v>0.17807347751948799</c:v>
                </c:pt>
                <c:pt idx="64">
                  <c:v>0.174517303674598</c:v>
                </c:pt>
                <c:pt idx="65">
                  <c:v>0.17102242346716101</c:v>
                </c:pt>
                <c:pt idx="66">
                  <c:v>0.16758794767661001</c:v>
                </c:pt>
                <c:pt idx="67">
                  <c:v>0.16421301145876899</c:v>
                </c:pt>
                <c:pt idx="68">
                  <c:v>0.160896772222895</c:v>
                </c:pt>
                <c:pt idx="69">
                  <c:v>0.15763840765338799</c:v>
                </c:pt>
                <c:pt idx="70">
                  <c:v>0.15443711387506201</c:v>
                </c:pt>
                <c:pt idx="71">
                  <c:v>0.15129210375936</c:v>
                </c:pt>
                <c:pt idx="72">
                  <c:v>0.148202605367727</c:v>
                </c:pt>
                <c:pt idx="73">
                  <c:v>0.14516786052751501</c:v>
                </c:pt>
                <c:pt idx="74">
                  <c:v>0.142187123535019</c:v>
                </c:pt>
                <c:pt idx="75">
                  <c:v>0.13925965997985701</c:v>
                </c:pt>
                <c:pt idx="76">
                  <c:v>0.136384745684479</c:v>
                </c:pt>
                <c:pt idx="77">
                  <c:v>0.13356166575245901</c:v>
                </c:pt>
                <c:pt idx="78">
                  <c:v>0.13078971371904699</c:v>
                </c:pt>
                <c:pt idx="79">
                  <c:v>0.12806819079749801</c:v>
                </c:pt>
                <c:pt idx="80">
                  <c:v>0.12539640521475001</c:v>
                </c:pt>
                <c:pt idx="81">
                  <c:v>0.122773671630061</c:v>
                </c:pt>
                <c:pt idx="82">
                  <c:v>0.120199310630498</c:v>
                </c:pt>
                <c:pt idx="83">
                  <c:v>0.117672648297241</c:v>
                </c:pt>
                <c:pt idx="84">
                  <c:v>0.115193015836978</c:v>
                </c:pt>
                <c:pt idx="85">
                  <c:v>0.11275974927285499</c:v>
                </c:pt>
                <c:pt idx="86">
                  <c:v>0.110372189189725</c:v>
                </c:pt>
                <c:pt idx="87">
                  <c:v>0.108029680528698</c:v>
                </c:pt>
                <c:pt idx="88">
                  <c:v>0.10573157242628101</c:v>
                </c:pt>
                <c:pt idx="89">
                  <c:v>0.103477218093617</c:v>
                </c:pt>
                <c:pt idx="90">
                  <c:v>0.10126597473169401</c:v>
                </c:pt>
                <c:pt idx="91">
                  <c:v>9.9097203478568499E-2</c:v>
                </c:pt>
                <c:pt idx="92">
                  <c:v>9.6970269384951693E-2</c:v>
                </c:pt>
                <c:pt idx="93">
                  <c:v>9.4884541414786097E-2</c:v>
                </c:pt>
                <c:pt idx="94">
                  <c:v>9.2839392467635895E-2</c:v>
                </c:pt>
                <c:pt idx="95">
                  <c:v>9.08341994199688E-2</c:v>
                </c:pt>
                <c:pt idx="96">
                  <c:v>8.8868343182673198E-2</c:v>
                </c:pt>
                <c:pt idx="97">
                  <c:v>8.6941208772292097E-2</c:v>
                </c:pt>
                <c:pt idx="98">
                  <c:v>8.5052185393744401E-2</c:v>
                </c:pt>
                <c:pt idx="99">
                  <c:v>8.3200666532438503E-2</c:v>
                </c:pt>
                <c:pt idx="100">
                  <c:v>8.1386050053902606E-2</c:v>
                </c:pt>
                <c:pt idx="101">
                  <c:v>7.9607738309203202E-2</c:v>
                </c:pt>
                <c:pt idx="102">
                  <c:v>7.7865138244624404E-2</c:v>
                </c:pt>
                <c:pt idx="103">
                  <c:v>7.6157661514175204E-2</c:v>
                </c:pt>
                <c:pt idx="104">
                  <c:v>7.4484724593709403E-2</c:v>
                </c:pt>
                <c:pt idx="105">
                  <c:v>7.2845748895495693E-2</c:v>
                </c:pt>
                <c:pt idx="106">
                  <c:v>7.1240160882267506E-2</c:v>
                </c:pt>
                <c:pt idx="107">
                  <c:v>6.9667392179859594E-2</c:v>
                </c:pt>
                <c:pt idx="108">
                  <c:v>6.8126879687640501E-2</c:v>
                </c:pt>
                <c:pt idx="109">
                  <c:v>6.6618065686088399E-2</c:v>
                </c:pt>
                <c:pt idx="110">
                  <c:v>6.5140397940893199E-2</c:v>
                </c:pt>
                <c:pt idx="111">
                  <c:v>6.3693329803090198E-2</c:v>
                </c:pt>
                <c:pt idx="112">
                  <c:v>6.2276320304806898E-2</c:v>
                </c:pt>
                <c:pt idx="113">
                  <c:v>6.0888834250235703E-2</c:v>
                </c:pt>
                <c:pt idx="114">
                  <c:v>5.95303423015573E-2</c:v>
                </c:pt>
                <c:pt idx="115">
                  <c:v>5.8200321059568703E-2</c:v>
                </c:pt>
                <c:pt idx="116">
                  <c:v>5.6898253138826703E-2</c:v>
                </c:pt>
                <c:pt idx="117">
                  <c:v>5.5623627237169099E-2</c:v>
                </c:pt>
                <c:pt idx="118">
                  <c:v>5.4375938199517901E-2</c:v>
                </c:pt>
                <c:pt idx="119">
                  <c:v>5.3154687075909798E-2</c:v>
                </c:pt>
                <c:pt idx="120">
                  <c:v>5.1959381173716498E-2</c:v>
                </c:pt>
                <c:pt idx="121">
                  <c:v>5.0789534104088499E-2</c:v>
                </c:pt>
                <c:pt idx="122">
                  <c:v>4.9644665822621802E-2</c:v>
                </c:pt>
                <c:pt idx="123">
                  <c:v>4.8524302664339602E-2</c:v>
                </c:pt>
                <c:pt idx="124">
                  <c:v>4.74279773730448E-2</c:v>
                </c:pt>
                <c:pt idx="125">
                  <c:v>4.6355229125163197E-2</c:v>
                </c:pt>
                <c:pt idx="126">
                  <c:v>4.5305603548159497E-2</c:v>
                </c:pt>
                <c:pt idx="127">
                  <c:v>4.4278652733696799E-2</c:v>
                </c:pt>
                <c:pt idx="128">
                  <c:v>4.3273935245643803E-2</c:v>
                </c:pt>
                <c:pt idx="129">
                  <c:v>4.2291016123093501E-2</c:v>
                </c:pt>
                <c:pt idx="130">
                  <c:v>4.1329466878558499E-2</c:v>
                </c:pt>
                <c:pt idx="131">
                  <c:v>4.0388865491490199E-2</c:v>
                </c:pt>
                <c:pt idx="132">
                  <c:v>3.9468796397312898E-2</c:v>
                </c:pt>
                <c:pt idx="133">
                  <c:v>3.8568850472119498E-2</c:v>
                </c:pt>
                <c:pt idx="134">
                  <c:v>3.7688625013234903E-2</c:v>
                </c:pt>
                <c:pt idx="135">
                  <c:v>3.6827723715804103E-2</c:v>
                </c:pt>
                <c:pt idx="136">
                  <c:v>3.5985759195697603E-2</c:v>
                </c:pt>
                <c:pt idx="137">
                  <c:v>3.5162342738850598E-2</c:v>
                </c:pt>
                <c:pt idx="138">
                  <c:v>3.4357099626019599E-2</c:v>
                </c:pt>
                <c:pt idx="139">
                  <c:v>3.3569658836396003E-2</c:v>
                </c:pt>
                <c:pt idx="140">
                  <c:v>3.2799655576645201E-2</c:v>
                </c:pt>
                <c:pt idx="141">
                  <c:v>3.2046731237423E-2</c:v>
                </c:pt>
                <c:pt idx="142">
                  <c:v>3.1310533347137799E-2</c:v>
                </c:pt>
                <c:pt idx="143">
                  <c:v>3.0590715523149601E-2</c:v>
                </c:pt>
                <c:pt idx="144">
                  <c:v>2.9886937420555901E-2</c:v>
                </c:pt>
                <c:pt idx="145">
                  <c:v>2.91988646787214E-2</c:v>
                </c:pt>
                <c:pt idx="146">
                  <c:v>2.8526168865716701E-2</c:v>
                </c:pt>
                <c:pt idx="147">
                  <c:v>2.7868527420803601E-2</c:v>
                </c:pt>
                <c:pt idx="148">
                  <c:v>2.72256235951241E-2</c:v>
                </c:pt>
                <c:pt idx="149">
                  <c:v>2.6597146390725902E-2</c:v>
                </c:pt>
                <c:pt idx="150">
                  <c:v>2.59827904980677E-2</c:v>
                </c:pt>
                <c:pt idx="151">
                  <c:v>2.5382256232130501E-2</c:v>
                </c:pt>
                <c:pt idx="152">
                  <c:v>2.47952494672707E-2</c:v>
                </c:pt>
                <c:pt idx="153">
                  <c:v>2.42214815709248E-2</c:v>
                </c:pt>
                <c:pt idx="154">
                  <c:v>2.36606693362993E-2</c:v>
                </c:pt>
                <c:pt idx="155">
                  <c:v>2.3112534914145302E-2</c:v>
                </c:pt>
                <c:pt idx="156">
                  <c:v>2.2576805743734801E-2</c:v>
                </c:pt>
                <c:pt idx="157">
                  <c:v>2.2053214483139801E-2</c:v>
                </c:pt>
                <c:pt idx="158">
                  <c:v>2.1541498938915299E-2</c:v>
                </c:pt>
                <c:pt idx="159">
                  <c:v>2.1041401995278701E-2</c:v>
                </c:pt>
                <c:pt idx="160">
                  <c:v>2.0552671542878601E-2</c:v>
                </c:pt>
                <c:pt idx="161">
                  <c:v>2.0075060407236799E-2</c:v>
                </c:pt>
                <c:pt idx="162">
                  <c:v>1.96083262769523E-2</c:v>
                </c:pt>
                <c:pt idx="163">
                  <c:v>1.91522316317345E-2</c:v>
                </c:pt>
                <c:pt idx="164">
                  <c:v>1.8706543670351398E-2</c:v>
                </c:pt>
                <c:pt idx="165">
                  <c:v>1.8271034238554602E-2</c:v>
                </c:pt>
                <c:pt idx="166">
                  <c:v>1.78454797570506E-2</c:v>
                </c:pt>
                <c:pt idx="167">
                  <c:v>1.7429661149583501E-2</c:v>
                </c:pt>
                <c:pt idx="168">
                  <c:v>1.7023363771184699E-2</c:v>
                </c:pt>
                <c:pt idx="169">
                  <c:v>1.66263773366476E-2</c:v>
                </c:pt>
                <c:pt idx="170">
                  <c:v>1.6238495849277799E-2</c:v>
                </c:pt>
                <c:pt idx="171">
                  <c:v>1.5859517529973999E-2</c:v>
                </c:pt>
                <c:pt idx="172">
                  <c:v>1.54892447466772E-2</c:v>
                </c:pt>
                <c:pt idx="173">
                  <c:v>1.5127483944239E-2</c:v>
                </c:pt>
                <c:pt idx="174">
                  <c:v>1.4774045574744901E-2</c:v>
                </c:pt>
                <c:pt idx="175">
                  <c:v>1.44287440283337E-2</c:v>
                </c:pt>
                <c:pt idx="176">
                  <c:v>1.4091397564546099E-2</c:v>
                </c:pt>
                <c:pt idx="177">
                  <c:v>1.3761828244234499E-2</c:v>
                </c:pt>
                <c:pt idx="178">
                  <c:v>1.3439861862067699E-2</c:v>
                </c:pt>
                <c:pt idx="179">
                  <c:v>1.3125327879653099E-2</c:v>
                </c:pt>
                <c:pt idx="180">
                  <c:v>1.28180593593081E-2</c:v>
                </c:pt>
                <c:pt idx="181">
                  <c:v>1.25178928984978E-2</c:v>
                </c:pt>
                <c:pt idx="182">
                  <c:v>1.22246685649668E-2</c:v>
                </c:pt>
                <c:pt idx="183">
                  <c:v>1.19382298325801E-2</c:v>
                </c:pt>
                <c:pt idx="184">
                  <c:v>1.1658423517892799E-2</c:v>
                </c:pt>
                <c:pt idx="185">
                  <c:v>1.1385099717463799E-2</c:v>
                </c:pt>
                <c:pt idx="186">
                  <c:v>1.11181117459302E-2</c:v>
                </c:pt>
                <c:pt idx="187">
                  <c:v>1.08573160748497E-2</c:v>
                </c:pt>
                <c:pt idx="188">
                  <c:v>1.0602572272329899E-2</c:v>
                </c:pt>
                <c:pt idx="189">
                  <c:v>1.0353742943445699E-2</c:v>
                </c:pt>
                <c:pt idx="190">
                  <c:v>1.0110693671462299E-2</c:v>
                </c:pt>
                <c:pt idx="191">
                  <c:v>9.8732929598620896E-3</c:v>
                </c:pt>
                <c:pt idx="192">
                  <c:v>9.6414121751877795E-3</c:v>
                </c:pt>
                <c:pt idx="193">
                  <c:v>9.4149254907037409E-3</c:v>
                </c:pt>
                <c:pt idx="194">
                  <c:v>9.1937098308798801E-3</c:v>
                </c:pt>
                <c:pt idx="195">
                  <c:v>8.9776448167004398E-3</c:v>
                </c:pt>
                <c:pt idx="196">
                  <c:v>8.7666127117996297E-3</c:v>
                </c:pt>
                <c:pt idx="197">
                  <c:v>8.5604983694243901E-3</c:v>
                </c:pt>
                <c:pt idx="198">
                  <c:v>8.3591891802248606E-3</c:v>
                </c:pt>
                <c:pt idx="199">
                  <c:v>8.1625750208723109E-3</c:v>
                </c:pt>
              </c:numCache>
            </c:numRef>
          </c:val>
          <c:smooth val="0"/>
        </c:ser>
        <c:ser>
          <c:idx val="3"/>
          <c:order val="3"/>
          <c:tx>
            <c:v>6.5 Slack</c:v>
          </c:tx>
          <c:spPr>
            <a:ln>
              <a:prstDash val="sysDash"/>
            </a:ln>
          </c:spPr>
          <c:marker>
            <c:symbol val="none"/>
          </c:marker>
          <c:cat>
            <c:numRef>
              <c:f>'Comparison of Treatments'!$A$2:$A$201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'Comparison of Treatments'!$E$2:$E$201</c:f>
              <c:numCache>
                <c:formatCode>0.000</c:formatCode>
                <c:ptCount val="200"/>
                <c:pt idx="0">
                  <c:v>0.51477141471972199</c:v>
                </c:pt>
                <c:pt idx="1">
                  <c:v>0.52814704760777598</c:v>
                </c:pt>
                <c:pt idx="2">
                  <c:v>0.54024720859047104</c:v>
                </c:pt>
                <c:pt idx="3">
                  <c:v>0.551216708681325</c:v>
                </c:pt>
                <c:pt idx="4">
                  <c:v>0.56120619207295697</c:v>
                </c:pt>
                <c:pt idx="5">
                  <c:v>0.57035591157044996</c:v>
                </c:pt>
                <c:pt idx="6">
                  <c:v>0.57878611662860402</c:v>
                </c:pt>
                <c:pt idx="7">
                  <c:v>0.58659457996485498</c:v>
                </c:pt>
                <c:pt idx="8">
                  <c:v>0.59385908305345303</c:v>
                </c:pt>
                <c:pt idx="9">
                  <c:v>0.60064206943009701</c:v>
                </c:pt>
                <c:pt idx="10">
                  <c:v>0.60699541093119003</c:v>
                </c:pt>
                <c:pt idx="11">
                  <c:v>0.61296427888631</c:v>
                </c:pt>
                <c:pt idx="12">
                  <c:v>0.61858980832633403</c:v>
                </c:pt>
                <c:pt idx="13">
                  <c:v>0.62391070084631595</c:v>
                </c:pt>
                <c:pt idx="14">
                  <c:v>0.62896397535731896</c:v>
                </c:pt>
                <c:pt idx="15">
                  <c:v>0.63378516459427603</c:v>
                </c:pt>
                <c:pt idx="16">
                  <c:v>0.63840817343434098</c:v>
                </c:pt>
                <c:pt idx="17">
                  <c:v>0.64286495842033897</c:v>
                </c:pt>
                <c:pt idx="18">
                  <c:v>0.64718518347347598</c:v>
                </c:pt>
                <c:pt idx="19">
                  <c:v>0.65139591006644804</c:v>
                </c:pt>
                <c:pt idx="20">
                  <c:v>0.65552137631719198</c:v>
                </c:pt>
                <c:pt idx="21">
                  <c:v>0.65958288205807603</c:v>
                </c:pt>
                <c:pt idx="22">
                  <c:v>0.66359878113064297</c:v>
                </c:pt>
                <c:pt idx="23">
                  <c:v>0.66758455687052198</c:v>
                </c:pt>
                <c:pt idx="24">
                  <c:v>0.67155299034729099</c:v>
                </c:pt>
                <c:pt idx="25">
                  <c:v>0.67551436167446699</c:v>
                </c:pt>
                <c:pt idx="26">
                  <c:v>0.67947669351126505</c:v>
                </c:pt>
                <c:pt idx="27">
                  <c:v>0.68344600755415896</c:v>
                </c:pt>
                <c:pt idx="28">
                  <c:v>0.68742658366058995</c:v>
                </c:pt>
                <c:pt idx="29">
                  <c:v>0.69142120171289101</c:v>
                </c:pt>
                <c:pt idx="30">
                  <c:v>0.69543138385760495</c:v>
                </c:pt>
                <c:pt idx="31">
                  <c:v>0.69945759934575202</c:v>
                </c:pt>
                <c:pt idx="32">
                  <c:v>0.70349945579475104</c:v>
                </c:pt>
                <c:pt idx="33">
                  <c:v>0.70755586710959895</c:v>
                </c:pt>
                <c:pt idx="34">
                  <c:v>0.71162519328060203</c:v>
                </c:pt>
                <c:pt idx="35">
                  <c:v>0.71570537233701803</c:v>
                </c:pt>
                <c:pt idx="36">
                  <c:v>0.71979402046619401</c:v>
                </c:pt>
                <c:pt idx="37">
                  <c:v>0.72388852225613898</c:v>
                </c:pt>
                <c:pt idx="38">
                  <c:v>0.72798610567632804</c:v>
                </c:pt>
                <c:pt idx="39">
                  <c:v>0.73208390009687196</c:v>
                </c:pt>
                <c:pt idx="40">
                  <c:v>0.73617899215288896</c:v>
                </c:pt>
                <c:pt idx="41">
                  <c:v>0.74026846312420103</c:v>
                </c:pt>
                <c:pt idx="42">
                  <c:v>0.74434942316535102</c:v>
                </c:pt>
                <c:pt idx="43">
                  <c:v>0.74841903786421204</c:v>
                </c:pt>
                <c:pt idx="44">
                  <c:v>0.75247454919402101</c:v>
                </c:pt>
                <c:pt idx="45">
                  <c:v>0.75651329197934603</c:v>
                </c:pt>
                <c:pt idx="46">
                  <c:v>0.76053270532952499</c:v>
                </c:pt>
                <c:pt idx="47">
                  <c:v>0.76453034325284897</c:v>
                </c:pt>
                <c:pt idx="48">
                  <c:v>0.76850387992483205</c:v>
                </c:pt>
                <c:pt idx="49">
                  <c:v>0.77245111416332501</c:v>
                </c:pt>
                <c:pt idx="50">
                  <c:v>0.77636997175348399</c:v>
                </c:pt>
                <c:pt idx="51">
                  <c:v>0.78025850626551596</c:v>
                </c:pt>
                <c:pt idx="52">
                  <c:v>0.78411489864278106</c:v>
                </c:pt>
                <c:pt idx="53">
                  <c:v>0.78793745579330499</c:v>
                </c:pt>
                <c:pt idx="54">
                  <c:v>0.79172460838057601</c:v>
                </c:pt>
                <c:pt idx="55">
                  <c:v>0.79547490797809906</c:v>
                </c:pt>
                <c:pt idx="56">
                  <c:v>0.79918702372596595</c:v>
                </c:pt>
                <c:pt idx="57">
                  <c:v>0.80285973860554705</c:v>
                </c:pt>
                <c:pt idx="58">
                  <c:v>0.806491945429752</c:v>
                </c:pt>
                <c:pt idx="59">
                  <c:v>0.810082641896124</c:v>
                </c:pt>
                <c:pt idx="60">
                  <c:v>0.81363092915242896</c:v>
                </c:pt>
                <c:pt idx="61">
                  <c:v>0.81713600304485601</c:v>
                </c:pt>
                <c:pt idx="62">
                  <c:v>0.82059715251909804</c:v>
                </c:pt>
                <c:pt idx="63">
                  <c:v>0.82401375446978498</c:v>
                </c:pt>
                <c:pt idx="64">
                  <c:v>0.82738526933694001</c:v>
                </c:pt>
                <c:pt idx="65">
                  <c:v>0.83071123677004399</c:v>
                </c:pt>
                <c:pt idx="66">
                  <c:v>0.83399127138083295</c:v>
                </c:pt>
                <c:pt idx="67">
                  <c:v>0.83722505860158403</c:v>
                </c:pt>
                <c:pt idx="68">
                  <c:v>0.84041235066187703</c:v>
                </c:pt>
                <c:pt idx="69">
                  <c:v>0.84355296269375701</c:v>
                </c:pt>
                <c:pt idx="70">
                  <c:v>0.84664676897244595</c:v>
                </c:pt>
                <c:pt idx="71">
                  <c:v>0.84969369929750704</c:v>
                </c:pt>
                <c:pt idx="72">
                  <c:v>0.85269373551744798</c:v>
                </c:pt>
                <c:pt idx="73">
                  <c:v>0.85564690819915301</c:v>
                </c:pt>
                <c:pt idx="74">
                  <c:v>0.85855329344214204</c:v>
                </c:pt>
                <c:pt idx="75">
                  <c:v>0.86141300983660396</c:v>
                </c:pt>
                <c:pt idx="76">
                  <c:v>0.864226215563211</c:v>
                </c:pt>
                <c:pt idx="77">
                  <c:v>0.86699310563197396</c:v>
                </c:pt>
                <c:pt idx="78">
                  <c:v>0.86971390925685099</c:v>
                </c:pt>
                <c:pt idx="79">
                  <c:v>0.87238888736233</c:v>
                </c:pt>
                <c:pt idx="80">
                  <c:v>0.87501833021786202</c:v>
                </c:pt>
                <c:pt idx="81">
                  <c:v>0.877602555195794</c:v>
                </c:pt>
                <c:pt idx="82">
                  <c:v>0.88014190464826303</c:v>
                </c:pt>
                <c:pt idx="83">
                  <c:v>0.882636743898364</c:v>
                </c:pt>
                <c:pt idx="84">
                  <c:v>0.88508745934097</c:v>
                </c:pt>
                <c:pt idx="85">
                  <c:v>0.88749445664840598</c:v>
                </c:pt>
                <c:pt idx="86">
                  <c:v>0.88985815907641197</c:v>
                </c:pt>
                <c:pt idx="87">
                  <c:v>0.89217900586572896</c:v>
                </c:pt>
                <c:pt idx="88">
                  <c:v>0.89445745073483696</c:v>
                </c:pt>
                <c:pt idx="89">
                  <c:v>0.89669396045944505</c:v>
                </c:pt>
                <c:pt idx="90">
                  <c:v>0.89888901353447703</c:v>
                </c:pt>
                <c:pt idx="91">
                  <c:v>0.90104309891443202</c:v>
                </c:pt>
                <c:pt idx="92">
                  <c:v>0.90315671482813598</c:v>
                </c:pt>
                <c:pt idx="93">
                  <c:v>0.90523036766408205</c:v>
                </c:pt>
                <c:pt idx="94">
                  <c:v>0.90726457092268098</c:v>
                </c:pt>
                <c:pt idx="95">
                  <c:v>0.90925984423192396</c:v>
                </c:pt>
                <c:pt idx="96">
                  <c:v>0.91121671242311697</c:v>
                </c:pt>
                <c:pt idx="97">
                  <c:v>0.91313570466348004</c:v>
                </c:pt>
                <c:pt idx="98">
                  <c:v>0.91501735364257697</c:v>
                </c:pt>
                <c:pt idx="99">
                  <c:v>0.916862194809697</c:v>
                </c:pt>
                <c:pt idx="100">
                  <c:v>0.91867076565942496</c:v>
                </c:pt>
                <c:pt idx="101">
                  <c:v>0.92044360506280098</c:v>
                </c:pt>
                <c:pt idx="102">
                  <c:v>0.922181252641609</c:v>
                </c:pt>
                <c:pt idx="103">
                  <c:v>0.92388424818342096</c:v>
                </c:pt>
                <c:pt idx="104">
                  <c:v>0.92555313109522397</c:v>
                </c:pt>
                <c:pt idx="105">
                  <c:v>0.92718843989347299</c:v>
                </c:pt>
                <c:pt idx="106">
                  <c:v>0.92879071172864203</c:v>
                </c:pt>
                <c:pt idx="107">
                  <c:v>0.930360481942337</c:v>
                </c:pt>
                <c:pt idx="108">
                  <c:v>0.93189828365523197</c:v>
                </c:pt>
                <c:pt idx="109">
                  <c:v>0.933404647384108</c:v>
                </c:pt>
                <c:pt idx="110">
                  <c:v>0.934880100686449</c:v>
                </c:pt>
                <c:pt idx="111">
                  <c:v>0.93632516783103104</c:v>
                </c:pt>
                <c:pt idx="112">
                  <c:v>0.937740369493132</c:v>
                </c:pt>
                <c:pt idx="113">
                  <c:v>0.93912622247297695</c:v>
                </c:pt>
                <c:pt idx="114">
                  <c:v>0.94048323943617096</c:v>
                </c:pt>
                <c:pt idx="115">
                  <c:v>0.94181192867488295</c:v>
                </c:pt>
                <c:pt idx="116">
                  <c:v>0.94311279388867297</c:v>
                </c:pt>
                <c:pt idx="117">
                  <c:v>0.94438633398384697</c:v>
                </c:pt>
                <c:pt idx="118">
                  <c:v>0.945633042890343</c:v>
                </c:pt>
                <c:pt idx="119">
                  <c:v>0.94685340939515705</c:v>
                </c:pt>
                <c:pt idx="120">
                  <c:v>0.948047916991412</c:v>
                </c:pt>
                <c:pt idx="121">
                  <c:v>0.94921704374217097</c:v>
                </c:pt>
                <c:pt idx="122">
                  <c:v>0.95036126215820005</c:v>
                </c:pt>
                <c:pt idx="123">
                  <c:v>0.95148103908887605</c:v>
                </c:pt>
                <c:pt idx="124">
                  <c:v>0.95257683562550499</c:v>
                </c:pt>
                <c:pt idx="125">
                  <c:v>0.95364910701634498</c:v>
                </c:pt>
                <c:pt idx="126">
                  <c:v>0.95469830259267996</c:v>
                </c:pt>
                <c:pt idx="127">
                  <c:v>0.95572486570527304</c:v>
                </c:pt>
                <c:pt idx="128">
                  <c:v>0.95672923367065299</c:v>
                </c:pt>
                <c:pt idx="129">
                  <c:v>0.95771183772660295</c:v>
                </c:pt>
                <c:pt idx="130">
                  <c:v>0.95867310299636399</c:v>
                </c:pt>
                <c:pt idx="131">
                  <c:v>0.95961344846099195</c:v>
                </c:pt>
                <c:pt idx="132">
                  <c:v>0.96053328693941298</c:v>
                </c:pt>
                <c:pt idx="133">
                  <c:v>0.96143302507568196</c:v>
                </c:pt>
                <c:pt idx="134">
                  <c:v>0.96231306333303701</c:v>
                </c:pt>
                <c:pt idx="135">
                  <c:v>0.96317379599429698</c:v>
                </c:pt>
                <c:pt idx="136">
                  <c:v>0.96401561039908701</c:v>
                </c:pt>
                <c:pt idx="137">
                  <c:v>0.96483889004896095</c:v>
                </c:pt>
                <c:pt idx="138">
                  <c:v>0.96564400995960697</c:v>
                </c:pt>
                <c:pt idx="139">
                  <c:v>0.96643133980976503</c:v>
                </c:pt>
                <c:pt idx="140">
                  <c:v>0.96720124318182799</c:v>
                </c:pt>
                <c:pt idx="141">
                  <c:v>0.96795407759266305</c:v>
                </c:pt>
                <c:pt idx="142">
                  <c:v>0.96869019452838501</c:v>
                </c:pt>
                <c:pt idx="143">
                  <c:v>0.96940993948279097</c:v>
                </c:pt>
                <c:pt idx="144">
                  <c:v>0.97011365199920097</c:v>
                </c:pt>
                <c:pt idx="145">
                  <c:v>0.97080166571544901</c:v>
                </c:pt>
                <c:pt idx="146">
                  <c:v>0.97147430841178295</c:v>
                </c:pt>
                <c:pt idx="147">
                  <c:v>0.97213190206144695</c:v>
                </c:pt>
                <c:pt idx="148">
                  <c:v>0.97277476288373999</c:v>
                </c:pt>
                <c:pt idx="149">
                  <c:v>0.97340320139932501</c:v>
                </c:pt>
                <c:pt idx="150">
                  <c:v>0.97401752248761597</c:v>
                </c:pt>
                <c:pt idx="151">
                  <c:v>0.97461802544605103</c:v>
                </c:pt>
                <c:pt idx="152">
                  <c:v>0.97520500405106902</c:v>
                </c:pt>
                <c:pt idx="153">
                  <c:v>0.97577874662063302</c:v>
                </c:pt>
                <c:pt idx="154">
                  <c:v>0.97633953607815205</c:v>
                </c:pt>
                <c:pt idx="155">
                  <c:v>0.97688765001762601</c:v>
                </c:pt>
                <c:pt idx="156">
                  <c:v>0.97742336076990899</c:v>
                </c:pt>
                <c:pt idx="157">
                  <c:v>0.97794693546991396</c:v>
                </c:pt>
                <c:pt idx="158">
                  <c:v>0.97845863612469397</c:v>
                </c:pt>
                <c:pt idx="159">
                  <c:v>0.97895871968221004</c:v>
                </c:pt>
                <c:pt idx="160">
                  <c:v>0.97944743810073298</c:v>
                </c:pt>
                <c:pt idx="161">
                  <c:v>0.97992503841874301</c:v>
                </c:pt>
                <c:pt idx="162">
                  <c:v>0.98039176282523299</c:v>
                </c:pt>
                <c:pt idx="163">
                  <c:v>0.98084784873032504</c:v>
                </c:pt>
                <c:pt idx="164">
                  <c:v>0.98129352883610699</c:v>
                </c:pt>
                <c:pt idx="165">
                  <c:v>0.98172903120761801</c:v>
                </c:pt>
                <c:pt idx="166">
                  <c:v>0.98215457934388095</c:v>
                </c:pt>
                <c:pt idx="167">
                  <c:v>0.98257039224893405</c:v>
                </c:pt>
                <c:pt idx="168">
                  <c:v>0.98297668450278097</c:v>
                </c:pt>
                <c:pt idx="169">
                  <c:v>0.98337366633218903</c:v>
                </c:pt>
                <c:pt idx="170">
                  <c:v>0.98376154368128799</c:v>
                </c:pt>
                <c:pt idx="171">
                  <c:v>0.98414051828190696</c:v>
                </c:pt>
                <c:pt idx="172">
                  <c:v>0.98451078772358902</c:v>
                </c:pt>
                <c:pt idx="173">
                  <c:v>0.98487254552325199</c:v>
                </c:pt>
                <c:pt idx="174">
                  <c:v>0.98522598119443805</c:v>
                </c:pt>
                <c:pt idx="175">
                  <c:v>0.98557128031609897</c:v>
                </c:pt>
                <c:pt idx="176">
                  <c:v>0.985908624600909</c:v>
                </c:pt>
                <c:pt idx="177">
                  <c:v>0.98623819196303897</c:v>
                </c:pt>
                <c:pt idx="178">
                  <c:v>0.986560156585365</c:v>
                </c:pt>
                <c:pt idx="179">
                  <c:v>0.98687468898609998</c:v>
                </c:pt>
                <c:pt idx="180">
                  <c:v>0.98718195608478898</c:v>
                </c:pt>
                <c:pt idx="181">
                  <c:v>0.98748212126766599</c:v>
                </c:pt>
                <c:pt idx="182">
                  <c:v>0.98777534445233905</c:v>
                </c:pt>
                <c:pt idx="183">
                  <c:v>0.98806178215177998</c:v>
                </c:pt>
                <c:pt idx="184">
                  <c:v>0.98834158753760804</c:v>
                </c:pt>
                <c:pt idx="185">
                  <c:v>0.98861491050264105</c:v>
                </c:pt>
                <c:pt idx="186">
                  <c:v>0.98888189772269397</c:v>
                </c:pt>
                <c:pt idx="187">
                  <c:v>0.989142692717637</c:v>
                </c:pt>
                <c:pt idx="188">
                  <c:v>0.98939743591165896</c:v>
                </c:pt>
                <c:pt idx="189">
                  <c:v>0.98964626469276695</c:v>
                </c:pt>
                <c:pt idx="190">
                  <c:v>0.98988931347148401</c:v>
                </c:pt>
                <c:pt idx="191">
                  <c:v>0.99012671373874706</c:v>
                </c:pt>
                <c:pt idx="192">
                  <c:v>0.99035859412300298</c:v>
                </c:pt>
                <c:pt idx="193">
                  <c:v>0.99058508044648796</c:v>
                </c:pt>
                <c:pt idx="194">
                  <c:v>0.99080629578069301</c:v>
                </c:pt>
                <c:pt idx="195">
                  <c:v>0.99102236050100601</c:v>
                </c:pt>
                <c:pt idx="196">
                  <c:v>0.99123339234053798</c:v>
                </c:pt>
                <c:pt idx="197">
                  <c:v>0.99143950644311796</c:v>
                </c:pt>
                <c:pt idx="198">
                  <c:v>0.991640815415473</c:v>
                </c:pt>
                <c:pt idx="199">
                  <c:v>0.991837429378577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47296"/>
        <c:axId val="109848832"/>
      </c:lineChart>
      <c:catAx>
        <c:axId val="10984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848832"/>
        <c:crosses val="autoZero"/>
        <c:auto val="1"/>
        <c:lblAlgn val="ctr"/>
        <c:lblOffset val="100"/>
        <c:noMultiLvlLbl val="0"/>
      </c:catAx>
      <c:valAx>
        <c:axId val="10984883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09847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'Anti-focal, cut = 7.31'!$G$1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7.31'!$G$2:$G$201</c:f>
              <c:numCache>
                <c:formatCode>0.000</c:formatCode>
                <c:ptCount val="200"/>
                <c:pt idx="0">
                  <c:v>0.48607917481760499</c:v>
                </c:pt>
                <c:pt idx="1">
                  <c:v>0.46744221770472599</c:v>
                </c:pt>
                <c:pt idx="2">
                  <c:v>0.444583537777691</c:v>
                </c:pt>
                <c:pt idx="3">
                  <c:v>0.41863482738957503</c:v>
                </c:pt>
                <c:pt idx="4">
                  <c:v>0.39106086991084399</c:v>
                </c:pt>
                <c:pt idx="5">
                  <c:v>0.363217326926007</c:v>
                </c:pt>
                <c:pt idx="6">
                  <c:v>0.33607190491282002</c:v>
                </c:pt>
                <c:pt idx="7">
                  <c:v>0.31017691436674599</c:v>
                </c:pt>
                <c:pt idx="8">
                  <c:v>0.28577899663137402</c:v>
                </c:pt>
                <c:pt idx="9">
                  <c:v>0.26294397206354703</c:v>
                </c:pt>
                <c:pt idx="10">
                  <c:v>0.241646563118076</c:v>
                </c:pt>
                <c:pt idx="11">
                  <c:v>0.221822532363635</c:v>
                </c:pt>
                <c:pt idx="12">
                  <c:v>0.203395007396106</c:v>
                </c:pt>
                <c:pt idx="13">
                  <c:v>0.18628615431659901</c:v>
                </c:pt>
                <c:pt idx="14">
                  <c:v>0.17042141789089599</c:v>
                </c:pt>
                <c:pt idx="15">
                  <c:v>0.155730421601289</c:v>
                </c:pt>
                <c:pt idx="16">
                  <c:v>0.14214654543268901</c:v>
                </c:pt>
                <c:pt idx="17">
                  <c:v>0.12960619043028301</c:v>
                </c:pt>
                <c:pt idx="18">
                  <c:v>0.11804811983491099</c:v>
                </c:pt>
                <c:pt idx="19">
                  <c:v>0.107413009545499</c:v>
                </c:pt>
                <c:pt idx="20">
                  <c:v>9.7643214050646895E-2</c:v>
                </c:pt>
                <c:pt idx="21">
                  <c:v>8.8682705768457895E-2</c:v>
                </c:pt>
                <c:pt idx="22">
                  <c:v>8.0477133779599197E-2</c:v>
                </c:pt>
                <c:pt idx="23">
                  <c:v>7.29739519845021E-2</c:v>
                </c:pt>
                <c:pt idx="24">
                  <c:v>6.6122576643704703E-2</c:v>
                </c:pt>
                <c:pt idx="25">
                  <c:v>5.9874544221709097E-2</c:v>
                </c:pt>
                <c:pt idx="26">
                  <c:v>5.4183650314185101E-2</c:v>
                </c:pt>
                <c:pt idx="27">
                  <c:v>4.9006058432951402E-2</c:v>
                </c:pt>
                <c:pt idx="28">
                  <c:v>4.4300373457883298E-2</c:v>
                </c:pt>
                <c:pt idx="29">
                  <c:v>4.0027678843121799E-2</c:v>
                </c:pt>
                <c:pt idx="30">
                  <c:v>3.6151539497903701E-2</c:v>
                </c:pt>
                <c:pt idx="31">
                  <c:v>3.2637973973625001E-2</c:v>
                </c:pt>
                <c:pt idx="32">
                  <c:v>2.9455400470620299E-2</c:v>
                </c:pt>
                <c:pt idx="33">
                  <c:v>2.6574561474816401E-2</c:v>
                </c:pt>
                <c:pt idx="34">
                  <c:v>2.3968431739592001E-2</c:v>
                </c:pt>
                <c:pt idx="35">
                  <c:v>2.16121139892461E-2</c:v>
                </c:pt>
                <c:pt idx="36">
                  <c:v>1.94827262455247E-2</c:v>
                </c:pt>
                <c:pt idx="37">
                  <c:v>1.75592841439236E-2</c:v>
                </c:pt>
                <c:pt idx="38">
                  <c:v>1.58225810635776E-2</c:v>
                </c:pt>
                <c:pt idx="39">
                  <c:v>1.42550683763742E-2</c:v>
                </c:pt>
                <c:pt idx="40">
                  <c:v>1.2840737646901201E-2</c:v>
                </c:pt>
                <c:pt idx="41">
                  <c:v>1.1565006194706601E-2</c:v>
                </c:pt>
                <c:pt idx="42">
                  <c:v>1.04146070673602E-2</c:v>
                </c:pt>
                <c:pt idx="43">
                  <c:v>9.3774841659220402E-3</c:v>
                </c:pt>
                <c:pt idx="44">
                  <c:v>8.4426930100236792E-3</c:v>
                </c:pt>
                <c:pt idx="45">
                  <c:v>7.6003074227887204E-3</c:v>
                </c:pt>
                <c:pt idx="46">
                  <c:v>6.8413322506022198E-3</c:v>
                </c:pt>
                <c:pt idx="47">
                  <c:v>6.1576221035179596E-3</c:v>
                </c:pt>
                <c:pt idx="48">
                  <c:v>5.54180600336821E-3</c:v>
                </c:pt>
                <c:pt idx="49">
                  <c:v>4.9872177533444497E-3</c:v>
                </c:pt>
                <c:pt idx="50">
                  <c:v>4.4878317904231604E-3</c:v>
                </c:pt>
                <c:pt idx="51">
                  <c:v>4.0382042465588698E-3</c:v>
                </c:pt>
                <c:pt idx="52">
                  <c:v>3.6334189226543598E-3</c:v>
                </c:pt>
                <c:pt idx="53">
                  <c:v>3.2690378680661799E-3</c:v>
                </c:pt>
                <c:pt idx="54">
                  <c:v>2.9410562554065402E-3</c:v>
                </c:pt>
                <c:pt idx="55">
                  <c:v>2.6458612436720298E-3</c:v>
                </c:pt>
                <c:pt idx="56">
                  <c:v>2.3801945306430798E-3</c:v>
                </c:pt>
                <c:pt idx="57">
                  <c:v>2.14111830674281E-3</c:v>
                </c:pt>
                <c:pt idx="58">
                  <c:v>1.92598433607397E-3</c:v>
                </c:pt>
                <c:pt idx="59">
                  <c:v>1.73240590533626E-3</c:v>
                </c:pt>
                <c:pt idx="60">
                  <c:v>1.5582323971209599E-3</c:v>
                </c:pt>
                <c:pt idx="61">
                  <c:v>1.40152626018456E-3</c:v>
                </c:pt>
                <c:pt idx="62">
                  <c:v>1.2605421653462299E-3</c:v>
                </c:pt>
                <c:pt idx="63">
                  <c:v>1.13370815135462E-3</c:v>
                </c:pt>
                <c:pt idx="64">
                  <c:v>1.0196085802298099E-3</c:v>
                </c:pt>
                <c:pt idx="65">
                  <c:v>9.1696933288118703E-4</c:v>
                </c:pt>
                <c:pt idx="66">
                  <c:v>8.2464150252146799E-4</c:v>
                </c:pt>
                <c:pt idx="67">
                  <c:v>7.4159244587748599E-4</c:v>
                </c:pt>
                <c:pt idx="68">
                  <c:v>6.6689203274767901E-4</c:v>
                </c:pt>
                <c:pt idx="69">
                  <c:v>5.99703027285136E-4</c:v>
                </c:pt>
                <c:pt idx="70">
                  <c:v>5.3927186494566004E-4</c:v>
                </c:pt>
                <c:pt idx="71">
                  <c:v>4.84920335789722E-4</c:v>
                </c:pt>
                <c:pt idx="72">
                  <c:v>4.3603808678470602E-4</c:v>
                </c:pt>
                <c:pt idx="73">
                  <c:v>3.9207586384420399E-4</c:v>
                </c:pt>
                <c:pt idx="74">
                  <c:v>3.5253942174717101E-4</c:v>
                </c:pt>
                <c:pt idx="75">
                  <c:v>3.1698403684664501E-4</c:v>
                </c:pt>
                <c:pt idx="76">
                  <c:v>2.8500956364904602E-4</c:v>
                </c:pt>
                <c:pt idx="77">
                  <c:v>2.5625598196527498E-4</c:v>
                </c:pt>
                <c:pt idx="78">
                  <c:v>2.30399386445817E-4</c:v>
                </c:pt>
                <c:pt idx="79">
                  <c:v>2.0714837495481699E-4</c:v>
                </c:pt>
                <c:pt idx="80">
                  <c:v>1.86240796450786E-4</c:v>
                </c:pt>
                <c:pt idx="81">
                  <c:v>1.67440822861087E-4</c:v>
                </c:pt>
                <c:pt idx="82">
                  <c:v>1.5053631289689199E-4</c:v>
                </c:pt>
                <c:pt idx="83">
                  <c:v>1.35336438887246E-4</c:v>
                </c:pt>
                <c:pt idx="84">
                  <c:v>1.2166955054386601E-4</c:v>
                </c:pt>
                <c:pt idx="85">
                  <c:v>1.0938125212989499E-4</c:v>
                </c:pt>
                <c:pt idx="86">
                  <c:v>9.8332671820601503E-5</c:v>
                </c:pt>
                <c:pt idx="87">
                  <c:v>8.8398904134880899E-5</c:v>
                </c:pt>
                <c:pt idx="88">
                  <c:v>7.9467608204414203E-5</c:v>
                </c:pt>
                <c:pt idx="89">
                  <c:v>7.1437746351355001E-5</c:v>
                </c:pt>
                <c:pt idx="90">
                  <c:v>6.4218448983100699E-5</c:v>
                </c:pt>
                <c:pt idx="91">
                  <c:v>5.77279931997347E-5</c:v>
                </c:pt>
                <c:pt idx="92">
                  <c:v>5.1892883760686103E-5</c:v>
                </c:pt>
                <c:pt idx="93">
                  <c:v>4.6647026185058498E-5</c:v>
                </c:pt>
                <c:pt idx="94">
                  <c:v>4.1930982776867102E-5</c:v>
                </c:pt>
                <c:pt idx="95">
                  <c:v>3.7691303282847697E-5</c:v>
                </c:pt>
                <c:pt idx="96">
                  <c:v>3.38799227163862E-5</c:v>
                </c:pt>
                <c:pt idx="97">
                  <c:v>3.04536196252342E-5</c:v>
                </c:pt>
                <c:pt idx="98">
                  <c:v>2.7373528751079599E-5</c:v>
                </c:pt>
                <c:pt idx="99">
                  <c:v>2.4604702632949501E-5</c:v>
                </c:pt>
                <c:pt idx="100">
                  <c:v>2.2115717250362399E-5</c:v>
                </c:pt>
                <c:pt idx="101">
                  <c:v>1.9878317292021099E-5</c:v>
                </c:pt>
                <c:pt idx="102">
                  <c:v>1.78670970770204E-5</c:v>
                </c:pt>
                <c:pt idx="103">
                  <c:v>1.6059213552771298E-5</c:v>
                </c:pt>
                <c:pt idx="104">
                  <c:v>1.4434128151536899E-5</c:v>
                </c:pt>
                <c:pt idx="105">
                  <c:v>1.2973374609508399E-5</c:v>
                </c:pt>
                <c:pt idx="106">
                  <c:v>1.16603501422615E-5</c:v>
                </c:pt>
                <c:pt idx="107">
                  <c:v>1.04810753312123E-5</c:v>
                </c:pt>
                <c:pt idx="108">
                  <c:v>9.4202335111159996E-6</c:v>
                </c:pt>
                <c:pt idx="109">
                  <c:v>8.4667078164393392E-6</c:v>
                </c:pt>
                <c:pt idx="110">
                  <c:v>7.6096509495303697E-6</c:v>
                </c:pt>
                <c:pt idx="111">
                  <c:v>6.8393109804679098E-6</c:v>
                </c:pt>
                <c:pt idx="112">
                  <c:v>6.1469208610270904E-6</c:v>
                </c:pt>
                <c:pt idx="113">
                  <c:v>5.52459906815751E-6</c:v>
                </c:pt>
                <c:pt idx="114">
                  <c:v>4.9652602576381003E-6</c:v>
                </c:pt>
                <c:pt idx="115">
                  <c:v>4.4625349209431099E-6</c:v>
                </c:pt>
                <c:pt idx="116">
                  <c:v>4.0106971394554897E-6</c:v>
                </c:pt>
                <c:pt idx="117">
                  <c:v>3.60459962114865E-6</c:v>
                </c:pt>
                <c:pt idx="118">
                  <c:v>3.2396152867168301E-6</c:v>
                </c:pt>
                <c:pt idx="119">
                  <c:v>2.9115847457913302E-6</c:v>
                </c:pt>
                <c:pt idx="120">
                  <c:v>2.6167690701473002E-6</c:v>
                </c:pt>
                <c:pt idx="121">
                  <c:v>2.3518073304313898E-6</c:v>
                </c:pt>
                <c:pt idx="122">
                  <c:v>2.11367841657847E-6</c:v>
                </c:pt>
                <c:pt idx="123">
                  <c:v>1.89966671034421E-6</c:v>
                </c:pt>
                <c:pt idx="124">
                  <c:v>1.7073312217933101E-6</c:v>
                </c:pt>
                <c:pt idx="125">
                  <c:v>1.5344778406371E-6</c:v>
                </c:pt>
                <c:pt idx="126">
                  <c:v>1.3791343884455199E-6</c:v>
                </c:pt>
                <c:pt idx="127">
                  <c:v>1.2395281893622701E-6</c:v>
                </c:pt>
                <c:pt idx="128">
                  <c:v>1.11406590537711E-6</c:v>
                </c:pt>
                <c:pt idx="129">
                  <c:v>1.0013154077814399E-6</c:v>
                </c:pt>
                <c:pt idx="130">
                  <c:v>8.9998947943089997E-7</c:v>
                </c:pt>
                <c:pt idx="131">
                  <c:v>8.0893116312746699E-7</c:v>
                </c:pt>
                <c:pt idx="132">
                  <c:v>7.2710059003897105E-7</c:v>
                </c:pt>
                <c:pt idx="133">
                  <c:v>6.5356313880942605E-7</c:v>
                </c:pt>
                <c:pt idx="134">
                  <c:v>5.8747879106473505E-7</c:v>
                </c:pt>
                <c:pt idx="135">
                  <c:v>5.2809256255471795E-7</c:v>
                </c:pt>
                <c:pt idx="136">
                  <c:v>4.7472590134684E-7</c:v>
                </c:pt>
                <c:pt idx="137">
                  <c:v>4.2676895543552202E-7</c:v>
                </c:pt>
                <c:pt idx="138">
                  <c:v>3.8367362197682899E-7</c:v>
                </c:pt>
                <c:pt idx="139">
                  <c:v>3.4494729921336598E-7</c:v>
                </c:pt>
                <c:pt idx="140">
                  <c:v>3.1014727011649001E-7</c:v>
                </c:pt>
                <c:pt idx="141">
                  <c:v>2.7887565393385602E-7</c:v>
                </c:pt>
                <c:pt idx="142">
                  <c:v>2.5077486826888901E-7</c:v>
                </c:pt>
                <c:pt idx="143">
                  <c:v>2.2552355010930101E-7</c:v>
                </c:pt>
                <c:pt idx="144">
                  <c:v>2.0283288942797401E-7</c:v>
                </c:pt>
                <c:pt idx="145">
                  <c:v>1.8244333366127601E-7</c:v>
                </c:pt>
                <c:pt idx="146">
                  <c:v>1.6412162557934799E-7</c:v>
                </c:pt>
                <c:pt idx="147">
                  <c:v>1.4765814084808601E-7</c:v>
                </c:pt>
                <c:pt idx="148">
                  <c:v>1.3286449498576499E-7</c:v>
                </c:pt>
                <c:pt idx="149">
                  <c:v>1.1957139247727199E-7</c:v>
                </c:pt>
                <c:pt idx="150">
                  <c:v>1.07626693560183E-7</c:v>
                </c:pt>
                <c:pt idx="151">
                  <c:v>9.6893676670608806E-8</c:v>
                </c:pt>
                <c:pt idx="152">
                  <c:v>8.7249476760749707E-8</c:v>
                </c:pt>
                <c:pt idx="153">
                  <c:v>7.8583681699608006E-8</c:v>
                </c:pt>
                <c:pt idx="154">
                  <c:v>7.0797070766094897E-8</c:v>
                </c:pt>
                <c:pt idx="155">
                  <c:v>6.3800480859850498E-8</c:v>
                </c:pt>
                <c:pt idx="156">
                  <c:v>5.7513787508252303E-8</c:v>
                </c:pt>
                <c:pt idx="157">
                  <c:v>5.18649890542338E-8</c:v>
                </c:pt>
                <c:pt idx="158">
                  <c:v>4.6789383583989403E-8</c:v>
                </c:pt>
                <c:pt idx="159">
                  <c:v>4.2228829209272998E-8</c:v>
                </c:pt>
                <c:pt idx="160">
                  <c:v>3.8131079268154797E-8</c:v>
                </c:pt>
                <c:pt idx="161">
                  <c:v>3.4449184861219901E-8</c:v>
                </c:pt>
                <c:pt idx="162">
                  <c:v>3.1140957907191699E-8</c:v>
                </c:pt>
                <c:pt idx="163">
                  <c:v>2.8168488591425401E-8</c:v>
                </c:pt>
                <c:pt idx="164">
                  <c:v>2.54977117004858E-8</c:v>
                </c:pt>
                <c:pt idx="165">
                  <c:v>2.30980168931605E-8</c:v>
                </c:pt>
                <c:pt idx="166">
                  <c:v>2.09418984590674E-8</c:v>
                </c:pt>
                <c:pt idx="167">
                  <c:v>1.90046405661909E-8</c:v>
                </c:pt>
                <c:pt idx="168">
                  <c:v>1.7264034403345101E-8</c:v>
                </c:pt>
                <c:pt idx="169">
                  <c:v>1.57001239872959E-8</c:v>
                </c:pt>
                <c:pt idx="170">
                  <c:v>1.42949777312222E-8</c:v>
                </c:pt>
                <c:pt idx="171">
                  <c:v>1.30324831650933E-8</c:v>
                </c:pt>
                <c:pt idx="172">
                  <c:v>1.18981624626811E-8</c:v>
                </c:pt>
                <c:pt idx="173">
                  <c:v>1.08790066673742E-8</c:v>
                </c:pt>
                <c:pt idx="174">
                  <c:v>9.9633267223615999E-9</c:v>
                </c:pt>
                <c:pt idx="175">
                  <c:v>9.1406196025842695E-9</c:v>
                </c:pt>
                <c:pt idx="176">
                  <c:v>8.4014480182542507E-9</c:v>
                </c:pt>
                <c:pt idx="177">
                  <c:v>7.7373323147106794E-9</c:v>
                </c:pt>
                <c:pt idx="178">
                  <c:v>7.1406533326579099E-9</c:v>
                </c:pt>
                <c:pt idx="179">
                  <c:v>6.6045651180127402E-9</c:v>
                </c:pt>
                <c:pt idx="180">
                  <c:v>6.1229164831029404E-9</c:v>
                </c:pt>
                <c:pt idx="181">
                  <c:v>5.69018052207568E-9</c:v>
                </c:pt>
                <c:pt idx="182">
                  <c:v>5.3013912742652304E-9</c:v>
                </c:pt>
                <c:pt idx="183">
                  <c:v>4.9520868109446201E-9</c:v>
                </c:pt>
                <c:pt idx="184">
                  <c:v>4.6382580943055401E-9</c:v>
                </c:pt>
                <c:pt idx="185">
                  <c:v>4.3563030234819603E-9</c:v>
                </c:pt>
                <c:pt idx="186">
                  <c:v>4.1029851417352504E-9</c:v>
                </c:pt>
                <c:pt idx="187">
                  <c:v>3.8753965322074102E-9</c:v>
                </c:pt>
                <c:pt idx="188">
                  <c:v>3.6709244775414501E-9</c:v>
                </c:pt>
                <c:pt idx="189">
                  <c:v>3.4872215017153099E-9</c:v>
                </c:pt>
                <c:pt idx="190">
                  <c:v>3.3221784511130399E-9</c:v>
                </c:pt>
                <c:pt idx="191">
                  <c:v>3.1739003066250401E-9</c:v>
                </c:pt>
                <c:pt idx="192">
                  <c:v>3.0406844498091199E-9</c:v>
                </c:pt>
                <c:pt idx="193">
                  <c:v>2.92100113422107E-9</c:v>
                </c:pt>
                <c:pt idx="194">
                  <c:v>2.8134759382563101E-9</c:v>
                </c:pt>
                <c:pt idx="195">
                  <c:v>2.7168739985180298E-9</c:v>
                </c:pt>
                <c:pt idx="196">
                  <c:v>2.6300858431056401E-9</c:v>
                </c:pt>
                <c:pt idx="197">
                  <c:v>2.5521146625293399E-9</c:v>
                </c:pt>
                <c:pt idx="198">
                  <c:v>2.4820648724126898E-9</c:v>
                </c:pt>
                <c:pt idx="199">
                  <c:v>2.4191318369340799E-9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'Anti-focal, cut = 7.31'!$H$1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7.31'!$H$2:$H$201</c:f>
              <c:numCache>
                <c:formatCode>0.000</c:formatCode>
                <c:ptCount val="200"/>
                <c:pt idx="0">
                  <c:v>0.49703334897733098</c:v>
                </c:pt>
                <c:pt idx="1">
                  <c:v>0.49012547840023701</c:v>
                </c:pt>
                <c:pt idx="2">
                  <c:v>0.47980700934464099</c:v>
                </c:pt>
                <c:pt idx="3">
                  <c:v>0.467024311528625</c:v>
                </c:pt>
                <c:pt idx="4">
                  <c:v>0.45288109568759699</c:v>
                </c:pt>
                <c:pt idx="5">
                  <c:v>0.438320583741514</c:v>
                </c:pt>
                <c:pt idx="6">
                  <c:v>0.42395803536826998</c:v>
                </c:pt>
                <c:pt idx="7">
                  <c:v>0.41009771291138802</c:v>
                </c:pt>
                <c:pt idx="8">
                  <c:v>0.396834515295239</c:v>
                </c:pt>
                <c:pt idx="9">
                  <c:v>0.38415250297675801</c:v>
                </c:pt>
                <c:pt idx="10">
                  <c:v>0.37199029635452402</c:v>
                </c:pt>
                <c:pt idx="11">
                  <c:v>0.360276387963335</c:v>
                </c:pt>
                <c:pt idx="12">
                  <c:v>0.34894521362731601</c:v>
                </c:pt>
                <c:pt idx="13">
                  <c:v>0.337942861264865</c:v>
                </c:pt>
                <c:pt idx="14">
                  <c:v>0.32722780898749299</c:v>
                </c:pt>
                <c:pt idx="15">
                  <c:v>0.316769606565522</c:v>
                </c:pt>
                <c:pt idx="16">
                  <c:v>0.30654688668580099</c:v>
                </c:pt>
                <c:pt idx="17">
                  <c:v>0.29654536770470102</c:v>
                </c:pt>
                <c:pt idx="18">
                  <c:v>0.28675609121759499</c:v>
                </c:pt>
                <c:pt idx="19">
                  <c:v>0.27717396717627302</c:v>
                </c:pt>
                <c:pt idx="20">
                  <c:v>0.26779661848556402</c:v>
                </c:pt>
                <c:pt idx="21">
                  <c:v>0.25862348696786103</c:v>
                </c:pt>
                <c:pt idx="22">
                  <c:v>0.24965515520894399</c:v>
                </c:pt>
                <c:pt idx="23">
                  <c:v>0.240892841126601</c:v>
                </c:pt>
                <c:pt idx="24">
                  <c:v>0.232338027966946</c:v>
                </c:pt>
                <c:pt idx="25">
                  <c:v>0.22399219901638601</c:v>
                </c:pt>
                <c:pt idx="26">
                  <c:v>0.21585665243313301</c:v>
                </c:pt>
                <c:pt idx="27">
                  <c:v>0.20793237683648799</c:v>
                </c:pt>
                <c:pt idx="28">
                  <c:v>0.20021997258141999</c:v>
                </c:pt>
                <c:pt idx="29">
                  <c:v>0.192719607072497</c:v>
                </c:pt>
                <c:pt idx="30">
                  <c:v>0.18543099516616801</c:v>
                </c:pt>
                <c:pt idx="31">
                  <c:v>0.178353397809211</c:v>
                </c:pt>
                <c:pt idx="32">
                  <c:v>0.171485633685761</c:v>
                </c:pt>
                <c:pt idx="33">
                  <c:v>0.16482609989831001</c:v>
                </c:pt>
                <c:pt idx="34">
                  <c:v>0.15837279867245399</c:v>
                </c:pt>
                <c:pt idx="35">
                  <c:v>0.15212336781678601</c:v>
                </c:pt>
                <c:pt idx="36">
                  <c:v>0.146075113239438</c:v>
                </c:pt>
                <c:pt idx="37">
                  <c:v>0.140225042261066</c:v>
                </c:pt>
                <c:pt idx="38">
                  <c:v>0.13456989680095599</c:v>
                </c:pt>
                <c:pt idx="39">
                  <c:v>0.12910618577171601</c:v>
                </c:pt>
                <c:pt idx="40">
                  <c:v>0.123830216216678</c:v>
                </c:pt>
                <c:pt idx="41">
                  <c:v>0.11873812287601999</c:v>
                </c:pt>
                <c:pt idx="42">
                  <c:v>0.113825895983627</c:v>
                </c:pt>
                <c:pt idx="43">
                  <c:v>0.10908940718440301</c:v>
                </c:pt>
                <c:pt idx="44">
                  <c:v>0.104524433527784</c:v>
                </c:pt>
                <c:pt idx="45">
                  <c:v>0.10012667954205801</c:v>
                </c:pt>
                <c:pt idx="46">
                  <c:v>9.5891797429764003E-2</c:v>
                </c:pt>
                <c:pt idx="47">
                  <c:v>9.1815405449683099E-2</c:v>
                </c:pt>
                <c:pt idx="48">
                  <c:v>8.7893104568207606E-2</c:v>
                </c:pt>
                <c:pt idx="49">
                  <c:v>8.4120493473907307E-2</c:v>
                </c:pt>
                <c:pt idx="50">
                  <c:v>8.0493182055367707E-2</c:v>
                </c:pt>
                <c:pt idx="51">
                  <c:v>7.7006803445061903E-2</c:v>
                </c:pt>
                <c:pt idx="52">
                  <c:v>7.3657024731947005E-2</c:v>
                </c:pt>
                <c:pt idx="53">
                  <c:v>7.0439556443461601E-2</c:v>
                </c:pt>
                <c:pt idx="54">
                  <c:v>6.7350160894153202E-2</c:v>
                </c:pt>
                <c:pt idx="55">
                  <c:v>6.4384659493753493E-2</c:v>
                </c:pt>
                <c:pt idx="56">
                  <c:v>6.1538939102510903E-2</c:v>
                </c:pt>
                <c:pt idx="57">
                  <c:v>5.8808957516210097E-2</c:v>
                </c:pt>
                <c:pt idx="58">
                  <c:v>5.6190748157806697E-2</c:v>
                </c:pt>
                <c:pt idx="59">
                  <c:v>5.3680424047132497E-2</c:v>
                </c:pt>
                <c:pt idx="60">
                  <c:v>5.1274181114747901E-2</c:v>
                </c:pt>
                <c:pt idx="61">
                  <c:v>4.89683009208726E-2</c:v>
                </c:pt>
                <c:pt idx="62">
                  <c:v>4.6759152835445801E-2</c:v>
                </c:pt>
                <c:pt idx="63">
                  <c:v>4.4643195730753302E-2</c:v>
                </c:pt>
                <c:pt idx="64">
                  <c:v>4.26169792337764E-2</c:v>
                </c:pt>
                <c:pt idx="65">
                  <c:v>4.0677147134376597E-2</c:v>
                </c:pt>
                <c:pt idx="66">
                  <c:v>3.8820427627858499E-2</c:v>
                </c:pt>
                <c:pt idx="67">
                  <c:v>3.7043648939228999E-2</c:v>
                </c:pt>
                <c:pt idx="68">
                  <c:v>3.5343728868622297E-2</c:v>
                </c:pt>
                <c:pt idx="69">
                  <c:v>3.3717677017590902E-2</c:v>
                </c:pt>
                <c:pt idx="70">
                  <c:v>3.2162594188377497E-2</c:v>
                </c:pt>
                <c:pt idx="71">
                  <c:v>3.06756715780615E-2</c:v>
                </c:pt>
                <c:pt idx="72">
                  <c:v>2.9254189790778502E-2</c:v>
                </c:pt>
                <c:pt idx="73">
                  <c:v>2.7895517689255502E-2</c:v>
                </c:pt>
                <c:pt idx="74">
                  <c:v>2.6597111105132899E-2</c:v>
                </c:pt>
                <c:pt idx="75">
                  <c:v>2.53565114259128E-2</c:v>
                </c:pt>
                <c:pt idx="76">
                  <c:v>2.4171344074897599E-2</c:v>
                </c:pt>
                <c:pt idx="77">
                  <c:v>2.3039316899107098E-2</c:v>
                </c:pt>
                <c:pt idx="78">
                  <c:v>2.1958218478921199E-2</c:v>
                </c:pt>
                <c:pt idx="79">
                  <c:v>2.0925916372040599E-2</c:v>
                </c:pt>
                <c:pt idx="80">
                  <c:v>1.9940355303297901E-2</c:v>
                </c:pt>
                <c:pt idx="81">
                  <c:v>1.89995553108687E-2</c:v>
                </c:pt>
                <c:pt idx="82">
                  <c:v>1.8101609858531601E-2</c:v>
                </c:pt>
                <c:pt idx="83">
                  <c:v>1.7244683922780401E-2</c:v>
                </c:pt>
                <c:pt idx="84">
                  <c:v>1.64270120628132E-2</c:v>
                </c:pt>
                <c:pt idx="85">
                  <c:v>1.56468964807021E-2</c:v>
                </c:pt>
                <c:pt idx="86">
                  <c:v>1.4902705078370901E-2</c:v>
                </c:pt>
                <c:pt idx="87">
                  <c:v>1.4192869517379201E-2</c:v>
                </c:pt>
                <c:pt idx="88">
                  <c:v>1.35158832869323E-2</c:v>
                </c:pt>
                <c:pt idx="89">
                  <c:v>1.2870299784990699E-2</c:v>
                </c:pt>
                <c:pt idx="90">
                  <c:v>1.22547304168433E-2</c:v>
                </c:pt>
                <c:pt idx="91">
                  <c:v>1.16678427150445E-2</c:v>
                </c:pt>
                <c:pt idx="92">
                  <c:v>1.1108358484170199E-2</c:v>
                </c:pt>
                <c:pt idx="93">
                  <c:v>1.05750519734421E-2</c:v>
                </c:pt>
                <c:pt idx="94">
                  <c:v>1.00667480798965E-2</c:v>
                </c:pt>
                <c:pt idx="95">
                  <c:v>9.5823205844124994E-3</c:v>
                </c:pt>
                <c:pt idx="96">
                  <c:v>9.1206904226003097E-3</c:v>
                </c:pt>
                <c:pt idx="97">
                  <c:v>8.6808239922409498E-3</c:v>
                </c:pt>
                <c:pt idx="98">
                  <c:v>8.2617314986980807E-3</c:v>
                </c:pt>
                <c:pt idx="99">
                  <c:v>7.8624653394615499E-3</c:v>
                </c:pt>
                <c:pt idx="100">
                  <c:v>7.4821185287510502E-3</c:v>
                </c:pt>
                <c:pt idx="101">
                  <c:v>7.1198231628917001E-3</c:v>
                </c:pt>
                <c:pt idx="102">
                  <c:v>6.7747489269753504E-3</c:v>
                </c:pt>
                <c:pt idx="103">
                  <c:v>6.4461016431445898E-3</c:v>
                </c:pt>
                <c:pt idx="104">
                  <c:v>6.1331218606695001E-3</c:v>
                </c:pt>
                <c:pt idx="105">
                  <c:v>5.8350834878425498E-3</c:v>
                </c:pt>
                <c:pt idx="106">
                  <c:v>5.5512924655817799E-3</c:v>
                </c:pt>
                <c:pt idx="107">
                  <c:v>5.2810879857993296E-3</c:v>
                </c:pt>
                <c:pt idx="108">
                  <c:v>5.0238312025189698E-3</c:v>
                </c:pt>
                <c:pt idx="109">
                  <c:v>4.7789191454251801E-3</c:v>
                </c:pt>
                <c:pt idx="110">
                  <c:v>4.5457734459143397E-3</c:v>
                </c:pt>
                <c:pt idx="111">
                  <c:v>4.3238417501086802E-3</c:v>
                </c:pt>
                <c:pt idx="112">
                  <c:v>4.1125966345327601E-3</c:v>
                </c:pt>
                <c:pt idx="113">
                  <c:v>3.9115345600229997E-3</c:v>
                </c:pt>
                <c:pt idx="114">
                  <c:v>3.7201748631108E-3</c:v>
                </c:pt>
                <c:pt idx="115">
                  <c:v>3.53805878407841E-3</c:v>
                </c:pt>
                <c:pt idx="116">
                  <c:v>3.36474853085175E-3</c:v>
                </c:pt>
                <c:pt idx="117">
                  <c:v>3.1998263778689499E-3</c:v>
                </c:pt>
                <c:pt idx="118">
                  <c:v>3.0428937990407698E-3</c:v>
                </c:pt>
                <c:pt idx="119">
                  <c:v>2.8935706339015799E-3</c:v>
                </c:pt>
                <c:pt idx="120">
                  <c:v>2.7514942860392801E-3</c:v>
                </c:pt>
                <c:pt idx="121">
                  <c:v>2.61631895288428E-3</c:v>
                </c:pt>
                <c:pt idx="122">
                  <c:v>2.4877148859342498E-3</c:v>
                </c:pt>
                <c:pt idx="123">
                  <c:v>2.3653676804910998E-3</c:v>
                </c:pt>
                <c:pt idx="124">
                  <c:v>2.24897759398968E-3</c:v>
                </c:pt>
                <c:pt idx="125">
                  <c:v>2.1382588920040302E-3</c:v>
                </c:pt>
                <c:pt idx="126">
                  <c:v>2.0329392210243699E-3</c:v>
                </c:pt>
                <c:pt idx="127">
                  <c:v>1.9327590071088301E-3</c:v>
                </c:pt>
                <c:pt idx="128">
                  <c:v>1.8374708795270099E-3</c:v>
                </c:pt>
                <c:pt idx="129">
                  <c:v>1.7468391185250099E-3</c:v>
                </c:pt>
                <c:pt idx="130">
                  <c:v>1.66063912635835E-3</c:v>
                </c:pt>
                <c:pt idx="131">
                  <c:v>1.5786569207549E-3</c:v>
                </c:pt>
                <c:pt idx="132">
                  <c:v>1.50068864998862E-3</c:v>
                </c:pt>
                <c:pt idx="133">
                  <c:v>1.4265401287622301E-3</c:v>
                </c:pt>
                <c:pt idx="134">
                  <c:v>1.3560263941170599E-3</c:v>
                </c:pt>
                <c:pt idx="135">
                  <c:v>1.28897128060811E-3</c:v>
                </c:pt>
                <c:pt idx="136">
                  <c:v>1.2252070140017701E-3</c:v>
                </c:pt>
                <c:pt idx="137">
                  <c:v>1.1645738227752599E-3</c:v>
                </c:pt>
                <c:pt idx="138">
                  <c:v>1.10691956671666E-3</c:v>
                </c:pt>
                <c:pt idx="139">
                  <c:v>1.0520993819454301E-3</c:v>
                </c:pt>
                <c:pt idx="140">
                  <c:v>9.9997534169462892E-4</c:v>
                </c:pt>
                <c:pt idx="141">
                  <c:v>9.5041613221602203E-4</c:v>
                </c:pt>
                <c:pt idx="142">
                  <c:v>9.0329674319045996E-4</c:v>
                </c:pt>
                <c:pt idx="143">
                  <c:v>8.5849817204614899E-4</c:v>
                </c:pt>
                <c:pt idx="144">
                  <c:v>8.1590714160774099E-4</c:v>
                </c:pt>
                <c:pt idx="145">
                  <c:v>7.7541583051856495E-4</c:v>
                </c:pt>
                <c:pt idx="146">
                  <c:v>7.3692161589911402E-4</c:v>
                </c:pt>
                <c:pt idx="147">
                  <c:v>7.0032682772265E-4</c:v>
                </c:pt>
                <c:pt idx="148">
                  <c:v>6.6553851440873601E-4</c:v>
                </c:pt>
                <c:pt idx="149">
                  <c:v>6.32468219153567E-4</c:v>
                </c:pt>
                <c:pt idx="150">
                  <c:v>6.0103176653385703E-4</c:v>
                </c:pt>
                <c:pt idx="151">
                  <c:v>5.7114905893892705E-4</c:v>
                </c:pt>
                <c:pt idx="152">
                  <c:v>5.4274388240243795E-4</c:v>
                </c:pt>
                <c:pt idx="153">
                  <c:v>5.1574372142218798E-4</c:v>
                </c:pt>
                <c:pt idx="154">
                  <c:v>4.9007958237222502E-4</c:v>
                </c:pt>
                <c:pt idx="155">
                  <c:v>4.65685825127571E-4</c:v>
                </c:pt>
                <c:pt idx="156">
                  <c:v>4.4250000253688099E-4</c:v>
                </c:pt>
                <c:pt idx="157">
                  <c:v>4.2046270739315602E-4</c:v>
                </c:pt>
                <c:pt idx="158">
                  <c:v>3.9951742656700801E-4</c:v>
                </c:pt>
                <c:pt idx="159">
                  <c:v>3.7961040198059801E-4</c:v>
                </c:pt>
                <c:pt idx="160">
                  <c:v>3.6069049811397801E-4</c:v>
                </c:pt>
                <c:pt idx="161">
                  <c:v>3.4270907574818497E-4</c:v>
                </c:pt>
                <c:pt idx="162">
                  <c:v>3.2561987166216202E-4</c:v>
                </c:pt>
                <c:pt idx="163">
                  <c:v>3.0937888401219598E-4</c:v>
                </c:pt>
                <c:pt idx="164">
                  <c:v>2.9394426313460799E-4</c:v>
                </c:pt>
                <c:pt idx="165">
                  <c:v>2.79276207523096E-4</c:v>
                </c:pt>
                <c:pt idx="166">
                  <c:v>2.6533686474313498E-4</c:v>
                </c:pt>
                <c:pt idx="167">
                  <c:v>2.5209023705609498E-4</c:v>
                </c:pt>
                <c:pt idx="168">
                  <c:v>2.3950209153557499E-4</c:v>
                </c:pt>
                <c:pt idx="169">
                  <c:v>2.27539874468025E-4</c:v>
                </c:pt>
                <c:pt idx="170">
                  <c:v>2.1617262983889701E-4</c:v>
                </c:pt>
                <c:pt idx="171">
                  <c:v>2.0537092171438699E-4</c:v>
                </c:pt>
                <c:pt idx="172">
                  <c:v>1.95106760337123E-4</c:v>
                </c:pt>
                <c:pt idx="173">
                  <c:v>1.85353531762464E-4</c:v>
                </c:pt>
                <c:pt idx="174">
                  <c:v>1.76085930869594E-4</c:v>
                </c:pt>
                <c:pt idx="175">
                  <c:v>1.6727989758932599E-4</c:v>
                </c:pt>
                <c:pt idx="176">
                  <c:v>1.58912556197355E-4</c:v>
                </c:pt>
                <c:pt idx="177">
                  <c:v>1.5096215752881999E-4</c:v>
                </c:pt>
                <c:pt idx="178">
                  <c:v>1.4340802397634601E-4</c:v>
                </c:pt>
                <c:pt idx="179">
                  <c:v>1.36230497140243E-4</c:v>
                </c:pt>
                <c:pt idx="180">
                  <c:v>1.2941088800526299E-4</c:v>
                </c:pt>
                <c:pt idx="181">
                  <c:v>1.2293142952438799E-4</c:v>
                </c:pt>
                <c:pt idx="182">
                  <c:v>1.16775231495314E-4</c:v>
                </c:pt>
                <c:pt idx="183">
                  <c:v>1.10926237620739E-4</c:v>
                </c:pt>
                <c:pt idx="184">
                  <c:v>1.0536918464858899E-4</c:v>
                </c:pt>
                <c:pt idx="185">
                  <c:v>1.0008956349300001E-4</c:v>
                </c:pt>
                <c:pt idx="186">
                  <c:v>9.5073582241611901E-5</c:v>
                </c:pt>
                <c:pt idx="187">
                  <c:v>9.0308130959045694E-5</c:v>
                </c:pt>
                <c:pt idx="188">
                  <c:v>8.5780748200644095E-5</c:v>
                </c:pt>
                <c:pt idx="189">
                  <c:v>8.1479589154610294E-5</c:v>
                </c:pt>
                <c:pt idx="190">
                  <c:v>7.7393395334424196E-5</c:v>
                </c:pt>
                <c:pt idx="191">
                  <c:v>7.3511465747189399E-5</c:v>
                </c:pt>
                <c:pt idx="192">
                  <c:v>6.9823629466943602E-5</c:v>
                </c:pt>
                <c:pt idx="193">
                  <c:v>6.6320219545412695E-5</c:v>
                </c:pt>
                <c:pt idx="194">
                  <c:v>6.2992048195751707E-5</c:v>
                </c:pt>
                <c:pt idx="195">
                  <c:v>5.9830383187986097E-5</c:v>
                </c:pt>
                <c:pt idx="196">
                  <c:v>5.6826925397654401E-5</c:v>
                </c:pt>
                <c:pt idx="197">
                  <c:v>5.3973787452000998E-5</c:v>
                </c:pt>
                <c:pt idx="198">
                  <c:v>5.1263473420654899E-5</c:v>
                </c:pt>
                <c:pt idx="199">
                  <c:v>4.8688859500300703E-5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'Anti-focal, cut = 7.31'!$I$1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7.31'!$I$2:$I$201</c:f>
              <c:numCache>
                <c:formatCode>0.000</c:formatCode>
                <c:ptCount val="200"/>
                <c:pt idx="0">
                  <c:v>0.50799037181898199</c:v>
                </c:pt>
                <c:pt idx="1">
                  <c:v>0.51284947390173297</c:v>
                </c:pt>
                <c:pt idx="2">
                  <c:v>0.51523238549772499</c:v>
                </c:pt>
                <c:pt idx="3">
                  <c:v>0.51604226361738004</c:v>
                </c:pt>
                <c:pt idx="4">
                  <c:v>0.51618983755935599</c:v>
                </c:pt>
                <c:pt idx="5">
                  <c:v>0.51636058330418799</c:v>
                </c:pt>
                <c:pt idx="6">
                  <c:v>0.51693268263485503</c:v>
                </c:pt>
                <c:pt idx="7">
                  <c:v>0.51803453197576199</c:v>
                </c:pt>
                <c:pt idx="8">
                  <c:v>0.51964717656214499</c:v>
                </c:pt>
                <c:pt idx="9">
                  <c:v>0.52168724500423802</c:v>
                </c:pt>
                <c:pt idx="10">
                  <c:v>0.52405583293327396</c:v>
                </c:pt>
                <c:pt idx="11">
                  <c:v>0.526661551437412</c:v>
                </c:pt>
                <c:pt idx="12">
                  <c:v>0.52942876341296097</c:v>
                </c:pt>
                <c:pt idx="13">
                  <c:v>0.53229864749650901</c:v>
                </c:pt>
                <c:pt idx="14">
                  <c:v>0.53522733209173401</c:v>
                </c:pt>
                <c:pt idx="15">
                  <c:v>0.538183158691242</c:v>
                </c:pt>
                <c:pt idx="16">
                  <c:v>0.54114398732009905</c:v>
                </c:pt>
                <c:pt idx="17">
                  <c:v>0.54409486873002699</c:v>
                </c:pt>
                <c:pt idx="18">
                  <c:v>0.54702616199236898</c:v>
                </c:pt>
                <c:pt idx="19">
                  <c:v>0.54993206697497599</c:v>
                </c:pt>
                <c:pt idx="20">
                  <c:v>0.55280950670490703</c:v>
                </c:pt>
                <c:pt idx="21">
                  <c:v>0.55565729007094899</c:v>
                </c:pt>
                <c:pt idx="22">
                  <c:v>0.55847549259706297</c:v>
                </c:pt>
                <c:pt idx="23">
                  <c:v>0.56126500372906896</c:v>
                </c:pt>
                <c:pt idx="24">
                  <c:v>0.56402719969027304</c:v>
                </c:pt>
                <c:pt idx="25">
                  <c:v>0.56676371018357696</c:v>
                </c:pt>
                <c:pt idx="26">
                  <c:v>0.56947625474320995</c:v>
                </c:pt>
                <c:pt idx="27">
                  <c:v>0.57216653046983001</c:v>
                </c:pt>
                <c:pt idx="28">
                  <c:v>0.57483613745737006</c:v>
                </c:pt>
                <c:pt idx="29">
                  <c:v>0.57748653170045705</c:v>
                </c:pt>
                <c:pt idx="30">
                  <c:v>0.58011899789452304</c:v>
                </c:pt>
                <c:pt idx="31">
                  <c:v>0.58273463650511004</c:v>
                </c:pt>
                <c:pt idx="32">
                  <c:v>0.58533436094753499</c:v>
                </c:pt>
                <c:pt idx="33">
                  <c:v>0.58791890180650797</c:v>
                </c:pt>
                <c:pt idx="34">
                  <c:v>0.59048881583272195</c:v>
                </c:pt>
                <c:pt idx="35">
                  <c:v>0.59304449805185599</c:v>
                </c:pt>
                <c:pt idx="36">
                  <c:v>0.59558619576468297</c:v>
                </c:pt>
                <c:pt idx="37">
                  <c:v>0.59811402354564902</c:v>
                </c:pt>
                <c:pt idx="38">
                  <c:v>0.60062797859124895</c:v>
                </c:pt>
                <c:pt idx="39">
                  <c:v>0.60312795595093205</c:v>
                </c:pt>
                <c:pt idx="40">
                  <c:v>0.60561376330850003</c:v>
                </c:pt>
                <c:pt idx="41">
                  <c:v>0.60808513508307105</c:v>
                </c:pt>
                <c:pt idx="42">
                  <c:v>0.61054174569446595</c:v>
                </c:pt>
                <c:pt idx="43">
                  <c:v>0.61298322189480803</c:v>
                </c:pt>
                <c:pt idx="44">
                  <c:v>0.61540915411102504</c:v>
                </c:pt>
                <c:pt idx="45">
                  <c:v>0.61781910677521301</c:v>
                </c:pt>
                <c:pt idx="46">
                  <c:v>0.620212627644116</c:v>
                </c:pt>
                <c:pt idx="47">
                  <c:v>0.62258925612709903</c:v>
                </c:pt>
                <c:pt idx="48">
                  <c:v>0.624948530655412</c:v>
                </c:pt>
                <c:pt idx="49">
                  <c:v>0.627289995135342</c:v>
                </c:pt>
                <c:pt idx="50">
                  <c:v>0.629613204534611</c:v>
                </c:pt>
                <c:pt idx="51">
                  <c:v>0.63191772965612103</c:v>
                </c:pt>
                <c:pt idx="52">
                  <c:v>0.63420316115577702</c:v>
                </c:pt>
                <c:pt idx="53">
                  <c:v>0.63646911286258001</c:v>
                </c:pt>
                <c:pt idx="54">
                  <c:v>0.63871522445931705</c:v>
                </c:pt>
                <c:pt idx="55">
                  <c:v>0.64094116358146203</c:v>
                </c:pt>
                <c:pt idx="56">
                  <c:v>0.643146627390486</c:v>
                </c:pt>
                <c:pt idx="57">
                  <c:v>0.64533134367576095</c:v>
                </c:pt>
                <c:pt idx="58">
                  <c:v>0.64749507153687502</c:v>
                </c:pt>
                <c:pt idx="59">
                  <c:v>0.64963760169537299</c:v>
                </c:pt>
                <c:pt idx="60">
                  <c:v>0.65175875648209902</c:v>
                </c:pt>
                <c:pt idx="61">
                  <c:v>0.65385838954320197</c:v>
                </c:pt>
                <c:pt idx="62">
                  <c:v>0.65593638530474396</c:v>
                </c:pt>
                <c:pt idx="63">
                  <c:v>0.65799265823269204</c:v>
                </c:pt>
                <c:pt idx="64">
                  <c:v>0.66002715192205297</c:v>
                </c:pt>
                <c:pt idx="65">
                  <c:v>0.66203983737233696</c:v>
                </c:pt>
                <c:pt idx="66">
                  <c:v>0.66403071453760398</c:v>
                </c:pt>
                <c:pt idx="67">
                  <c:v>0.66599980697545003</c:v>
                </c:pt>
                <c:pt idx="68">
                  <c:v>0.667947163283098</c:v>
                </c:pt>
                <c:pt idx="69">
                  <c:v>0.66987285504274097</c:v>
                </c:pt>
                <c:pt idx="70">
                  <c:v>0.67177697543160797</c:v>
                </c:pt>
                <c:pt idx="71">
                  <c:v>0.673659637819226</c:v>
                </c:pt>
                <c:pt idx="72">
                  <c:v>0.67552097436509195</c:v>
                </c:pt>
                <c:pt idx="73">
                  <c:v>0.677361134628096</c:v>
                </c:pt>
                <c:pt idx="74">
                  <c:v>0.67918028419741805</c:v>
                </c:pt>
                <c:pt idx="75">
                  <c:v>0.68097860335298299</c:v>
                </c:pt>
                <c:pt idx="76">
                  <c:v>0.682756285762252</c:v>
                </c:pt>
                <c:pt idx="77">
                  <c:v>0.68451353721878905</c:v>
                </c:pt>
                <c:pt idx="78">
                  <c:v>0.68625057442703097</c:v>
                </c:pt>
                <c:pt idx="79">
                  <c:v>0.68796762383656296</c:v>
                </c:pt>
                <c:pt idx="80">
                  <c:v>0.68966492052842598</c:v>
                </c:pt>
                <c:pt idx="81">
                  <c:v>0.69134270715517898</c:v>
                </c:pt>
                <c:pt idx="82">
                  <c:v>0.69300123293571203</c:v>
                </c:pt>
                <c:pt idx="83">
                  <c:v>0.69464075270529202</c:v>
                </c:pt>
                <c:pt idx="84">
                  <c:v>0.69626152602078195</c:v>
                </c:pt>
                <c:pt idx="85">
                  <c:v>0.69786381632056105</c:v>
                </c:pt>
                <c:pt idx="86">
                  <c:v>0.69944789013826603</c:v>
                </c:pt>
                <c:pt idx="87">
                  <c:v>0.70101401636925398</c:v>
                </c:pt>
                <c:pt idx="88">
                  <c:v>0.70256246558837099</c:v>
                </c:pt>
                <c:pt idx="89">
                  <c:v>0.70409350941742499</c:v>
                </c:pt>
                <c:pt idx="90">
                  <c:v>0.70560741994060905</c:v>
                </c:pt>
                <c:pt idx="91">
                  <c:v>0.70710446916604897</c:v>
                </c:pt>
                <c:pt idx="92">
                  <c:v>0.70858492853146304</c:v>
                </c:pt>
                <c:pt idx="93">
                  <c:v>0.71004906845191695</c:v>
                </c:pt>
                <c:pt idx="94">
                  <c:v>0.71149715790770396</c:v>
                </c:pt>
                <c:pt idx="95">
                  <c:v>0.71292946407015201</c:v>
                </c:pt>
                <c:pt idx="96">
                  <c:v>0.71434625196345103</c:v>
                </c:pt>
                <c:pt idx="97">
                  <c:v>0.71574778416034601</c:v>
                </c:pt>
                <c:pt idx="98">
                  <c:v>0.71713432050974901</c:v>
                </c:pt>
                <c:pt idx="99">
                  <c:v>0.71850611789430197</c:v>
                </c:pt>
                <c:pt idx="100">
                  <c:v>0.71986343001600295</c:v>
                </c:pt>
                <c:pt idx="101">
                  <c:v>0.72120650720799295</c:v>
                </c:pt>
                <c:pt idx="102">
                  <c:v>0.72253559627081598</c:v>
                </c:pt>
                <c:pt idx="103">
                  <c:v>0.72385094033133002</c:v>
                </c:pt>
                <c:pt idx="104">
                  <c:v>0.72515277872274597</c:v>
                </c:pt>
                <c:pt idx="105">
                  <c:v>0.72644134688412598</c:v>
                </c:pt>
                <c:pt idx="106">
                  <c:v>0.72771687627791404</c:v>
                </c:pt>
                <c:pt idx="107">
                  <c:v>0.72897959465241602</c:v>
                </c:pt>
                <c:pt idx="108">
                  <c:v>0.73022972470324099</c:v>
                </c:pt>
                <c:pt idx="109">
                  <c:v>0.73146748592969502</c:v>
                </c:pt>
                <c:pt idx="110">
                  <c:v>0.73269309337530297</c:v>
                </c:pt>
                <c:pt idx="111">
                  <c:v>0.73390675791784798</c:v>
                </c:pt>
                <c:pt idx="112">
                  <c:v>0.73510868626777104</c:v>
                </c:pt>
                <c:pt idx="113">
                  <c:v>0.73629908097623697</c:v>
                </c:pt>
                <c:pt idx="114">
                  <c:v>0.73747814045186</c:v>
                </c:pt>
                <c:pt idx="115">
                  <c:v>0.73864605898527103</c:v>
                </c:pt>
                <c:pt idx="116">
                  <c:v>0.73980302678066101</c:v>
                </c:pt>
                <c:pt idx="117">
                  <c:v>0.74094922999364998</c:v>
                </c:pt>
                <c:pt idx="118">
                  <c:v>0.74208485077466702</c:v>
                </c:pt>
                <c:pt idx="119">
                  <c:v>0.74321006731726302</c:v>
                </c:pt>
                <c:pt idx="120">
                  <c:v>0.74432505391074799</c:v>
                </c:pt>
                <c:pt idx="121">
                  <c:v>0.74542998099659996</c:v>
                </c:pt>
                <c:pt idx="122">
                  <c:v>0.74652501522808801</c:v>
                </c:pt>
                <c:pt idx="123">
                  <c:v>0.74761031953273005</c:v>
                </c:pt>
                <c:pt idx="124">
                  <c:v>0.74868605317706205</c:v>
                </c:pt>
                <c:pt idx="125">
                  <c:v>0.74975237183336896</c:v>
                </c:pt>
                <c:pt idx="126">
                  <c:v>0.75080942764801994</c:v>
                </c:pt>
                <c:pt idx="127">
                  <c:v>0.75185736931104197</c:v>
                </c:pt>
                <c:pt idx="128">
                  <c:v>0.75289634212665701</c:v>
                </c:pt>
                <c:pt idx="129">
                  <c:v>0.75392648808450102</c:v>
                </c:pt>
                <c:pt idx="130">
                  <c:v>0.75494794593126502</c:v>
                </c:pt>
                <c:pt idx="131">
                  <c:v>0.75596085124255796</c:v>
                </c:pt>
                <c:pt idx="132">
                  <c:v>0.75696533649473396</c:v>
                </c:pt>
                <c:pt idx="133">
                  <c:v>0.75796153113658304</c:v>
                </c:pt>
                <c:pt idx="134">
                  <c:v>0.75894956166063898</c:v>
                </c:pt>
                <c:pt idx="135">
                  <c:v>0.75992955167399001</c:v>
                </c:pt>
                <c:pt idx="136">
                  <c:v>0.76090162196850497</c:v>
                </c:pt>
                <c:pt idx="137">
                  <c:v>0.761865890590259</c:v>
                </c:pt>
                <c:pt idx="138">
                  <c:v>0.76282247290816196</c:v>
                </c:pt>
                <c:pt idx="139">
                  <c:v>0.76377148168162801</c:v>
                </c:pt>
                <c:pt idx="140">
                  <c:v>0.76471302712724198</c:v>
                </c:pt>
                <c:pt idx="141">
                  <c:v>0.765647216984358</c:v>
                </c:pt>
                <c:pt idx="142">
                  <c:v>0.76657415657953298</c:v>
                </c:pt>
                <c:pt idx="143">
                  <c:v>0.76749394888982203</c:v>
                </c:pt>
                <c:pt idx="144">
                  <c:v>0.76840669460480104</c:v>
                </c:pt>
                <c:pt idx="145">
                  <c:v>0.76931249218736897</c:v>
                </c:pt>
                <c:pt idx="146">
                  <c:v>0.77021143793325697</c:v>
                </c:pt>
                <c:pt idx="147">
                  <c:v>0.77110362602922999</c:v>
                </c:pt>
                <c:pt idx="148">
                  <c:v>0.77198914860998002</c:v>
                </c:pt>
                <c:pt idx="149">
                  <c:v>0.77286809581369598</c:v>
                </c:pt>
                <c:pt idx="150">
                  <c:v>0.77374055583630497</c:v>
                </c:pt>
                <c:pt idx="151">
                  <c:v>0.774606614984376</c:v>
                </c:pt>
                <c:pt idx="152">
                  <c:v>0.77546635772670203</c:v>
                </c:pt>
                <c:pt idx="153">
                  <c:v>0.77631986674457798</c:v>
                </c:pt>
                <c:pt idx="154">
                  <c:v>0.77716722298074703</c:v>
                </c:pt>
                <c:pt idx="155">
                  <c:v>0.77800850568705404</c:v>
                </c:pt>
                <c:pt idx="156">
                  <c:v>0.77884379247084001</c:v>
                </c:pt>
                <c:pt idx="157">
                  <c:v>0.77967315934002701</c:v>
                </c:pt>
                <c:pt idx="158">
                  <c:v>0.78049668074699996</c:v>
                </c:pt>
                <c:pt idx="159">
                  <c:v>0.78131442963122899</c:v>
                </c:pt>
                <c:pt idx="160">
                  <c:v>0.78212647746069397</c:v>
                </c:pt>
                <c:pt idx="161">
                  <c:v>0.78293289427213597</c:v>
                </c:pt>
                <c:pt idx="162">
                  <c:v>0.78373374871010903</c:v>
                </c:pt>
                <c:pt idx="163">
                  <c:v>0.78452910806494602</c:v>
                </c:pt>
                <c:pt idx="164">
                  <c:v>0.78531903830956296</c:v>
                </c:pt>
                <c:pt idx="165">
                  <c:v>0.78610360413520597</c:v>
                </c:pt>
                <c:pt idx="166">
                  <c:v>0.78688286898610504</c:v>
                </c:pt>
                <c:pt idx="167">
                  <c:v>0.78765689509312797</c:v>
                </c:pt>
                <c:pt idx="168">
                  <c:v>0.78842574350637196</c:v>
                </c:pt>
                <c:pt idx="169">
                  <c:v>0.78918947412681595</c:v>
                </c:pt>
                <c:pt idx="170">
                  <c:v>0.78994814573696204</c:v>
                </c:pt>
                <c:pt idx="171">
                  <c:v>0.79070181603059797</c:v>
                </c:pt>
                <c:pt idx="172">
                  <c:v>0.79145054164159001</c:v>
                </c:pt>
                <c:pt idx="173">
                  <c:v>0.79219437817182303</c:v>
                </c:pt>
                <c:pt idx="174">
                  <c:v>0.79293338021828697</c:v>
                </c:pt>
                <c:pt idx="175">
                  <c:v>0.79366760139928705</c:v>
                </c:pt>
                <c:pt idx="176">
                  <c:v>0.79439709437989403</c:v>
                </c:pt>
                <c:pt idx="177">
                  <c:v>0.79512191089656103</c:v>
                </c:pt>
                <c:pt idx="178">
                  <c:v>0.79584210178098602</c:v>
                </c:pt>
                <c:pt idx="179">
                  <c:v>0.79655771698327305</c:v>
                </c:pt>
                <c:pt idx="180">
                  <c:v>0.79726880559430202</c:v>
                </c:pt>
                <c:pt idx="181">
                  <c:v>0.79797541586746201</c:v>
                </c:pt>
                <c:pt idx="182">
                  <c:v>0.79867759523968695</c:v>
                </c:pt>
                <c:pt idx="183">
                  <c:v>0.79937539035182203</c:v>
                </c:pt>
                <c:pt idx="184">
                  <c:v>0.80006884706839498</c:v>
                </c:pt>
                <c:pt idx="185">
                  <c:v>0.80075801049672102</c:v>
                </c:pt>
                <c:pt idx="186">
                  <c:v>0.80144292500546899</c:v>
                </c:pt>
                <c:pt idx="187">
                  <c:v>0.80212363424261901</c:v>
                </c:pt>
                <c:pt idx="188">
                  <c:v>0.802800181152866</c:v>
                </c:pt>
                <c:pt idx="189">
                  <c:v>0.80347260799449904</c:v>
                </c:pt>
                <c:pt idx="190">
                  <c:v>0.80414095635574201</c:v>
                </c:pt>
                <c:pt idx="191">
                  <c:v>0.80480526717062695</c:v>
                </c:pt>
                <c:pt idx="192">
                  <c:v>0.80546558073432695</c:v>
                </c:pt>
                <c:pt idx="193">
                  <c:v>0.80612193671807197</c:v>
                </c:pt>
                <c:pt idx="194">
                  <c:v>0.80677437418357401</c:v>
                </c:pt>
                <c:pt idx="195">
                  <c:v>0.80742293159702305</c:v>
                </c:pt>
                <c:pt idx="196">
                  <c:v>0.80806764684267496</c:v>
                </c:pt>
                <c:pt idx="197">
                  <c:v>0.80870855723600898</c:v>
                </c:pt>
                <c:pt idx="198">
                  <c:v>0.80934569953648705</c:v>
                </c:pt>
                <c:pt idx="199">
                  <c:v>0.80997910995994704</c:v>
                </c:pt>
              </c:numCache>
            </c:numRef>
          </c:val>
          <c:smooth val="0"/>
        </c:ser>
        <c:ser>
          <c:idx val="0"/>
          <c:order val="3"/>
          <c:tx>
            <c:v>8.5</c:v>
          </c:tx>
          <c:marker>
            <c:symbol val="none"/>
          </c:marker>
          <c:cat>
            <c:numRef>
              <c:f>'Anti-focal, cut = 7.31'!$A$2:$A$201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'Anti-focal, cut = 7.31'!$J$2:$J$201</c:f>
              <c:numCache>
                <c:formatCode>0.000</c:formatCode>
                <c:ptCount val="200"/>
                <c:pt idx="0">
                  <c:v>0.51893972371516495</c:v>
                </c:pt>
                <c:pt idx="1">
                  <c:v>0.53552047650446599</c:v>
                </c:pt>
                <c:pt idx="2">
                  <c:v>0.55050535019883196</c:v>
                </c:pt>
                <c:pt idx="3">
                  <c:v>0.56475346403919502</c:v>
                </c:pt>
                <c:pt idx="4">
                  <c:v>0.57898315481057605</c:v>
                </c:pt>
                <c:pt idx="5">
                  <c:v>0.59361068610748702</c:v>
                </c:pt>
                <c:pt idx="6">
                  <c:v>0.60874961549373297</c:v>
                </c:pt>
                <c:pt idx="7">
                  <c:v>0.62431413256229396</c:v>
                </c:pt>
                <c:pt idx="8">
                  <c:v>0.64013050618164002</c:v>
                </c:pt>
                <c:pt idx="9">
                  <c:v>0.65601071916378295</c:v>
                </c:pt>
                <c:pt idx="10">
                  <c:v>0.67178802936701698</c:v>
                </c:pt>
                <c:pt idx="11">
                  <c:v>0.68732859299666205</c:v>
                </c:pt>
                <c:pt idx="12">
                  <c:v>0.70253139497570904</c:v>
                </c:pt>
                <c:pt idx="13">
                  <c:v>0.71732364766677403</c:v>
                </c:pt>
                <c:pt idx="14">
                  <c:v>0.73165517877803599</c:v>
                </c:pt>
                <c:pt idx="15">
                  <c:v>0.74549322189121703</c:v>
                </c:pt>
                <c:pt idx="16">
                  <c:v>0.75881811854878101</c:v>
                </c:pt>
                <c:pt idx="17">
                  <c:v>0.77161993590869005</c:v>
                </c:pt>
                <c:pt idx="18">
                  <c:v>0.78389589553662098</c:v>
                </c:pt>
                <c:pt idx="19">
                  <c:v>0.79564845363785597</c:v>
                </c:pt>
                <c:pt idx="20">
                  <c:v>0.80688388380631104</c:v>
                </c:pt>
                <c:pt idx="21">
                  <c:v>0.81761123734733399</c:v>
                </c:pt>
                <c:pt idx="22">
                  <c:v>0.827841582404234</c:v>
                </c:pt>
                <c:pt idx="23">
                  <c:v>0.83758744645279604</c:v>
                </c:pt>
                <c:pt idx="24">
                  <c:v>0.84686240582050898</c:v>
                </c:pt>
                <c:pt idx="25">
                  <c:v>0.85568078081079901</c:v>
                </c:pt>
                <c:pt idx="26">
                  <c:v>0.864057406357986</c:v>
                </c:pt>
                <c:pt idx="27">
                  <c:v>0.87200745660378398</c:v>
                </c:pt>
                <c:pt idx="28">
                  <c:v>0.87954630801568301</c:v>
                </c:pt>
                <c:pt idx="29">
                  <c:v>0.88668943020093105</c:v>
                </c:pt>
                <c:pt idx="30">
                  <c:v>0.89345229683659899</c:v>
                </c:pt>
                <c:pt idx="31">
                  <c:v>0.89985031146815397</c:v>
                </c:pt>
                <c:pt idx="32">
                  <c:v>0.90589874457727404</c:v>
                </c:pt>
                <c:pt idx="33">
                  <c:v>0.91161267947218205</c:v>
                </c:pt>
                <c:pt idx="34">
                  <c:v>0.91700696534937398</c:v>
                </c:pt>
                <c:pt idx="35">
                  <c:v>0.92209617641626596</c:v>
                </c:pt>
                <c:pt idx="36">
                  <c:v>0.92689457632433703</c:v>
                </c:pt>
                <c:pt idx="37">
                  <c:v>0.93141608739576698</c:v>
                </c:pt>
                <c:pt idx="38">
                  <c:v>0.93567426427230804</c:v>
                </c:pt>
                <c:pt idx="39">
                  <c:v>0.93968227170125895</c:v>
                </c:pt>
                <c:pt idx="40">
                  <c:v>0.94345286621985902</c:v>
                </c:pt>
                <c:pt idx="41">
                  <c:v>0.94699838152044002</c:v>
                </c:pt>
                <c:pt idx="42">
                  <c:v>0.95033071728426399</c:v>
                </c:pt>
                <c:pt idx="43">
                  <c:v>0.95346133126900501</c:v>
                </c:pt>
                <c:pt idx="44">
                  <c:v>0.95640123442804603</c:v>
                </c:pt>
                <c:pt idx="45">
                  <c:v>0.95916098883230205</c:v>
                </c:pt>
                <c:pt idx="46">
                  <c:v>0.96175070815894903</c:v>
                </c:pt>
                <c:pt idx="47">
                  <c:v>0.96418006050763005</c:v>
                </c:pt>
                <c:pt idx="48">
                  <c:v>0.96645827330367295</c:v>
                </c:pt>
                <c:pt idx="49">
                  <c:v>0.96859414004998401</c:v>
                </c:pt>
                <c:pt idx="50">
                  <c:v>0.97059602869435302</c:v>
                </c:pt>
                <c:pt idx="51">
                  <c:v>0.97247189138661305</c:v>
                </c:pt>
                <c:pt idx="52">
                  <c:v>0.97422927541015403</c:v>
                </c:pt>
                <c:pt idx="53">
                  <c:v>0.97587533508412805</c:v>
                </c:pt>
                <c:pt idx="54">
                  <c:v>0.97741684444601795</c:v>
                </c:pt>
                <c:pt idx="55">
                  <c:v>0.97886021053848804</c:v>
                </c:pt>
                <c:pt idx="56">
                  <c:v>0.98021148713931305</c:v>
                </c:pt>
                <c:pt idx="57">
                  <c:v>0.981476388788312</c:v>
                </c:pt>
                <c:pt idx="58">
                  <c:v>0.98266030498022305</c:v>
                </c:pt>
                <c:pt idx="59">
                  <c:v>0.98376831440722901</c:v>
                </c:pt>
                <c:pt idx="60">
                  <c:v>0.98480519914901199</c:v>
                </c:pt>
                <c:pt idx="61">
                  <c:v>0.98577545872176098</c:v>
                </c:pt>
                <c:pt idx="62">
                  <c:v>0.98668332391026004</c:v>
                </c:pt>
                <c:pt idx="63">
                  <c:v>0.98753277031902797</c:v>
                </c:pt>
                <c:pt idx="64">
                  <c:v>0.98832753158939202</c:v>
                </c:pt>
                <c:pt idx="65">
                  <c:v>0.98907111124455604</c:v>
                </c:pt>
                <c:pt idx="66">
                  <c:v>0.98976679912449705</c:v>
                </c:pt>
                <c:pt idx="67">
                  <c:v>0.990417677324405</c:v>
                </c:pt>
                <c:pt idx="68">
                  <c:v>0.99102663579327899</c:v>
                </c:pt>
                <c:pt idx="69">
                  <c:v>0.99159638237541903</c:v>
                </c:pt>
                <c:pt idx="70">
                  <c:v>0.99212945339926695</c:v>
                </c:pt>
                <c:pt idx="71">
                  <c:v>0.99262822378751403</c:v>
                </c:pt>
                <c:pt idx="72">
                  <c:v>0.99309491669015004</c:v>
                </c:pt>
                <c:pt idx="73">
                  <c:v>0.99353161264555201</c:v>
                </c:pt>
                <c:pt idx="74">
                  <c:v>0.99394025827755095</c:v>
                </c:pt>
                <c:pt idx="75">
                  <c:v>0.99432267453880097</c:v>
                </c:pt>
                <c:pt idx="76">
                  <c:v>0.99468056451263798</c:v>
                </c:pt>
                <c:pt idx="77">
                  <c:v>0.99501552078713695</c:v>
                </c:pt>
                <c:pt idx="78">
                  <c:v>0.99532903241618398</c:v>
                </c:pt>
                <c:pt idx="79">
                  <c:v>0.99562249148323601</c:v>
                </c:pt>
                <c:pt idx="80">
                  <c:v>0.99589719928397502</c:v>
                </c:pt>
                <c:pt idx="81">
                  <c:v>0.99615437214443003</c:v>
                </c:pt>
                <c:pt idx="82">
                  <c:v>0.99639514689123099</c:v>
                </c:pt>
                <c:pt idx="83">
                  <c:v>0.99662058599069403</c:v>
                </c:pt>
                <c:pt idx="84">
                  <c:v>0.99683168237320696</c:v>
                </c:pt>
                <c:pt idx="85">
                  <c:v>0.99702936395916997</c:v>
                </c:pt>
                <c:pt idx="86">
                  <c:v>0.99721449790233896</c:v>
                </c:pt>
                <c:pt idx="87">
                  <c:v>0.99738789456600196</c:v>
                </c:pt>
                <c:pt idx="88">
                  <c:v>0.99755031124693305</c:v>
                </c:pt>
                <c:pt idx="89">
                  <c:v>0.99770245566149696</c:v>
                </c:pt>
                <c:pt idx="90">
                  <c:v>0.99784498920776898</c:v>
                </c:pt>
                <c:pt idx="91">
                  <c:v>0.99797853001689596</c:v>
                </c:pt>
                <c:pt idx="92">
                  <c:v>0.99810365580637295</c:v>
                </c:pt>
                <c:pt idx="93">
                  <c:v>0.99822090654727502</c:v>
                </c:pt>
                <c:pt idx="94">
                  <c:v>0.998330786956931</c:v>
                </c:pt>
                <c:pt idx="95">
                  <c:v>0.99843376882788804</c:v>
                </c:pt>
                <c:pt idx="96">
                  <c:v>0.99853029320347997</c:v>
                </c:pt>
                <c:pt idx="97">
                  <c:v>0.99862077240973401</c:v>
                </c:pt>
                <c:pt idx="98">
                  <c:v>0.99870559195279096</c:v>
                </c:pt>
                <c:pt idx="99">
                  <c:v>0.99878511229052802</c:v>
                </c:pt>
                <c:pt idx="100">
                  <c:v>0.99885967048650703</c:v>
                </c:pt>
                <c:pt idx="101">
                  <c:v>0.99892958175395197</c:v>
                </c:pt>
                <c:pt idx="102">
                  <c:v>0.99899514089693198</c:v>
                </c:pt>
                <c:pt idx="103">
                  <c:v>0.99905662365554404</c:v>
                </c:pt>
                <c:pt idx="104">
                  <c:v>0.999114287961411</c:v>
                </c:pt>
                <c:pt idx="105">
                  <c:v>0.99916837510946799</c:v>
                </c:pt>
                <c:pt idx="106">
                  <c:v>0.99921911085158099</c:v>
                </c:pt>
                <c:pt idx="107">
                  <c:v>0.99926670538427498</c:v>
                </c:pt>
                <c:pt idx="108">
                  <c:v>0.99931135843858299</c:v>
                </c:pt>
                <c:pt idx="109">
                  <c:v>0.99935325395485197</c:v>
                </c:pt>
                <c:pt idx="110">
                  <c:v>0.99939256506128304</c:v>
                </c:pt>
                <c:pt idx="111">
                  <c:v>0.99942945380981296</c:v>
                </c:pt>
                <c:pt idx="112">
                  <c:v>0.999464071899132</c:v>
                </c:pt>
                <c:pt idx="113">
                  <c:v>0.99949656134960996</c:v>
                </c:pt>
                <c:pt idx="114">
                  <c:v>0.99952705513337603</c:v>
                </c:pt>
                <c:pt idx="115">
                  <c:v>0.99955567776256404</c:v>
                </c:pt>
                <c:pt idx="116">
                  <c:v>0.999582545838541</c:v>
                </c:pt>
                <c:pt idx="117">
                  <c:v>0.99960776856475597</c:v>
                </c:pt>
                <c:pt idx="118">
                  <c:v>0.99963144822565198</c:v>
                </c:pt>
                <c:pt idx="119">
                  <c:v>0.99965368063391902</c:v>
                </c:pt>
                <c:pt idx="120">
                  <c:v>0.99967455554823703</c:v>
                </c:pt>
                <c:pt idx="121">
                  <c:v>0.99969415706347098</c:v>
                </c:pt>
                <c:pt idx="122">
                  <c:v>0.99971256397518704</c:v>
                </c:pt>
                <c:pt idx="123">
                  <c:v>0.99972985012019799</c:v>
                </c:pt>
                <c:pt idx="124">
                  <c:v>0.999746084694769</c:v>
                </c:pt>
                <c:pt idx="125">
                  <c:v>0.99976133255194699</c:v>
                </c:pt>
                <c:pt idx="126">
                  <c:v>0.99977565447944505</c:v>
                </c:pt>
                <c:pt idx="127">
                  <c:v>0.99978910745935601</c:v>
                </c:pt>
                <c:pt idx="128">
                  <c:v>0.99980174491092999</c:v>
                </c:pt>
                <c:pt idx="129">
                  <c:v>0.99981361691752302</c:v>
                </c:pt>
                <c:pt idx="130">
                  <c:v>0.99982477043878704</c:v>
                </c:pt>
                <c:pt idx="131">
                  <c:v>0.99983524950908098</c:v>
                </c:pt>
                <c:pt idx="132">
                  <c:v>0.99984509542301203</c:v>
                </c:pt>
                <c:pt idx="133">
                  <c:v>0.99985434690896002</c:v>
                </c:pt>
                <c:pt idx="134">
                  <c:v>0.99986304029139095</c:v>
                </c:pt>
                <c:pt idx="135">
                  <c:v>0.99987120964268705</c:v>
                </c:pt>
                <c:pt idx="136">
                  <c:v>0.999878886925194</c:v>
                </c:pt>
                <c:pt idx="137">
                  <c:v>0.99988610212413398</c:v>
                </c:pt>
                <c:pt idx="138">
                  <c:v>0.99989288337196702</c:v>
                </c:pt>
                <c:pt idx="139">
                  <c:v>0.999899257064784</c:v>
                </c:pt>
                <c:pt idx="140">
                  <c:v>0.99990524797124503</c:v>
                </c:pt>
                <c:pt idx="141">
                  <c:v>0.99991087933454503</c:v>
                </c:pt>
                <c:pt idx="142">
                  <c:v>0.99991617296787005</c:v>
                </c:pt>
                <c:pt idx="143">
                  <c:v>0.99992114934377296</c:v>
                </c:pt>
                <c:pt idx="144">
                  <c:v>0.99992582767784699</c:v>
                </c:pt>
                <c:pt idx="145">
                  <c:v>0.99993022600709502</c:v>
                </c:pt>
                <c:pt idx="146">
                  <c:v>0.99993436126330904</c:v>
                </c:pt>
                <c:pt idx="147">
                  <c:v>0.99993824934180697</c:v>
                </c:pt>
                <c:pt idx="148">
                  <c:v>0.99994190516581805</c:v>
                </c:pt>
                <c:pt idx="149">
                  <c:v>0.99994534274679403</c:v>
                </c:pt>
                <c:pt idx="150">
                  <c:v>0.99994857524091696</c:v>
                </c:pt>
                <c:pt idx="151">
                  <c:v>0.99995161500204299</c:v>
                </c:pt>
                <c:pt idx="152">
                  <c:v>0.99995447363131795</c:v>
                </c:pt>
                <c:pt idx="153">
                  <c:v>0.99995716202366303</c:v>
                </c:pt>
                <c:pt idx="154">
                  <c:v>0.99995969041135602</c:v>
                </c:pt>
                <c:pt idx="155">
                  <c:v>0.99996206840486901</c:v>
                </c:pt>
                <c:pt idx="156">
                  <c:v>0.99996430503115197</c:v>
                </c:pt>
                <c:pt idx="157">
                  <c:v>0.99996640876952803</c:v>
                </c:pt>
                <c:pt idx="158">
                  <c:v>0.99996838758533402</c:v>
                </c:pt>
                <c:pt idx="159">
                  <c:v>0.99997024896147502</c:v>
                </c:pt>
                <c:pt idx="160">
                  <c:v>0.99997199992800501</c:v>
                </c:pt>
                <c:pt idx="161">
                  <c:v>0.99997364708987102</c:v>
                </c:pt>
                <c:pt idx="162">
                  <c:v>0.999975196652927</c:v>
                </c:pt>
                <c:pt idx="163">
                  <c:v>0.99997665444834105</c:v>
                </c:pt>
                <c:pt idx="164">
                  <c:v>0.99997802595548002</c:v>
                </c:pt>
                <c:pt idx="165">
                  <c:v>0.999979316323381</c:v>
                </c:pt>
                <c:pt idx="166">
                  <c:v>0.99998053039089596</c:v>
                </c:pt>
                <c:pt idx="167">
                  <c:v>0.99998167270558702</c:v>
                </c:pt>
                <c:pt idx="168">
                  <c:v>0.999982747541457</c:v>
                </c:pt>
                <c:pt idx="169">
                  <c:v>0.99998375891558799</c:v>
                </c:pt>
                <c:pt idx="170">
                  <c:v>0.99998471060375105</c:v>
                </c:pt>
                <c:pt idx="171">
                  <c:v>0.99998560615505805</c:v>
                </c:pt>
                <c:pt idx="172">
                  <c:v>0.99998644890571198</c:v>
                </c:pt>
                <c:pt idx="173">
                  <c:v>0.99998724199191102</c:v>
                </c:pt>
                <c:pt idx="174">
                  <c:v>0.99998798836196501</c:v>
                </c:pt>
                <c:pt idx="175">
                  <c:v>0.99998869078766195</c:v>
                </c:pt>
                <c:pt idx="176">
                  <c:v>0.99998935187494797</c:v>
                </c:pt>
                <c:pt idx="177">
                  <c:v>0.99998997407394297</c:v>
                </c:pt>
                <c:pt idx="178">
                  <c:v>0.99999055968835204</c:v>
                </c:pt>
                <c:pt idx="179">
                  <c:v>0.99999111088430004</c:v>
                </c:pt>
                <c:pt idx="180">
                  <c:v>0.99999162969862498</c:v>
                </c:pt>
                <c:pt idx="181">
                  <c:v>0.99999211804666699</c:v>
                </c:pt>
                <c:pt idx="182">
                  <c:v>0.99999257772958405</c:v>
                </c:pt>
                <c:pt idx="183">
                  <c:v>0.99999301044122202</c:v>
                </c:pt>
                <c:pt idx="184">
                  <c:v>0.99999341777456197</c:v>
                </c:pt>
                <c:pt idx="185">
                  <c:v>0.99999380122778903</c:v>
                </c:pt>
                <c:pt idx="186">
                  <c:v>0.99999416220997195</c:v>
                </c:pt>
                <c:pt idx="187">
                  <c:v>0.99999450204642004</c:v>
                </c:pt>
                <c:pt idx="188">
                  <c:v>0.99999482198370104</c:v>
                </c:pt>
                <c:pt idx="189">
                  <c:v>0.99999512319435802</c:v>
                </c:pt>
                <c:pt idx="190">
                  <c:v>0.99999540678134602</c:v>
                </c:pt>
                <c:pt idx="191">
                  <c:v>0.99999567378219401</c:v>
                </c:pt>
                <c:pt idx="192">
                  <c:v>0.99999592517291802</c:v>
                </c:pt>
                <c:pt idx="193">
                  <c:v>0.99999616187169804</c:v>
                </c:pt>
                <c:pt idx="194">
                  <c:v>0.99999638474233299</c:v>
                </c:pt>
                <c:pt idx="195">
                  <c:v>0.99999659459748902</c:v>
                </c:pt>
                <c:pt idx="196">
                  <c:v>0.99999679220174698</c:v>
                </c:pt>
                <c:pt idx="197">
                  <c:v>0.99999697827447098</c:v>
                </c:pt>
                <c:pt idx="198">
                  <c:v>0.99999715349250495</c:v>
                </c:pt>
                <c:pt idx="199">
                  <c:v>0.99999731849270201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51264"/>
        <c:axId val="127052800"/>
      </c:lineChart>
      <c:catAx>
        <c:axId val="12705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7052800"/>
        <c:crosses val="autoZero"/>
        <c:auto val="1"/>
        <c:lblAlgn val="ctr"/>
        <c:lblOffset val="100"/>
        <c:noMultiLvlLbl val="0"/>
      </c:catAx>
      <c:valAx>
        <c:axId val="1270528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27051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32</xdr:row>
      <xdr:rowOff>171450</xdr:rowOff>
    </xdr:from>
    <xdr:to>
      <xdr:col>12</xdr:col>
      <xdr:colOff>104773</xdr:colOff>
      <xdr:row>68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273843</xdr:colOff>
      <xdr:row>0</xdr:row>
      <xdr:rowOff>33336</xdr:rowOff>
    </xdr:from>
    <xdr:to>
      <xdr:col>23</xdr:col>
      <xdr:colOff>535782</xdr:colOff>
      <xdr:row>31</xdr:row>
      <xdr:rowOff>83344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273843</xdr:colOff>
      <xdr:row>0</xdr:row>
      <xdr:rowOff>33336</xdr:rowOff>
    </xdr:from>
    <xdr:to>
      <xdr:col>23</xdr:col>
      <xdr:colOff>535782</xdr:colOff>
      <xdr:row>31</xdr:row>
      <xdr:rowOff>83344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1</xdr:row>
      <xdr:rowOff>14286</xdr:rowOff>
    </xdr:from>
    <xdr:to>
      <xdr:col>16</xdr:col>
      <xdr:colOff>76199</xdr:colOff>
      <xdr:row>23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273843</xdr:colOff>
      <xdr:row>0</xdr:row>
      <xdr:rowOff>33336</xdr:rowOff>
    </xdr:from>
    <xdr:to>
      <xdr:col>23</xdr:col>
      <xdr:colOff>535782</xdr:colOff>
      <xdr:row>31</xdr:row>
      <xdr:rowOff>83344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1"/>
  <sheetViews>
    <sheetView topLeftCell="B1" workbookViewId="0">
      <selection activeCell="P5" sqref="P5"/>
    </sheetView>
  </sheetViews>
  <sheetFormatPr defaultRowHeight="15" x14ac:dyDescent="0.25"/>
  <cols>
    <col min="2" max="2" width="19.42578125" customWidth="1"/>
    <col min="10" max="10" width="18.42578125" customWidth="1"/>
    <col min="11" max="11" width="14.28515625" customWidth="1"/>
  </cols>
  <sheetData>
    <row r="2" spans="2:12" x14ac:dyDescent="0.25">
      <c r="B2" t="s">
        <v>7</v>
      </c>
    </row>
    <row r="3" spans="2:12" x14ac:dyDescent="0.25">
      <c r="B3" t="s">
        <v>8</v>
      </c>
    </row>
    <row r="5" spans="2:12" x14ac:dyDescent="0.25">
      <c r="B5" t="s">
        <v>11</v>
      </c>
    </row>
    <row r="6" spans="2:12" x14ac:dyDescent="0.25">
      <c r="B6" t="s">
        <v>12</v>
      </c>
    </row>
    <row r="7" spans="2:12" x14ac:dyDescent="0.25">
      <c r="B7" t="s">
        <v>13</v>
      </c>
    </row>
    <row r="9" spans="2:12" x14ac:dyDescent="0.25">
      <c r="C9" s="3" t="s">
        <v>1</v>
      </c>
      <c r="D9" s="3" t="s">
        <v>2</v>
      </c>
      <c r="F9" s="3" t="s">
        <v>6</v>
      </c>
      <c r="G9" s="3"/>
      <c r="H9" s="3"/>
      <c r="I9" s="3"/>
      <c r="J9" s="3" t="s">
        <v>9</v>
      </c>
      <c r="K9" s="3" t="s">
        <v>5</v>
      </c>
      <c r="L9" s="3"/>
    </row>
    <row r="10" spans="2:12" x14ac:dyDescent="0.25">
      <c r="C10" s="3"/>
      <c r="D10" s="3"/>
      <c r="F10" s="3" t="s">
        <v>3</v>
      </c>
      <c r="G10" s="3"/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</row>
    <row r="11" spans="2:12" x14ac:dyDescent="0.25">
      <c r="B11" t="s">
        <v>9</v>
      </c>
      <c r="C11" s="3">
        <v>0</v>
      </c>
      <c r="D11" s="3">
        <v>1</v>
      </c>
      <c r="F11" s="3">
        <v>0</v>
      </c>
      <c r="G11" s="3"/>
      <c r="H11" s="3">
        <v>5</v>
      </c>
      <c r="I11" s="3">
        <v>7</v>
      </c>
      <c r="J11" s="3">
        <f t="shared" ref="J11:J31" si="0">F11</f>
        <v>0</v>
      </c>
      <c r="K11" s="3">
        <f t="shared" ref="K11:K31" si="1">$C$13+$D$13*F11</f>
        <v>2.4</v>
      </c>
      <c r="L11" s="3">
        <f>2+F11</f>
        <v>2</v>
      </c>
    </row>
    <row r="12" spans="2:12" x14ac:dyDescent="0.25">
      <c r="F12" s="3">
        <v>0.5</v>
      </c>
      <c r="G12" s="3"/>
      <c r="H12" s="3">
        <v>5</v>
      </c>
      <c r="I12" s="3">
        <v>7</v>
      </c>
      <c r="J12" s="3">
        <f t="shared" si="0"/>
        <v>0.5</v>
      </c>
      <c r="K12" s="3">
        <f t="shared" si="1"/>
        <v>2.6999999999999997</v>
      </c>
      <c r="L12" s="3">
        <f t="shared" ref="L12:L31" si="2">2+F12</f>
        <v>2.5</v>
      </c>
    </row>
    <row r="13" spans="2:12" x14ac:dyDescent="0.25">
      <c r="B13" t="s">
        <v>10</v>
      </c>
      <c r="C13" s="3">
        <v>2.4</v>
      </c>
      <c r="D13" s="3">
        <v>0.6</v>
      </c>
      <c r="F13" s="3">
        <v>1</v>
      </c>
      <c r="G13" s="3"/>
      <c r="H13" s="3">
        <v>5</v>
      </c>
      <c r="I13" s="3">
        <v>7</v>
      </c>
      <c r="J13" s="3">
        <f t="shared" si="0"/>
        <v>1</v>
      </c>
      <c r="K13" s="3">
        <f t="shared" si="1"/>
        <v>3</v>
      </c>
      <c r="L13" s="3">
        <f t="shared" si="2"/>
        <v>3</v>
      </c>
    </row>
    <row r="14" spans="2:12" x14ac:dyDescent="0.25">
      <c r="F14" s="3">
        <v>1.5</v>
      </c>
      <c r="G14" s="3"/>
      <c r="H14" s="3">
        <v>5</v>
      </c>
      <c r="I14" s="3">
        <v>7</v>
      </c>
      <c r="J14" s="3">
        <f t="shared" si="0"/>
        <v>1.5</v>
      </c>
      <c r="K14" s="3">
        <f t="shared" si="1"/>
        <v>3.3</v>
      </c>
      <c r="L14" s="3">
        <f t="shared" si="2"/>
        <v>3.5</v>
      </c>
    </row>
    <row r="15" spans="2:12" x14ac:dyDescent="0.25">
      <c r="F15" s="3">
        <v>2</v>
      </c>
      <c r="G15" s="3"/>
      <c r="H15" s="3">
        <v>5</v>
      </c>
      <c r="I15" s="3">
        <v>7</v>
      </c>
      <c r="J15" s="3">
        <f t="shared" si="0"/>
        <v>2</v>
      </c>
      <c r="K15" s="3">
        <f t="shared" si="1"/>
        <v>3.5999999999999996</v>
      </c>
      <c r="L15" s="3">
        <f t="shared" si="2"/>
        <v>4</v>
      </c>
    </row>
    <row r="16" spans="2:12" x14ac:dyDescent="0.25">
      <c r="F16" s="3">
        <v>2.5</v>
      </c>
      <c r="G16" s="3"/>
      <c r="H16" s="3">
        <v>5</v>
      </c>
      <c r="I16" s="3">
        <v>7</v>
      </c>
      <c r="J16" s="3">
        <f t="shared" si="0"/>
        <v>2.5</v>
      </c>
      <c r="K16" s="3">
        <f t="shared" si="1"/>
        <v>3.9</v>
      </c>
      <c r="L16" s="3">
        <f t="shared" si="2"/>
        <v>4.5</v>
      </c>
    </row>
    <row r="17" spans="6:12" x14ac:dyDescent="0.25">
      <c r="F17" s="3">
        <v>3</v>
      </c>
      <c r="G17" s="3"/>
      <c r="H17" s="3">
        <v>5</v>
      </c>
      <c r="I17" s="3">
        <v>7</v>
      </c>
      <c r="J17" s="3">
        <f t="shared" si="0"/>
        <v>3</v>
      </c>
      <c r="K17" s="3">
        <f t="shared" si="1"/>
        <v>4.1999999999999993</v>
      </c>
      <c r="L17" s="3">
        <f t="shared" si="2"/>
        <v>5</v>
      </c>
    </row>
    <row r="18" spans="6:12" x14ac:dyDescent="0.25">
      <c r="F18" s="3">
        <v>3.5</v>
      </c>
      <c r="G18" s="3"/>
      <c r="H18" s="3">
        <v>5</v>
      </c>
      <c r="I18" s="3">
        <v>7</v>
      </c>
      <c r="J18" s="3">
        <f t="shared" si="0"/>
        <v>3.5</v>
      </c>
      <c r="K18" s="3">
        <f t="shared" si="1"/>
        <v>4.5</v>
      </c>
      <c r="L18" s="3">
        <f t="shared" si="2"/>
        <v>5.5</v>
      </c>
    </row>
    <row r="19" spans="6:12" x14ac:dyDescent="0.25">
      <c r="F19" s="3">
        <v>4</v>
      </c>
      <c r="G19" s="3"/>
      <c r="H19" s="3">
        <v>5</v>
      </c>
      <c r="I19" s="3">
        <v>7</v>
      </c>
      <c r="J19" s="3">
        <f t="shared" si="0"/>
        <v>4</v>
      </c>
      <c r="K19" s="3">
        <f t="shared" si="1"/>
        <v>4.8</v>
      </c>
      <c r="L19" s="3">
        <f t="shared" si="2"/>
        <v>6</v>
      </c>
    </row>
    <row r="20" spans="6:12" x14ac:dyDescent="0.25">
      <c r="F20" s="3">
        <v>4.5</v>
      </c>
      <c r="G20" s="3"/>
      <c r="H20" s="3">
        <v>5</v>
      </c>
      <c r="I20" s="3">
        <v>7</v>
      </c>
      <c r="J20" s="3">
        <f t="shared" si="0"/>
        <v>4.5</v>
      </c>
      <c r="K20" s="3">
        <f t="shared" si="1"/>
        <v>5.0999999999999996</v>
      </c>
      <c r="L20" s="3">
        <f t="shared" si="2"/>
        <v>6.5</v>
      </c>
    </row>
    <row r="21" spans="6:12" x14ac:dyDescent="0.25">
      <c r="F21" s="3">
        <v>5</v>
      </c>
      <c r="G21" s="3"/>
      <c r="H21" s="3">
        <v>5</v>
      </c>
      <c r="I21" s="3">
        <v>7</v>
      </c>
      <c r="J21" s="3">
        <f t="shared" si="0"/>
        <v>5</v>
      </c>
      <c r="K21" s="3">
        <f t="shared" si="1"/>
        <v>5.4</v>
      </c>
      <c r="L21" s="3">
        <f t="shared" si="2"/>
        <v>7</v>
      </c>
    </row>
    <row r="22" spans="6:12" x14ac:dyDescent="0.25">
      <c r="F22" s="3">
        <v>5.5</v>
      </c>
      <c r="G22" s="3"/>
      <c r="H22" s="3">
        <v>5</v>
      </c>
      <c r="I22" s="3">
        <v>7</v>
      </c>
      <c r="J22" s="3">
        <f t="shared" si="0"/>
        <v>5.5</v>
      </c>
      <c r="K22" s="3">
        <f t="shared" si="1"/>
        <v>5.6999999999999993</v>
      </c>
      <c r="L22" s="3">
        <f t="shared" si="2"/>
        <v>7.5</v>
      </c>
    </row>
    <row r="23" spans="6:12" x14ac:dyDescent="0.25">
      <c r="F23" s="3">
        <v>6</v>
      </c>
      <c r="G23" s="3"/>
      <c r="H23" s="3">
        <v>5</v>
      </c>
      <c r="I23" s="3">
        <v>7</v>
      </c>
      <c r="J23" s="3">
        <f t="shared" si="0"/>
        <v>6</v>
      </c>
      <c r="K23" s="3">
        <f t="shared" si="1"/>
        <v>6</v>
      </c>
      <c r="L23" s="3">
        <f t="shared" si="2"/>
        <v>8</v>
      </c>
    </row>
    <row r="24" spans="6:12" x14ac:dyDescent="0.25">
      <c r="F24" s="3">
        <v>6.5</v>
      </c>
      <c r="G24" s="3"/>
      <c r="H24" s="3">
        <v>5</v>
      </c>
      <c r="I24" s="3">
        <v>7</v>
      </c>
      <c r="J24" s="3">
        <f t="shared" si="0"/>
        <v>6.5</v>
      </c>
      <c r="K24" s="3">
        <f t="shared" si="1"/>
        <v>6.3</v>
      </c>
      <c r="L24" s="3">
        <f t="shared" si="2"/>
        <v>8.5</v>
      </c>
    </row>
    <row r="25" spans="6:12" x14ac:dyDescent="0.25">
      <c r="F25" s="3">
        <v>7</v>
      </c>
      <c r="G25" s="3"/>
      <c r="H25" s="3">
        <v>5</v>
      </c>
      <c r="I25" s="3">
        <v>7</v>
      </c>
      <c r="J25" s="3">
        <f t="shared" si="0"/>
        <v>7</v>
      </c>
      <c r="K25" s="3">
        <f t="shared" si="1"/>
        <v>6.6</v>
      </c>
      <c r="L25" s="3">
        <f t="shared" si="2"/>
        <v>9</v>
      </c>
    </row>
    <row r="26" spans="6:12" x14ac:dyDescent="0.25">
      <c r="F26" s="3">
        <v>7.5</v>
      </c>
      <c r="G26" s="3"/>
      <c r="H26" s="3">
        <v>5</v>
      </c>
      <c r="I26" s="3">
        <v>7</v>
      </c>
      <c r="J26" s="3">
        <f t="shared" si="0"/>
        <v>7.5</v>
      </c>
      <c r="K26" s="3">
        <f t="shared" si="1"/>
        <v>6.9</v>
      </c>
      <c r="L26" s="3">
        <f t="shared" si="2"/>
        <v>9.5</v>
      </c>
    </row>
    <row r="27" spans="6:12" x14ac:dyDescent="0.25">
      <c r="F27" s="3">
        <v>8</v>
      </c>
      <c r="G27" s="3"/>
      <c r="H27" s="3">
        <v>5</v>
      </c>
      <c r="I27" s="3">
        <v>7</v>
      </c>
      <c r="J27" s="3">
        <f t="shared" si="0"/>
        <v>8</v>
      </c>
      <c r="K27" s="3">
        <f t="shared" si="1"/>
        <v>7.1999999999999993</v>
      </c>
      <c r="L27" s="3">
        <f t="shared" si="2"/>
        <v>10</v>
      </c>
    </row>
    <row r="28" spans="6:12" x14ac:dyDescent="0.25">
      <c r="F28" s="3">
        <v>8.5</v>
      </c>
      <c r="G28" s="3"/>
      <c r="H28" s="3">
        <v>5</v>
      </c>
      <c r="I28" s="3">
        <v>7</v>
      </c>
      <c r="J28" s="3">
        <f t="shared" si="0"/>
        <v>8.5</v>
      </c>
      <c r="K28" s="3">
        <f t="shared" si="1"/>
        <v>7.5</v>
      </c>
      <c r="L28" s="3">
        <f t="shared" si="2"/>
        <v>10.5</v>
      </c>
    </row>
    <row r="29" spans="6:12" x14ac:dyDescent="0.25">
      <c r="F29" s="3">
        <v>9</v>
      </c>
      <c r="G29" s="3"/>
      <c r="H29" s="3">
        <v>5</v>
      </c>
      <c r="I29" s="3">
        <v>7</v>
      </c>
      <c r="J29" s="3">
        <f t="shared" si="0"/>
        <v>9</v>
      </c>
      <c r="K29" s="3">
        <f t="shared" si="1"/>
        <v>7.7999999999999989</v>
      </c>
      <c r="L29" s="3">
        <f t="shared" si="2"/>
        <v>11</v>
      </c>
    </row>
    <row r="30" spans="6:12" x14ac:dyDescent="0.25">
      <c r="F30" s="3">
        <v>9.5</v>
      </c>
      <c r="G30" s="3"/>
      <c r="H30" s="3">
        <v>5</v>
      </c>
      <c r="I30" s="3">
        <v>7</v>
      </c>
      <c r="J30" s="3">
        <f t="shared" si="0"/>
        <v>9.5</v>
      </c>
      <c r="K30" s="3">
        <f t="shared" si="1"/>
        <v>8.1</v>
      </c>
      <c r="L30" s="3">
        <f t="shared" si="2"/>
        <v>11.5</v>
      </c>
    </row>
    <row r="31" spans="6:12" x14ac:dyDescent="0.25">
      <c r="F31" s="3">
        <v>10</v>
      </c>
      <c r="G31" s="3"/>
      <c r="H31" s="3">
        <v>5</v>
      </c>
      <c r="I31" s="3">
        <v>7</v>
      </c>
      <c r="J31" s="3">
        <f t="shared" si="0"/>
        <v>10</v>
      </c>
      <c r="K31" s="3">
        <f t="shared" si="1"/>
        <v>8.4</v>
      </c>
      <c r="L31" s="3">
        <f t="shared" si="2"/>
        <v>12</v>
      </c>
    </row>
    <row r="61" spans="9:9" x14ac:dyDescent="0.25">
      <c r="I61" t="s">
        <v>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zoomScale="80" zoomScaleNormal="80" workbookViewId="0">
      <selection activeCell="G1" sqref="G1:H1048576"/>
    </sheetView>
  </sheetViews>
  <sheetFormatPr defaultRowHeight="15" x14ac:dyDescent="0.25"/>
  <sheetData>
    <row r="1" spans="1:17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7" x14ac:dyDescent="0.25">
      <c r="A2">
        <v>0.1</v>
      </c>
      <c r="B2" s="2">
        <v>0.41150031977078</v>
      </c>
      <c r="C2" s="2">
        <v>0.43591280906709701</v>
      </c>
      <c r="D2" s="2">
        <v>0.460639958339778</v>
      </c>
      <c r="E2" s="2">
        <v>0.47952770401090899</v>
      </c>
      <c r="F2" s="2">
        <v>0.49243263126901898</v>
      </c>
      <c r="G2" s="2">
        <v>0.50534765070800203</v>
      </c>
      <c r="H2" s="2">
        <v>0.51825553746374498</v>
      </c>
      <c r="I2" s="2">
        <v>0.51002083983109003</v>
      </c>
      <c r="J2" s="2">
        <v>0.51002083983109003</v>
      </c>
      <c r="K2" s="2">
        <v>0.51002083983109003</v>
      </c>
    </row>
    <row r="3" spans="1:17" x14ac:dyDescent="0.25">
      <c r="A3">
        <v>0.2</v>
      </c>
      <c r="B3" s="2">
        <v>0.32482358976953901</v>
      </c>
      <c r="C3" s="2">
        <v>0.37012239540388497</v>
      </c>
      <c r="D3" s="2">
        <v>0.41782904541263</v>
      </c>
      <c r="E3" s="2">
        <v>0.455556083207803</v>
      </c>
      <c r="F3" s="2">
        <v>0.48216887455894702</v>
      </c>
      <c r="G3" s="2">
        <v>0.50888321037248396</v>
      </c>
      <c r="H3" s="2">
        <v>0.53554690990134701</v>
      </c>
      <c r="I3" s="2">
        <v>0.52016750068907203</v>
      </c>
      <c r="J3" s="2">
        <v>0.52016750068907203</v>
      </c>
      <c r="K3" s="2">
        <v>0.52016750068907203</v>
      </c>
    </row>
    <row r="4" spans="1:17" x14ac:dyDescent="0.25">
      <c r="A4">
        <v>0.3</v>
      </c>
      <c r="B4" s="2">
        <v>0.24572463375128301</v>
      </c>
      <c r="C4" s="2">
        <v>0.305435590794981</v>
      </c>
      <c r="D4" s="2">
        <v>0.37249080387766997</v>
      </c>
      <c r="E4" s="2">
        <v>0.42832709966078097</v>
      </c>
      <c r="F4" s="2">
        <v>0.46930178321920202</v>
      </c>
      <c r="G4" s="2">
        <v>0.51069457007121799</v>
      </c>
      <c r="H4" s="2">
        <v>0.55194121817585895</v>
      </c>
      <c r="I4" s="2">
        <v>0.53055789729279501</v>
      </c>
      <c r="J4" s="2">
        <v>0.53055789729279501</v>
      </c>
      <c r="K4" s="2">
        <v>0.53055789729279501</v>
      </c>
      <c r="O4" t="s">
        <v>20</v>
      </c>
      <c r="Q4" t="s">
        <v>19</v>
      </c>
    </row>
    <row r="5" spans="1:17" x14ac:dyDescent="0.25">
      <c r="A5">
        <v>0.4</v>
      </c>
      <c r="B5" s="2">
        <v>0.178648221965758</v>
      </c>
      <c r="C5" s="2">
        <v>0.244986437401402</v>
      </c>
      <c r="D5" s="2">
        <v>0.326175774638302</v>
      </c>
      <c r="E5" s="2">
        <v>0.39852126484394301</v>
      </c>
      <c r="F5" s="2">
        <v>0.45417266489156399</v>
      </c>
      <c r="G5" s="2">
        <v>0.51099318640978397</v>
      </c>
      <c r="H5" s="2">
        <v>0.56753104546244004</v>
      </c>
      <c r="I5" s="2">
        <v>0.54128145002368899</v>
      </c>
      <c r="J5" s="2">
        <v>0.54128145002368899</v>
      </c>
      <c r="K5" s="2">
        <v>0.54128145002368899</v>
      </c>
      <c r="O5" t="s">
        <v>21</v>
      </c>
    </row>
    <row r="6" spans="1:17" x14ac:dyDescent="0.25">
      <c r="A6">
        <v>0.5</v>
      </c>
      <c r="B6" s="2">
        <v>0.12556409201235499</v>
      </c>
      <c r="C6" s="2">
        <v>0.19142727087448499</v>
      </c>
      <c r="D6" s="2">
        <v>0.28074631034535402</v>
      </c>
      <c r="E6" s="2">
        <v>0.36712805018174299</v>
      </c>
      <c r="F6" s="2">
        <v>0.43729515027437399</v>
      </c>
      <c r="G6" s="2">
        <v>0.51006455514718496</v>
      </c>
      <c r="H6" s="2">
        <v>0.58240990712589202</v>
      </c>
      <c r="I6" s="2">
        <v>0.55238461653357995</v>
      </c>
      <c r="J6" s="2">
        <v>0.55238461653357995</v>
      </c>
      <c r="K6" s="2">
        <v>0.55238461653357995</v>
      </c>
    </row>
    <row r="7" spans="1:17" x14ac:dyDescent="0.25">
      <c r="A7">
        <v>0.6</v>
      </c>
      <c r="B7" s="2">
        <v>8.5956048721649303E-2</v>
      </c>
      <c r="C7" s="2">
        <v>0.14628476117337699</v>
      </c>
      <c r="D7" s="2">
        <v>0.23793350836104299</v>
      </c>
      <c r="E7" s="2">
        <v>0.33521868964827201</v>
      </c>
      <c r="F7" s="2">
        <v>0.41922883179538301</v>
      </c>
      <c r="G7" s="2">
        <v>0.50819806080724805</v>
      </c>
      <c r="H7" s="2">
        <v>0.59665102786253399</v>
      </c>
      <c r="I7" s="2">
        <v>0.56387025482273501</v>
      </c>
      <c r="J7" s="2">
        <v>0.56387025482273501</v>
      </c>
      <c r="K7" s="2">
        <v>0.56387025482273501</v>
      </c>
    </row>
    <row r="8" spans="1:17" x14ac:dyDescent="0.25">
      <c r="A8">
        <v>0.7</v>
      </c>
      <c r="B8" s="2">
        <v>5.7728426313828997E-2</v>
      </c>
      <c r="C8" s="2">
        <v>0.109823637550003</v>
      </c>
      <c r="D8" s="2">
        <v>0.19900196110641399</v>
      </c>
      <c r="E8" s="2">
        <v>0.30374491997962899</v>
      </c>
      <c r="F8" s="2">
        <v>0.40047272371265102</v>
      </c>
      <c r="G8" s="2">
        <v>0.50563380927788604</v>
      </c>
      <c r="H8" s="2">
        <v>0.61029875559485902</v>
      </c>
      <c r="I8" s="2">
        <v>0.57570806605394098</v>
      </c>
      <c r="J8" s="2">
        <v>0.57570806605394098</v>
      </c>
      <c r="K8" s="2">
        <v>0.57570806605394098</v>
      </c>
    </row>
    <row r="9" spans="1:17" x14ac:dyDescent="0.25">
      <c r="A9">
        <v>0.8</v>
      </c>
      <c r="B9" s="2">
        <v>3.8268270547311599E-2</v>
      </c>
      <c r="C9" s="2">
        <v>8.1352236756347507E-2</v>
      </c>
      <c r="D9" s="2">
        <v>0.164638220284089</v>
      </c>
      <c r="E9" s="2">
        <v>0.27343634102327402</v>
      </c>
      <c r="F9" s="2">
        <v>0.38141586596736599</v>
      </c>
      <c r="G9" s="2">
        <v>0.502542834348088</v>
      </c>
      <c r="H9" s="2">
        <v>0.62337206617988095</v>
      </c>
      <c r="I9" s="2">
        <v>0.58784825438087496</v>
      </c>
      <c r="J9" s="2">
        <v>0.58784825438087496</v>
      </c>
      <c r="K9" s="2">
        <v>0.58784825438087596</v>
      </c>
    </row>
    <row r="10" spans="1:17" x14ac:dyDescent="0.25">
      <c r="A10">
        <v>0.9</v>
      </c>
      <c r="B10" s="2">
        <v>2.5153360680956201E-2</v>
      </c>
      <c r="C10" s="2">
        <v>5.9676331864612499E-2</v>
      </c>
      <c r="D10" s="2">
        <v>0.13501939458674</v>
      </c>
      <c r="E10" s="2">
        <v>0.24478823978718101</v>
      </c>
      <c r="F10" s="2">
        <v>0.36233665038874302</v>
      </c>
      <c r="G10" s="2">
        <v>0.49903280772859998</v>
      </c>
      <c r="H10" s="2">
        <v>0.63587370109255203</v>
      </c>
      <c r="I10" s="2">
        <v>0.60023259204033697</v>
      </c>
      <c r="J10" s="2">
        <v>0.60023259204033697</v>
      </c>
      <c r="K10" s="2">
        <v>0.60023259204033697</v>
      </c>
    </row>
    <row r="11" spans="1:17" x14ac:dyDescent="0.25">
      <c r="A11">
        <v>1</v>
      </c>
      <c r="B11" s="2">
        <v>1.6445012361101199E-2</v>
      </c>
      <c r="C11" s="2">
        <v>4.3473733716477003E-2</v>
      </c>
      <c r="D11" s="2">
        <v>0.10995984591590501</v>
      </c>
      <c r="E11" s="2">
        <v>0.21809717476499499</v>
      </c>
      <c r="F11" s="2">
        <v>0.34342535361829701</v>
      </c>
      <c r="G11" s="2">
        <v>0.49516428110367899</v>
      </c>
      <c r="H11" s="2">
        <v>0.64779928036409895</v>
      </c>
      <c r="I11" s="2">
        <v>0.61280130545167699</v>
      </c>
      <c r="J11" s="2">
        <v>0.61280130545167699</v>
      </c>
      <c r="K11" s="2">
        <v>0.61280130545167699</v>
      </c>
    </row>
    <row r="12" spans="1:17" x14ac:dyDescent="0.25">
      <c r="A12">
        <v>1.1000000000000001</v>
      </c>
      <c r="B12" s="2">
        <v>1.0716716693595099E-2</v>
      </c>
      <c r="C12" s="2">
        <v>3.15178531676263E-2</v>
      </c>
      <c r="D12" s="2">
        <v>8.9059256588662802E-2</v>
      </c>
      <c r="E12" s="2">
        <v>0.19350915806662</v>
      </c>
      <c r="F12" s="2">
        <v>0.32481053160242801</v>
      </c>
      <c r="G12" s="2">
        <v>0.49096725204863101</v>
      </c>
      <c r="H12" s="2">
        <v>0.65914389745911695</v>
      </c>
      <c r="I12" s="2">
        <v>0.62549664213232603</v>
      </c>
      <c r="J12" s="2">
        <v>0.62549664213232503</v>
      </c>
      <c r="K12" s="2">
        <v>0.62549664213232703</v>
      </c>
    </row>
    <row r="13" spans="1:17" x14ac:dyDescent="0.25">
      <c r="A13">
        <v>1.2</v>
      </c>
      <c r="B13" s="2">
        <v>6.9703933994259004E-3</v>
      </c>
      <c r="C13" s="2">
        <v>2.27742135611507E-2</v>
      </c>
      <c r="D13" s="2">
        <v>7.1818258470211296E-2</v>
      </c>
      <c r="E13" s="2">
        <v>0.171063258432742</v>
      </c>
      <c r="F13" s="2">
        <v>0.30658074421572701</v>
      </c>
      <c r="G13" s="2">
        <v>0.486454100380312</v>
      </c>
      <c r="H13" s="2">
        <v>0.66990599554772901</v>
      </c>
      <c r="I13" s="2">
        <v>0.63826438589817702</v>
      </c>
      <c r="J13" s="2">
        <v>0.63826438589817702</v>
      </c>
      <c r="K13" s="2">
        <v>0.63826438589817702</v>
      </c>
    </row>
    <row r="14" spans="1:17" x14ac:dyDescent="0.25">
      <c r="A14">
        <v>1.3</v>
      </c>
      <c r="B14" s="2">
        <v>4.5287435572745598E-3</v>
      </c>
      <c r="C14" s="2">
        <v>1.6418823668694099E-2</v>
      </c>
      <c r="D14" s="2">
        <v>5.7716031104595097E-2</v>
      </c>
      <c r="E14" s="2">
        <v>0.15072561755464101</v>
      </c>
      <c r="F14" s="2">
        <v>0.28879979349800999</v>
      </c>
      <c r="G14" s="2">
        <v>0.48162844187102699</v>
      </c>
      <c r="H14" s="2">
        <v>0.680089170505634</v>
      </c>
      <c r="I14" s="2">
        <v>0.65105431456683704</v>
      </c>
      <c r="J14" s="2">
        <v>0.65105431456683704</v>
      </c>
      <c r="K14" s="2">
        <v>0.65105431456683704</v>
      </c>
    </row>
    <row r="15" spans="1:17" x14ac:dyDescent="0.25">
      <c r="A15">
        <v>1.4</v>
      </c>
      <c r="B15" s="2">
        <v>2.9406003338848098E-3</v>
      </c>
      <c r="C15" s="2">
        <v>1.18185431208001E-2</v>
      </c>
      <c r="D15" s="2">
        <v>4.6256331453863597E-2</v>
      </c>
      <c r="E15" s="2">
        <v>0.13241430579487301</v>
      </c>
      <c r="F15" s="2">
        <v>0.271516390114864</v>
      </c>
      <c r="G15" s="2">
        <v>0.47649068771557801</v>
      </c>
      <c r="H15" s="2">
        <v>0.68970260967061803</v>
      </c>
      <c r="I15" s="2">
        <v>0.66382021554066795</v>
      </c>
      <c r="J15" s="2">
        <v>0.66382021554066795</v>
      </c>
      <c r="K15" s="2">
        <v>0.66382021554066895</v>
      </c>
    </row>
    <row r="16" spans="1:17" x14ac:dyDescent="0.25">
      <c r="A16">
        <v>1.5</v>
      </c>
      <c r="B16" s="2">
        <v>1.9087722273452899E-3</v>
      </c>
      <c r="C16" s="2">
        <v>8.4980476916251199E-3</v>
      </c>
      <c r="D16" s="2">
        <v>3.6991130160020397E-2</v>
      </c>
      <c r="E16" s="2">
        <v>0.116017069407315</v>
      </c>
      <c r="F16" s="2">
        <v>0.25476988185912702</v>
      </c>
      <c r="G16" s="2">
        <v>0.47104138047399502</v>
      </c>
      <c r="H16" s="2">
        <v>0.69876079523692602</v>
      </c>
      <c r="I16" s="2">
        <v>0.67651967510760702</v>
      </c>
      <c r="J16" s="2">
        <v>0.67651967510760702</v>
      </c>
      <c r="K16" s="2">
        <v>0.67651967510760702</v>
      </c>
    </row>
    <row r="17" spans="1:11" x14ac:dyDescent="0.25">
      <c r="A17">
        <v>1.6</v>
      </c>
      <c r="B17" s="2">
        <v>1.23879057335465E-3</v>
      </c>
      <c r="C17" s="2">
        <v>6.10586954578771E-3</v>
      </c>
      <c r="D17" s="2">
        <v>2.9529817471468899E-2</v>
      </c>
      <c r="E17" s="2">
        <v>0.10140386493133299</v>
      </c>
      <c r="F17" s="2">
        <v>0.23859331342756401</v>
      </c>
      <c r="G17" s="2">
        <v>0.46528300504320702</v>
      </c>
      <c r="H17" s="2">
        <v>0.70728278465584205</v>
      </c>
      <c r="I17" s="2">
        <v>0.68911387208556496</v>
      </c>
      <c r="J17" s="2">
        <v>0.68911387208556496</v>
      </c>
      <c r="K17" s="2">
        <v>0.68911387208556496</v>
      </c>
    </row>
    <row r="18" spans="1:11" x14ac:dyDescent="0.25">
      <c r="A18">
        <v>1.7</v>
      </c>
      <c r="B18" s="2">
        <v>8.0389540077395797E-4</v>
      </c>
      <c r="C18" s="2">
        <v>4.3847111266204298E-3</v>
      </c>
      <c r="D18" s="2">
        <v>2.3539896645661099E-2</v>
      </c>
      <c r="E18" s="2">
        <v>8.8435762190744893E-2</v>
      </c>
      <c r="F18" s="2">
        <v>0.223014911217915</v>
      </c>
      <c r="G18" s="2">
        <v>0.45922092510655999</v>
      </c>
      <c r="H18" s="2">
        <v>0.71529137467706405</v>
      </c>
      <c r="I18" s="2">
        <v>0.70156733785121905</v>
      </c>
      <c r="J18" s="2">
        <v>0.70156733785121905</v>
      </c>
      <c r="K18" s="2">
        <v>0.70156733785122005</v>
      </c>
    </row>
    <row r="19" spans="1:11" x14ac:dyDescent="0.25">
      <c r="A19">
        <v>1.8</v>
      </c>
      <c r="B19" s="2">
        <v>5.2164101498937702E-4</v>
      </c>
      <c r="C19" s="2">
        <v>3.14745351704101E-3</v>
      </c>
      <c r="D19" s="2">
        <v>1.8743090299175501E-2</v>
      </c>
      <c r="E19" s="2">
        <v>7.6971231886978894E-2</v>
      </c>
      <c r="F19" s="2">
        <v>0.20805858850546899</v>
      </c>
      <c r="G19" s="2">
        <v>0.45286370423911898</v>
      </c>
      <c r="H19" s="2">
        <v>0.72281220937183199</v>
      </c>
      <c r="I19" s="2">
        <v>0.71384779613274896</v>
      </c>
      <c r="J19" s="2">
        <v>0.71384779613274896</v>
      </c>
      <c r="K19" s="2">
        <v>0.71384779613274896</v>
      </c>
    </row>
    <row r="20" spans="1:11" x14ac:dyDescent="0.25">
      <c r="A20">
        <v>1.9</v>
      </c>
      <c r="B20" s="2">
        <v>3.3846714064122898E-4</v>
      </c>
      <c r="C20" s="2">
        <v>2.2586088974915399E-3</v>
      </c>
      <c r="D20" s="2">
        <v>1.4909351613954101E-2</v>
      </c>
      <c r="E20" s="2">
        <v>6.6870594621429594E-2</v>
      </c>
      <c r="F20" s="2">
        <v>0.19374399621893801</v>
      </c>
      <c r="G20" s="2">
        <v>0.44622313454387602</v>
      </c>
      <c r="H20" s="2">
        <v>0.72987297876882296</v>
      </c>
      <c r="I20" s="2">
        <v>0.72592599459007601</v>
      </c>
      <c r="J20" s="2">
        <v>0.72592599459007601</v>
      </c>
      <c r="K20" s="2">
        <v>0.72592599459007601</v>
      </c>
    </row>
    <row r="21" spans="1:11" x14ac:dyDescent="0.25">
      <c r="A21">
        <v>2</v>
      </c>
      <c r="B21" s="2">
        <v>2.1959917715163601E-4</v>
      </c>
      <c r="C21" s="2">
        <v>1.6203572154988701E-3</v>
      </c>
      <c r="D21" s="2">
        <v>1.1850230216002899E-2</v>
      </c>
      <c r="E21" s="2">
        <v>5.7999091471714899E-2</v>
      </c>
      <c r="F21" s="2">
        <v>0.180086328396768</v>
      </c>
      <c r="G21" s="2">
        <v>0.439314017603678</v>
      </c>
      <c r="H21" s="2">
        <v>0.73650267108823297</v>
      </c>
      <c r="I21" s="2">
        <v>0.73777560840447398</v>
      </c>
      <c r="J21" s="2">
        <v>0.73777560840447298</v>
      </c>
      <c r="K21" s="2">
        <v>0.73777560840447398</v>
      </c>
    </row>
    <row r="22" spans="1:11" x14ac:dyDescent="0.25">
      <c r="A22">
        <v>2.1</v>
      </c>
      <c r="B22" s="2">
        <v>1.42465319963399E-4</v>
      </c>
      <c r="C22" s="2">
        <v>1.16220946764714E-3</v>
      </c>
      <c r="D22" s="2">
        <v>9.4124078892408904E-3</v>
      </c>
      <c r="E22" s="2">
        <v>5.0228952128346903E-2</v>
      </c>
      <c r="F22" s="2">
        <v>0.16709611065232099</v>
      </c>
      <c r="G22" s="2">
        <v>0.43215385585703198</v>
      </c>
      <c r="H22" s="2">
        <v>0.74273094663970496</v>
      </c>
      <c r="I22" s="2">
        <v>0.74937314253423204</v>
      </c>
      <c r="J22" s="2">
        <v>0.74937314253423104</v>
      </c>
      <c r="K22" s="2">
        <v>0.74937314253423304</v>
      </c>
    </row>
    <row r="23" spans="1:11" x14ac:dyDescent="0.25">
      <c r="A23">
        <v>2.2000000000000002</v>
      </c>
      <c r="B23" s="2">
        <v>9.2415881065332199E-5</v>
      </c>
      <c r="C23" s="2">
        <v>8.3343645815912198E-4</v>
      </c>
      <c r="D23" s="2">
        <v>7.4718013395544403E-3</v>
      </c>
      <c r="E23" s="2">
        <v>4.3440698685757298E-2</v>
      </c>
      <c r="F23" s="2">
        <v>0.15477905007324899</v>
      </c>
      <c r="G23" s="2">
        <v>0.42476248141360201</v>
      </c>
      <c r="H23" s="2">
        <v>0.74858761350145697</v>
      </c>
      <c r="I23" s="2">
        <v>0.76069784827728404</v>
      </c>
      <c r="J23" s="2">
        <v>0.76069784827728304</v>
      </c>
      <c r="K23" s="2">
        <v>0.76069784827728404</v>
      </c>
    </row>
    <row r="24" spans="1:11" x14ac:dyDescent="0.25">
      <c r="A24">
        <v>2.2999999999999998</v>
      </c>
      <c r="B24" s="2">
        <v>5.9943026643749197E-5</v>
      </c>
      <c r="C24" s="2">
        <v>5.9756122460115899E-4</v>
      </c>
      <c r="D24" s="2">
        <v>5.9283929349657396E-3</v>
      </c>
      <c r="E24" s="2">
        <v>3.7523866557960001E-2</v>
      </c>
      <c r="F24" s="2">
        <v>0.143135980352499</v>
      </c>
      <c r="G24" s="2">
        <v>0.41716162187261902</v>
      </c>
      <c r="H24" s="2">
        <v>0.754102173502742</v>
      </c>
      <c r="I24" s="2">
        <v>0.77173167181878499</v>
      </c>
      <c r="J24" s="2">
        <v>0.77173167181878599</v>
      </c>
      <c r="K24" s="2">
        <v>0.77173167181878599</v>
      </c>
    </row>
    <row r="25" spans="1:11" x14ac:dyDescent="0.25">
      <c r="A25">
        <v>2.4</v>
      </c>
      <c r="B25" s="2">
        <v>3.8876064652361303E-5</v>
      </c>
      <c r="C25" s="2">
        <v>4.2837079342085698E-4</v>
      </c>
      <c r="D25" s="2">
        <v>4.7018189086383199E-3</v>
      </c>
      <c r="E25" s="2">
        <v>3.2377298876877902E-2</v>
      </c>
      <c r="F25" s="2">
        <v>0.132162957409861</v>
      </c>
      <c r="G25" s="2">
        <v>0.40937448358795198</v>
      </c>
      <c r="H25" s="2">
        <v>0.75930347327431602</v>
      </c>
      <c r="I25" s="2">
        <v>0.78245917929685704</v>
      </c>
      <c r="J25" s="2">
        <v>0.78245917929685704</v>
      </c>
      <c r="K25" s="2">
        <v>0.78245917929685804</v>
      </c>
    </row>
    <row r="26" spans="1:11" x14ac:dyDescent="0.25">
      <c r="A26">
        <v>2.5</v>
      </c>
      <c r="B26" s="2">
        <v>2.5210182665936099E-5</v>
      </c>
      <c r="C26" s="2">
        <v>3.0703633554539199E-4</v>
      </c>
      <c r="D26" s="2">
        <v>3.7276695984677201E-3</v>
      </c>
      <c r="E26" s="2">
        <v>2.7909118303166398E-2</v>
      </c>
      <c r="F26" s="2">
        <v>0.12185148397687</v>
      </c>
      <c r="G26" s="2">
        <v>0.40142533902170602</v>
      </c>
      <c r="H26" s="2">
        <v>0.76421942847302904</v>
      </c>
      <c r="I26" s="2">
        <v>0.79286747692555604</v>
      </c>
      <c r="J26" s="2">
        <v>0.79286747692555604</v>
      </c>
      <c r="K26" s="2">
        <v>0.79286747692555604</v>
      </c>
    </row>
    <row r="27" spans="1:11" x14ac:dyDescent="0.25">
      <c r="A27">
        <v>2.6</v>
      </c>
      <c r="B27" s="2">
        <v>1.6346308992730198E-5</v>
      </c>
      <c r="C27" s="2">
        <v>2.2003758684811201E-4</v>
      </c>
      <c r="D27" s="2">
        <v>2.9544259354602402E-3</v>
      </c>
      <c r="E27" s="2">
        <v>2.4036462630109199E-2</v>
      </c>
      <c r="F27" s="2">
        <v>0.112188835589102</v>
      </c>
      <c r="G27" s="2">
        <v>0.39333910018149099</v>
      </c>
      <c r="H27" s="2">
        <v>0.76887679047122504</v>
      </c>
      <c r="I27" s="2">
        <v>0.80294614219907201</v>
      </c>
      <c r="J27" s="2">
        <v>0.80294614219907201</v>
      </c>
      <c r="K27" s="2">
        <v>0.80294614219907301</v>
      </c>
    </row>
    <row r="28" spans="1:11" x14ac:dyDescent="0.25">
      <c r="A28">
        <v>2.7</v>
      </c>
      <c r="B28" s="2">
        <v>1.0597775750178899E-5</v>
      </c>
      <c r="C28" s="2">
        <v>1.5766886154397101E-4</v>
      </c>
      <c r="D28" s="2">
        <v>2.3409474219953401E-3</v>
      </c>
      <c r="E28" s="2">
        <v>2.06850632006985E-2</v>
      </c>
      <c r="F28" s="2">
        <v>0.103158494451528</v>
      </c>
      <c r="G28" s="2">
        <v>0.38514094511736802</v>
      </c>
      <c r="H28" s="2">
        <v>0.77330098940678405</v>
      </c>
      <c r="I28" s="2">
        <v>0.81268711921973202</v>
      </c>
      <c r="J28" s="2">
        <v>0.81268711921973202</v>
      </c>
      <c r="K28" s="2">
        <v>0.81268711921973202</v>
      </c>
    </row>
    <row r="29" spans="1:11" x14ac:dyDescent="0.25">
      <c r="A29">
        <v>2.8</v>
      </c>
      <c r="B29" s="2">
        <v>6.8701070928562702E-6</v>
      </c>
      <c r="C29" s="2">
        <v>1.1296449114613599E-4</v>
      </c>
      <c r="D29" s="2">
        <v>1.8544257371689099E-3</v>
      </c>
      <c r="E29" s="2">
        <v>1.77887149417186E-2</v>
      </c>
      <c r="F29" s="2">
        <v>9.4740641504358E-2</v>
      </c>
      <c r="G29" s="2">
        <v>0.37685595847389802</v>
      </c>
      <c r="H29" s="2">
        <v>0.77751601216905497</v>
      </c>
      <c r="I29" s="2">
        <v>0.82208461144318101</v>
      </c>
      <c r="J29" s="2">
        <v>0.82208461144318101</v>
      </c>
      <c r="K29" s="2">
        <v>0.82208461144318101</v>
      </c>
    </row>
    <row r="30" spans="1:11" x14ac:dyDescent="0.25">
      <c r="A30">
        <v>2.9</v>
      </c>
      <c r="B30" s="2">
        <v>4.4531718144669697E-6</v>
      </c>
      <c r="C30" s="2">
        <v>8.0926394898246201E-5</v>
      </c>
      <c r="D30" s="2">
        <v>1.46872675965501E-3</v>
      </c>
      <c r="E30" s="2">
        <v>1.5288684270112299E-2</v>
      </c>
      <c r="F30" s="2">
        <v>8.6912689156390305E-2</v>
      </c>
      <c r="G30" s="2">
        <v>0.36850880884953202</v>
      </c>
      <c r="H30" s="2">
        <v>0.78154432142548202</v>
      </c>
      <c r="I30" s="2">
        <v>0.83113495838871698</v>
      </c>
      <c r="J30" s="2">
        <v>0.83113495838871598</v>
      </c>
      <c r="K30" s="2">
        <v>0.83113495838871698</v>
      </c>
    </row>
    <row r="31" spans="1:11" x14ac:dyDescent="0.25">
      <c r="A31">
        <v>3</v>
      </c>
      <c r="B31" s="2">
        <v>2.8862684079976401E-6</v>
      </c>
      <c r="C31" s="2">
        <v>5.7969048718507202E-5</v>
      </c>
      <c r="D31" s="2">
        <v>1.16305269267327E-3</v>
      </c>
      <c r="E31" s="2">
        <v>1.3133087775616999E-2</v>
      </c>
      <c r="F31" s="2">
        <v>7.9649828255216604E-2</v>
      </c>
      <c r="G31" s="2">
        <v>0.36012346367061598</v>
      </c>
      <c r="H31" s="2">
        <v>0.785406807546561</v>
      </c>
      <c r="I31" s="2">
        <v>0.83983649973642804</v>
      </c>
      <c r="J31" s="2">
        <v>0.83983649973642804</v>
      </c>
      <c r="K31" s="2">
        <v>0.83983649973642904</v>
      </c>
    </row>
    <row r="32" spans="1:11" x14ac:dyDescent="0.25">
      <c r="A32">
        <v>3.1</v>
      </c>
      <c r="B32" s="2">
        <v>1.8705530156856E-6</v>
      </c>
      <c r="C32" s="2">
        <v>4.1520788694432201E-5</v>
      </c>
      <c r="D32" s="2">
        <v>9.2086592961922501E-4</v>
      </c>
      <c r="E32" s="2">
        <v>1.1276266706244299E-2</v>
      </c>
      <c r="F32" s="2">
        <v>7.2925567616521803E-2</v>
      </c>
      <c r="G32" s="2">
        <v>0.35172294391991399</v>
      </c>
      <c r="H32" s="2">
        <v>0.78912276828483496</v>
      </c>
      <c r="I32" s="2">
        <v>0.84818942879431602</v>
      </c>
      <c r="J32" s="2">
        <v>0.84818942879431602</v>
      </c>
      <c r="K32" s="2">
        <v>0.84818942879431602</v>
      </c>
    </row>
    <row r="33" spans="1:11" x14ac:dyDescent="0.25">
      <c r="A33">
        <v>3.2</v>
      </c>
      <c r="B33" s="2">
        <v>1.2122005817394099E-6</v>
      </c>
      <c r="C33" s="2">
        <v>2.9737488379492199E-5</v>
      </c>
      <c r="D33" s="2">
        <v>7.2902565002068995E-4</v>
      </c>
      <c r="E33" s="2">
        <v>9.6781754734099005E-3</v>
      </c>
      <c r="F33" s="2">
        <v>6.6712248440593203E-2</v>
      </c>
      <c r="G33" s="2">
        <v>0.34332911982685699</v>
      </c>
      <c r="H33" s="2">
        <v>0.79270991178206596</v>
      </c>
      <c r="I33" s="2">
        <v>0.856195637830242</v>
      </c>
      <c r="J33" s="2">
        <v>0.856195637830241</v>
      </c>
      <c r="K33" s="2">
        <v>0.856195637830242</v>
      </c>
    </row>
    <row r="34" spans="1:11" x14ac:dyDescent="0.25">
      <c r="A34">
        <v>3.3</v>
      </c>
      <c r="B34" s="2">
        <v>7.85516809491291E-7</v>
      </c>
      <c r="C34" s="2">
        <v>2.1296984905470701E-5</v>
      </c>
      <c r="D34" s="2">
        <v>5.7709651478409201E-4</v>
      </c>
      <c r="E34" s="2">
        <v>8.3037969054936892E-3</v>
      </c>
      <c r="F34" s="2">
        <v>6.0981520216448599E-2</v>
      </c>
      <c r="G34" s="2">
        <v>0.33496254745977699</v>
      </c>
      <c r="H34" s="2">
        <v>0.796184379069793</v>
      </c>
      <c r="I34" s="2">
        <v>0.86385855802786005</v>
      </c>
      <c r="J34" s="2">
        <v>0.86385855802786005</v>
      </c>
      <c r="K34" s="2">
        <v>0.86385855802786005</v>
      </c>
    </row>
    <row r="35" spans="1:11" x14ac:dyDescent="0.25">
      <c r="A35">
        <v>3.4</v>
      </c>
      <c r="B35" s="2">
        <v>5.09000836870929E-7</v>
      </c>
      <c r="C35" s="2">
        <v>1.52515139797937E-5</v>
      </c>
      <c r="D35" s="2">
        <v>4.5679608958214301E-4</v>
      </c>
      <c r="E35" s="2">
        <v>7.1225926257723199E-3</v>
      </c>
      <c r="F35" s="2">
        <v>5.5704768872064499E-2</v>
      </c>
      <c r="G35" s="2">
        <v>0.326642345095702</v>
      </c>
      <c r="H35" s="2">
        <v>0.79956078271106701</v>
      </c>
      <c r="I35" s="2">
        <v>0.87118299688349699</v>
      </c>
      <c r="J35" s="2">
        <v>0.87118299688349699</v>
      </c>
      <c r="K35" s="2">
        <v>0.87118299688349798</v>
      </c>
    </row>
    <row r="36" spans="1:11" x14ac:dyDescent="0.25">
      <c r="A36">
        <v>3.5</v>
      </c>
      <c r="B36" s="2">
        <v>3.2981396021603203E-7</v>
      </c>
      <c r="C36" s="2">
        <v>1.0921808065438101E-5</v>
      </c>
      <c r="D36" s="2">
        <v>3.6155377752412302E-4</v>
      </c>
      <c r="E36" s="2">
        <v>6.1079935417453499E-3</v>
      </c>
      <c r="F36" s="2">
        <v>5.0853491709353202E-2</v>
      </c>
      <c r="G36" s="2">
        <v>0.31838610731668998</v>
      </c>
      <c r="H36" s="2">
        <v>0.80285225862698695</v>
      </c>
      <c r="I36" s="2">
        <v>0.87817497575757997</v>
      </c>
      <c r="J36" s="2">
        <v>0.87817497575757997</v>
      </c>
      <c r="K36" s="2">
        <v>0.87817497575757997</v>
      </c>
    </row>
    <row r="37" spans="1:11" x14ac:dyDescent="0.25">
      <c r="A37">
        <v>3.6</v>
      </c>
      <c r="B37" s="2">
        <v>2.1370394238019399E-7</v>
      </c>
      <c r="C37" s="2">
        <v>7.8211112977242701E-6</v>
      </c>
      <c r="D37" s="2">
        <v>2.8615917690554601E-4</v>
      </c>
      <c r="E37" s="2">
        <v>5.2369328507391698E-3</v>
      </c>
      <c r="F37" s="2">
        <v>4.6399616904444899E-2</v>
      </c>
      <c r="G37" s="2">
        <v>0.31020985402111301</v>
      </c>
      <c r="H37" s="2">
        <v>0.80607052848108995</v>
      </c>
      <c r="I37" s="2">
        <v>0.88484157007383502</v>
      </c>
      <c r="J37" s="2">
        <v>0.88484157007383502</v>
      </c>
      <c r="K37" s="2">
        <v>0.88484157007383502</v>
      </c>
    </row>
    <row r="38" spans="1:11" x14ac:dyDescent="0.25">
      <c r="A38">
        <v>3.7</v>
      </c>
      <c r="B38" s="2">
        <v>1.3846955533502199E-7</v>
      </c>
      <c r="C38" s="2">
        <v>5.6006717185116203E-6</v>
      </c>
      <c r="D38" s="2">
        <v>2.2648201869515701E-4</v>
      </c>
      <c r="E38" s="2">
        <v>4.4894220492026696E-3</v>
      </c>
      <c r="F38" s="2">
        <v>4.2315767983289697E-2</v>
      </c>
      <c r="G38" s="2">
        <v>0.30212801096059799</v>
      </c>
      <c r="H38" s="2">
        <v>0.80922597027585197</v>
      </c>
      <c r="I38" s="2">
        <v>0.89119075436151396</v>
      </c>
      <c r="J38" s="2">
        <v>0.89119075436151296</v>
      </c>
      <c r="K38" s="2">
        <v>0.89119075436151396</v>
      </c>
    </row>
    <row r="39" spans="1:11" x14ac:dyDescent="0.25">
      <c r="A39">
        <v>3.8</v>
      </c>
      <c r="B39" s="2">
        <v>8.9722103077231502E-8</v>
      </c>
      <c r="C39" s="2">
        <v>4.0106486842640796E-6</v>
      </c>
      <c r="D39" s="2">
        <v>1.7924930985961499E-4</v>
      </c>
      <c r="E39" s="2">
        <v>3.8481690540922999E-3</v>
      </c>
      <c r="F39" s="2">
        <v>3.8575475691768002E-2</v>
      </c>
      <c r="G39" s="2">
        <v>0.29415341802276501</v>
      </c>
      <c r="H39" s="2">
        <v>0.812327695062942</v>
      </c>
      <c r="I39" s="2">
        <v>0.89723125399358195</v>
      </c>
      <c r="J39" s="2">
        <v>0.89723125399358195</v>
      </c>
      <c r="K39" s="2">
        <v>0.89723125399358195</v>
      </c>
    </row>
    <row r="40" spans="1:11" x14ac:dyDescent="0.25">
      <c r="A40">
        <v>3.9</v>
      </c>
      <c r="B40" s="2">
        <v>5.8137036031033201E-8</v>
      </c>
      <c r="C40" s="2">
        <v>2.8720818708821099E-6</v>
      </c>
      <c r="D40" s="2">
        <v>1.4186813453373001E-4</v>
      </c>
      <c r="E40" s="2">
        <v>3.29823659435279E-3</v>
      </c>
      <c r="F40" s="2">
        <v>3.5153341107442601E-2</v>
      </c>
      <c r="G40" s="2">
        <v>0.28629736126979699</v>
      </c>
      <c r="H40" s="2">
        <v>0.81538362789360996</v>
      </c>
      <c r="I40" s="2">
        <v>0.90297240511362797</v>
      </c>
      <c r="J40" s="2">
        <v>0.90297240511362797</v>
      </c>
      <c r="K40" s="2">
        <v>0.90297240511362797</v>
      </c>
    </row>
    <row r="41" spans="1:11" x14ac:dyDescent="0.25">
      <c r="A41">
        <v>4</v>
      </c>
      <c r="B41" s="2">
        <v>3.7672055610864898E-8</v>
      </c>
      <c r="C41" s="2">
        <v>2.0567960177484699E-6</v>
      </c>
      <c r="D41" s="2">
        <v>1.12284854859544E-4</v>
      </c>
      <c r="E41" s="2">
        <v>2.8267384150326398E-3</v>
      </c>
      <c r="F41" s="2">
        <v>3.20251547553781E-2</v>
      </c>
      <c r="G41" s="2">
        <v>0.27856962469702701</v>
      </c>
      <c r="H41" s="2">
        <v>0.81840059134526</v>
      </c>
      <c r="I41" s="2">
        <v>0.908424023886507</v>
      </c>
      <c r="J41" s="2">
        <v>0.908424023886507</v>
      </c>
      <c r="K41" s="2">
        <v>0.908424023886508</v>
      </c>
    </row>
    <row r="42" spans="1:11" x14ac:dyDescent="0.25">
      <c r="A42">
        <v>4.0999999999999996</v>
      </c>
      <c r="B42" s="2">
        <v>2.4412448443499199E-8</v>
      </c>
      <c r="C42" s="2">
        <v>1.4729980565937299E-6</v>
      </c>
      <c r="D42" s="2">
        <v>8.8873304151238498E-5</v>
      </c>
      <c r="E42" s="2">
        <v>2.4225705210480001E-3</v>
      </c>
      <c r="F42" s="2">
        <v>2.9167977434926901E-2</v>
      </c>
      <c r="G42" s="2">
        <v>0.27097856064682102</v>
      </c>
      <c r="H42" s="2">
        <v>0.82138439205841995</v>
      </c>
      <c r="I42" s="2">
        <v>0.91359628440879004</v>
      </c>
      <c r="J42" s="2">
        <v>0.91359628440879004</v>
      </c>
      <c r="K42" s="2">
        <v>0.91359628440879004</v>
      </c>
    </row>
    <row r="43" spans="1:11" x14ac:dyDescent="0.25">
      <c r="A43">
        <v>4.2</v>
      </c>
      <c r="B43" s="2">
        <v>1.58205472585651E-8</v>
      </c>
      <c r="C43" s="2">
        <v>1.0549534141262399E-6</v>
      </c>
      <c r="D43" s="2">
        <v>7.0346038169654293E-5</v>
      </c>
      <c r="E43" s="2">
        <v>2.0761742082215E-3</v>
      </c>
      <c r="F43" s="2">
        <v>2.65601853333833E-2</v>
      </c>
      <c r="G43" s="2">
        <v>0.263531157642374</v>
      </c>
      <c r="H43" s="2">
        <v>0.82433989744233305</v>
      </c>
      <c r="I43" s="2">
        <v>0.91849961466809804</v>
      </c>
      <c r="J43" s="2">
        <v>0.91849961466809804</v>
      </c>
      <c r="K43" s="2">
        <v>0.91849961466809804</v>
      </c>
    </row>
    <row r="44" spans="1:11" x14ac:dyDescent="0.25">
      <c r="A44">
        <v>4.3</v>
      </c>
      <c r="B44" s="2">
        <v>1.0253218381622999E-8</v>
      </c>
      <c r="C44" s="2">
        <v>7.5559339623146699E-7</v>
      </c>
      <c r="D44" s="2">
        <v>5.5683952504538298E-5</v>
      </c>
      <c r="E44" s="2">
        <v>1.77932856620352E-3</v>
      </c>
      <c r="F44" s="2">
        <v>2.4181491924880699E-2</v>
      </c>
      <c r="G44" s="2">
        <v>0.25623314662168201</v>
      </c>
      <c r="H44" s="2">
        <v>0.82727113083014803</v>
      </c>
      <c r="I44" s="2">
        <v>0.92314458808822897</v>
      </c>
      <c r="J44" s="2">
        <v>0.92314458808822897</v>
      </c>
      <c r="K44" s="2">
        <v>0.92314458808822997</v>
      </c>
    </row>
    <row r="45" spans="1:11" x14ac:dyDescent="0.25">
      <c r="A45">
        <v>4.4000000000000004</v>
      </c>
      <c r="B45" s="2">
        <v>6.6455842391103097E-9</v>
      </c>
      <c r="C45" s="2">
        <v>5.4121515010613398E-7</v>
      </c>
      <c r="D45" s="2">
        <v>4.4080451627371397E-5</v>
      </c>
      <c r="E45" s="2">
        <v>1.52496855630728E-3</v>
      </c>
      <c r="F45" s="2">
        <v>2.2012941765858898E-2</v>
      </c>
      <c r="G45" s="2">
        <v>0.249089082409687</v>
      </c>
      <c r="H45" s="2">
        <v>0.83018134440580305</v>
      </c>
      <c r="I45" s="2">
        <v>0.92754184139064899</v>
      </c>
      <c r="J45" s="2">
        <v>0.92754184139064799</v>
      </c>
      <c r="K45" s="2">
        <v>0.92754184139064899</v>
      </c>
    </row>
    <row r="46" spans="1:11" x14ac:dyDescent="0.25">
      <c r="A46">
        <v>4.5</v>
      </c>
      <c r="B46" s="2">
        <v>4.3077169236391902E-9</v>
      </c>
      <c r="C46" s="2">
        <v>3.87687210680389E-7</v>
      </c>
      <c r="D46" s="2">
        <v>3.4897205259006699E-5</v>
      </c>
      <c r="E46" s="2">
        <v>1.3070266088207E-3</v>
      </c>
      <c r="F46" s="2">
        <v>2.0036888350798199E-2</v>
      </c>
      <c r="G46" s="2">
        <v>0.24210244346703999</v>
      </c>
      <c r="H46" s="2">
        <v>0.83307309943901697</v>
      </c>
      <c r="I46" s="2">
        <v>0.93170199504187001</v>
      </c>
      <c r="J46" s="2">
        <v>0.93170199504187001</v>
      </c>
      <c r="K46" s="2">
        <v>0.93170199504187001</v>
      </c>
    </row>
    <row r="47" spans="1:11" x14ac:dyDescent="0.25">
      <c r="A47">
        <v>4.5999999999999996</v>
      </c>
      <c r="B47" s="2">
        <v>2.7935226831853899E-9</v>
      </c>
      <c r="C47" s="2">
        <v>2.7773247408135298E-7</v>
      </c>
      <c r="D47" s="2">
        <v>2.7629090259631101E-5</v>
      </c>
      <c r="E47" s="2">
        <v>1.1202948348728501E-3</v>
      </c>
      <c r="F47" s="2">
        <v>1.8236957318968499E-2</v>
      </c>
      <c r="G47" s="2">
        <v>0.235275731916508</v>
      </c>
      <c r="H47" s="2">
        <v>0.83594834276700802</v>
      </c>
      <c r="I47" s="2">
        <v>0.93563558414909598</v>
      </c>
      <c r="J47" s="2">
        <v>0.93563558414909598</v>
      </c>
      <c r="K47" s="2">
        <v>0.93563558414909598</v>
      </c>
    </row>
    <row r="48" spans="1:11" x14ac:dyDescent="0.25">
      <c r="A48">
        <v>4.7</v>
      </c>
      <c r="B48" s="2">
        <v>1.81156420669759E-9</v>
      </c>
      <c r="C48" s="2">
        <v>1.98978149258146E-7</v>
      </c>
      <c r="D48" s="2">
        <v>2.1876412482104501E-5</v>
      </c>
      <c r="E48" s="2">
        <v>9.6030534087144495E-4</v>
      </c>
      <c r="F48" s="2">
        <v>1.65979971041402E-2</v>
      </c>
      <c r="G48" s="2">
        <v>0.22861055778800399</v>
      </c>
      <c r="H48" s="2">
        <v>0.83880847000360104</v>
      </c>
      <c r="I48" s="2">
        <v>0.93935300564104995</v>
      </c>
      <c r="J48" s="2">
        <v>0.93935300564104995</v>
      </c>
      <c r="K48" s="2">
        <v>0.93935300564104995</v>
      </c>
    </row>
    <row r="49" spans="1:11" x14ac:dyDescent="0.25">
      <c r="A49">
        <v>4.8</v>
      </c>
      <c r="B49" s="2">
        <v>1.1750988880639199E-9</v>
      </c>
      <c r="C49" s="2">
        <v>1.4256752918424999E-7</v>
      </c>
      <c r="D49" s="2">
        <v>1.73229231695128E-5</v>
      </c>
      <c r="E49" s="2">
        <v>8.2322682817657499E-4</v>
      </c>
      <c r="F49" s="2">
        <v>1.5106025267761201E-2</v>
      </c>
      <c r="G49" s="2">
        <v>0.22210775001927599</v>
      </c>
      <c r="H49" s="2">
        <v>0.84165440356534404</v>
      </c>
      <c r="I49" s="2">
        <v>0.94286446073724905</v>
      </c>
      <c r="J49" s="2">
        <v>0.94286446073724794</v>
      </c>
      <c r="K49" s="2">
        <v>0.94286446073724905</v>
      </c>
    </row>
    <row r="50" spans="1:11" x14ac:dyDescent="0.25">
      <c r="A50">
        <v>4.9000000000000004</v>
      </c>
      <c r="B50" s="2">
        <v>7.6253651491831501E-10</v>
      </c>
      <c r="C50" s="2">
        <v>1.0215839753499601E-7</v>
      </c>
      <c r="D50" s="2">
        <v>1.3718399449670701E-5</v>
      </c>
      <c r="E50" s="2">
        <v>7.0577495567175099E-4</v>
      </c>
      <c r="F50" s="2">
        <v>1.3748165997351E-2</v>
      </c>
      <c r="G50" s="2">
        <v>0.215767433256108</v>
      </c>
      <c r="H50" s="2">
        <v>0.84448664671818696</v>
      </c>
      <c r="I50" s="2">
        <v>0.94617991977849203</v>
      </c>
      <c r="J50" s="2">
        <v>0.94617991977849203</v>
      </c>
      <c r="K50" s="2">
        <v>0.94617991977849203</v>
      </c>
    </row>
    <row r="51" spans="1:11" x14ac:dyDescent="0.25">
      <c r="A51">
        <v>5</v>
      </c>
      <c r="B51" s="2">
        <v>4.9508825600058298E-10</v>
      </c>
      <c r="C51" s="2">
        <v>7.3209463810032499E-8</v>
      </c>
      <c r="D51" s="2">
        <v>1.08648624061985E-5</v>
      </c>
      <c r="E51" s="2">
        <v>6.0513509739441103E-4</v>
      </c>
      <c r="F51" s="2">
        <v>1.2512586383126301E-2</v>
      </c>
      <c r="G51" s="2">
        <v>0.20958911526833701</v>
      </c>
      <c r="H51" s="2">
        <v>0.84730534304990701</v>
      </c>
      <c r="I51" s="2">
        <v>0.94930908744070597</v>
      </c>
      <c r="J51" s="2">
        <v>0.94930908744070497</v>
      </c>
      <c r="K51" s="2">
        <v>0.94930908744070597</v>
      </c>
    </row>
    <row r="52" spans="1:11" x14ac:dyDescent="0.25">
      <c r="A52">
        <v>5.0999999999999996</v>
      </c>
      <c r="B52" s="2">
        <v>3.2351609745968402E-10</v>
      </c>
      <c r="C52" s="2">
        <v>5.24706543677048E-8</v>
      </c>
      <c r="D52" s="2">
        <v>8.6056701298036903E-6</v>
      </c>
      <c r="E52" s="2">
        <v>5.1889574992395303E-4</v>
      </c>
      <c r="F52" s="2">
        <v>1.13884311679375E-2</v>
      </c>
      <c r="G52" s="2">
        <v>0.20357176845326599</v>
      </c>
      <c r="H52" s="2">
        <v>0.85011033097597399</v>
      </c>
      <c r="I52" s="2">
        <v>0.95226137518713705</v>
      </c>
      <c r="J52" s="2">
        <v>0.95226137518713705</v>
      </c>
      <c r="K52" s="2">
        <v>0.95226137518713705</v>
      </c>
    </row>
    <row r="53" spans="1:11" x14ac:dyDescent="0.25">
      <c r="A53">
        <v>5.2</v>
      </c>
      <c r="B53" s="2">
        <v>2.11093773172114E-10</v>
      </c>
      <c r="C53" s="2">
        <v>3.7609613506937297E-8</v>
      </c>
      <c r="D53" s="2">
        <v>6.8168769161426001E-6</v>
      </c>
      <c r="E53" s="2">
        <v>4.4499112903607099E-4</v>
      </c>
      <c r="F53" s="2">
        <v>1.0365756342874E-2</v>
      </c>
      <c r="G53" s="2">
        <v>0.1977138919793</v>
      </c>
      <c r="H53" s="2">
        <v>0.85290118525714598</v>
      </c>
      <c r="I53" s="2">
        <v>0.95504588558044801</v>
      </c>
      <c r="J53" s="2">
        <v>0.95504588558044701</v>
      </c>
      <c r="K53" s="2">
        <v>0.95504588558044801</v>
      </c>
    </row>
    <row r="54" spans="1:11" x14ac:dyDescent="0.25">
      <c r="A54">
        <v>5.3</v>
      </c>
      <c r="B54" s="2">
        <v>1.3819541326028601E-10</v>
      </c>
      <c r="C54" s="2">
        <v>2.6960444432509999E-8</v>
      </c>
      <c r="D54" s="2">
        <v>5.4004152309963297E-6</v>
      </c>
      <c r="E54" s="2">
        <v>3.8165194088579099E-4</v>
      </c>
      <c r="F54" s="2">
        <v>9.4354662268125999E-3</v>
      </c>
      <c r="G54" s="2">
        <v>0.19201359582114599</v>
      </c>
      <c r="H54" s="2">
        <v>0.85567727146654404</v>
      </c>
      <c r="I54" s="2">
        <v>0.95767139032525905</v>
      </c>
      <c r="J54" s="2">
        <v>0.95767139032525905</v>
      </c>
      <c r="K54" s="2">
        <v>0.95767139032525905</v>
      </c>
    </row>
    <row r="55" spans="1:11" x14ac:dyDescent="0.25">
      <c r="A55">
        <v>5.4</v>
      </c>
      <c r="B55" s="2">
        <v>9.0921294044325706E-11</v>
      </c>
      <c r="C55" s="2">
        <v>1.93287236281312E-8</v>
      </c>
      <c r="D55" s="2">
        <v>4.2786833699415596E-6</v>
      </c>
      <c r="E55" s="2">
        <v>3.2736293657019199E-4</v>
      </c>
      <c r="F55" s="2">
        <v>8.5892499325307698E-3</v>
      </c>
      <c r="G55" s="2">
        <v>0.18646865039306099</v>
      </c>
      <c r="H55" s="2">
        <v>0.85843777842373004</v>
      </c>
      <c r="I55" s="2">
        <v>0.96014632513702503</v>
      </c>
      <c r="J55" s="2">
        <v>0.96014632513702503</v>
      </c>
      <c r="K55" s="2">
        <v>0.96014632513702503</v>
      </c>
    </row>
    <row r="56" spans="1:11" x14ac:dyDescent="0.25">
      <c r="A56">
        <v>5.5</v>
      </c>
      <c r="B56" s="2">
        <v>6.38994063281289E-11</v>
      </c>
      <c r="C56" s="2">
        <v>1.3862576843708701E-8</v>
      </c>
      <c r="D56" s="2">
        <v>3.3902761748883802E-6</v>
      </c>
      <c r="E56" s="2">
        <v>2.8082655136071899E-4</v>
      </c>
      <c r="F56" s="2">
        <v>7.8195217843883991E-3</v>
      </c>
      <c r="G56" s="2">
        <v>0.18107654777476001</v>
      </c>
      <c r="H56" s="2">
        <v>0.86118175739519698</v>
      </c>
      <c r="I56" s="2">
        <v>0.96247878147878096</v>
      </c>
      <c r="J56" s="2">
        <v>0.96247878147878096</v>
      </c>
      <c r="K56" s="2">
        <v>0.96247878147878096</v>
      </c>
    </row>
    <row r="57" spans="1:11" x14ac:dyDescent="0.25">
      <c r="A57">
        <v>5.6</v>
      </c>
      <c r="B57" s="2">
        <v>4.4012889051289701E-11</v>
      </c>
      <c r="C57" s="2">
        <v>9.9419122476796905E-9</v>
      </c>
      <c r="D57" s="2">
        <v>2.6865880859191799E-6</v>
      </c>
      <c r="E57" s="2">
        <v>2.4093163100491699E-4</v>
      </c>
      <c r="F57" s="2">
        <v>7.1193633581781201E-3</v>
      </c>
      <c r="G57" s="2">
        <v>0.17583453993708301</v>
      </c>
      <c r="H57" s="2">
        <v>0.86390814696166496</v>
      </c>
      <c r="I57" s="2">
        <v>0.96467650875713995</v>
      </c>
      <c r="J57" s="2">
        <v>0.96467650875713895</v>
      </c>
      <c r="K57" s="2">
        <v>0.96467650875713995</v>
      </c>
    </row>
    <row r="58" spans="1:11" x14ac:dyDescent="0.25">
      <c r="A58">
        <v>5.7</v>
      </c>
      <c r="B58" s="2">
        <v>3.1112910338353902E-11</v>
      </c>
      <c r="C58" s="2">
        <v>7.1313640146788797E-9</v>
      </c>
      <c r="D58" s="2">
        <v>2.1291604396979099E-6</v>
      </c>
      <c r="E58" s="2">
        <v>2.06726730495289E-4</v>
      </c>
      <c r="F58" s="2">
        <v>6.4824706800427996E-3</v>
      </c>
      <c r="G58" s="2">
        <v>0.17073970111449099</v>
      </c>
      <c r="H58" s="2">
        <v>0.866615811991026</v>
      </c>
      <c r="I58" s="2">
        <v>0.96674690803621899</v>
      </c>
      <c r="J58" s="2">
        <v>0.96674690803621899</v>
      </c>
      <c r="K58" s="2">
        <v>0.96674690803621899</v>
      </c>
    </row>
    <row r="59" spans="1:11" x14ac:dyDescent="0.25">
      <c r="A59">
        <v>5.8</v>
      </c>
      <c r="B59" s="2">
        <v>2.2744149716953E-11</v>
      </c>
      <c r="C59" s="2">
        <v>5.1164129757326403E-9</v>
      </c>
      <c r="D59" s="2">
        <v>1.68755014537598E-6</v>
      </c>
      <c r="E59" s="2">
        <v>1.77397108089987E-4</v>
      </c>
      <c r="F59" s="2">
        <v>5.9031026017994101E-3</v>
      </c>
      <c r="G59" s="2">
        <v>0.16578895501297</v>
      </c>
      <c r="H59" s="2">
        <v>0.86930356112261098</v>
      </c>
      <c r="I59" s="2">
        <v>0.96869704013329305</v>
      </c>
      <c r="J59" s="2">
        <v>0.96869704013329305</v>
      </c>
      <c r="K59" s="2">
        <v>0.96869704013329305</v>
      </c>
    </row>
    <row r="60" spans="1:11" x14ac:dyDescent="0.25">
      <c r="A60">
        <v>5.9</v>
      </c>
      <c r="B60" s="2">
        <v>1.7314459142742001E-11</v>
      </c>
      <c r="C60" s="2">
        <v>3.6717051233701999E-9</v>
      </c>
      <c r="D60" s="2">
        <v>1.3376594353827899E-6</v>
      </c>
      <c r="E60" s="2">
        <v>1.52245072684543E-4</v>
      </c>
      <c r="F60" s="2">
        <v>5.3760335884193797E-3</v>
      </c>
      <c r="G60" s="2">
        <v>0.16097911281381599</v>
      </c>
      <c r="H60" s="2">
        <v>0.87197017047322101</v>
      </c>
      <c r="I60" s="2">
        <v>0.97053362974242596</v>
      </c>
      <c r="J60" s="2">
        <v>0.97053362974242496</v>
      </c>
      <c r="K60" s="2">
        <v>0.97053362974242596</v>
      </c>
    </row>
    <row r="61" spans="1:11" x14ac:dyDescent="0.25">
      <c r="A61">
        <v>6</v>
      </c>
      <c r="B61" s="2">
        <v>2.1067271796583799E-11</v>
      </c>
      <c r="C61" s="2">
        <v>2.6430343478273E-9</v>
      </c>
      <c r="D61" s="2">
        <v>1.06041892674363E-6</v>
      </c>
      <c r="E61" s="2">
        <v>1.3067315058757199E-4</v>
      </c>
      <c r="F61" s="2">
        <v>4.8965097288343803E-3</v>
      </c>
      <c r="G61" s="2">
        <v>0.15630690648640799</v>
      </c>
      <c r="H61" s="2">
        <v>0.87461440412565805</v>
      </c>
      <c r="I61" s="2">
        <v>0.97226307155765002</v>
      </c>
      <c r="J61" s="2">
        <v>0.97226307155765002</v>
      </c>
      <c r="K61" s="2">
        <v>0.97226307155765002</v>
      </c>
    </row>
    <row r="62" spans="1:11" x14ac:dyDescent="0.25">
      <c r="A62">
        <v>6.1</v>
      </c>
      <c r="B62" s="2">
        <v>1.8781003628387801E-11</v>
      </c>
      <c r="C62" s="2">
        <v>1.9001238351961399E-9</v>
      </c>
      <c r="D62" s="2">
        <v>8.4071073829645004E-7</v>
      </c>
      <c r="E62" s="2">
        <v>1.1216961203085901E-4</v>
      </c>
      <c r="F62" s="2">
        <v>4.4602072316898399E-3</v>
      </c>
      <c r="G62" s="2">
        <v>0.15176900407452101</v>
      </c>
      <c r="H62" s="2">
        <v>0.877235024131782</v>
      </c>
      <c r="I62" s="2">
        <v>0.97389144276527295</v>
      </c>
      <c r="J62" s="2">
        <v>0.97389144276527295</v>
      </c>
      <c r="K62" s="2">
        <v>0.97389144276527295</v>
      </c>
    </row>
    <row r="63" spans="1:11" x14ac:dyDescent="0.25">
      <c r="A63">
        <v>6.2</v>
      </c>
      <c r="B63" s="2">
        <v>1.7297241053910099E-11</v>
      </c>
      <c r="C63" s="2">
        <v>1.3673085814271E-9</v>
      </c>
      <c r="D63" s="2">
        <v>6.6658365860394795E-7</v>
      </c>
      <c r="E63" s="2">
        <v>9.6296196521721003E-5</v>
      </c>
      <c r="F63" s="2">
        <v>4.0631955770469904E-3</v>
      </c>
      <c r="G63" s="2">
        <v>0.14736205023447399</v>
      </c>
      <c r="H63" s="2">
        <v>0.879830814302206</v>
      </c>
      <c r="I63" s="2">
        <v>0.97542450637631894</v>
      </c>
      <c r="J63" s="2">
        <v>0.97542450637631894</v>
      </c>
      <c r="K63" s="2">
        <v>0.97542450637631894</v>
      </c>
    </row>
    <row r="64" spans="1:11" x14ac:dyDescent="0.25">
      <c r="A64">
        <v>6.3</v>
      </c>
      <c r="B64" s="2">
        <v>1.6334206905553899E-11</v>
      </c>
      <c r="C64" s="2">
        <v>9.8513789733536993E-10</v>
      </c>
      <c r="D64" s="2">
        <v>5.2856813527647297E-7</v>
      </c>
      <c r="E64" s="2">
        <v>8.2677490948873902E-5</v>
      </c>
      <c r="F64" s="2">
        <v>3.7019020618848401E-3</v>
      </c>
      <c r="G64" s="2">
        <v>0.14308267410893499</v>
      </c>
      <c r="H64" s="2">
        <v>0.88240058529117704</v>
      </c>
      <c r="I64" s="2">
        <v>0.97686772587113402</v>
      </c>
      <c r="J64" s="2">
        <v>0.97686772587113402</v>
      </c>
      <c r="K64" s="2">
        <v>0.97686772587113402</v>
      </c>
    </row>
    <row r="65" spans="1:11" x14ac:dyDescent="0.25">
      <c r="A65">
        <v>6.4</v>
      </c>
      <c r="B65" s="2">
        <v>1.5709094241242399E-11</v>
      </c>
      <c r="C65" s="2">
        <v>7.1099436157302096E-10</v>
      </c>
      <c r="D65" s="2">
        <v>4.19164807016019E-7</v>
      </c>
      <c r="E65" s="2">
        <v>7.0991895234600398E-5</v>
      </c>
      <c r="F65" s="2">
        <v>3.3730799883116302E-3</v>
      </c>
      <c r="G65" s="2">
        <v>0.138927509382471</v>
      </c>
      <c r="H65" s="2">
        <v>0.88494318624971302</v>
      </c>
      <c r="I65" s="2">
        <v>0.97822627503579496</v>
      </c>
      <c r="J65" s="2">
        <v>0.97822627503579496</v>
      </c>
      <c r="K65" s="2">
        <v>0.97822627503579496</v>
      </c>
    </row>
    <row r="66" spans="1:11" x14ac:dyDescent="0.25">
      <c r="A66">
        <v>6.5</v>
      </c>
      <c r="B66" s="2">
        <v>1.5303292907236699E-11</v>
      </c>
      <c r="C66" s="2">
        <v>5.1432449133555598E-10</v>
      </c>
      <c r="D66" s="2">
        <v>3.3243398900126699E-7</v>
      </c>
      <c r="E66" s="2">
        <v>6.0963879400878397E-5</v>
      </c>
      <c r="F66" s="2">
        <v>3.07377933769296E-3</v>
      </c>
      <c r="G66" s="2">
        <v>0.13489320867941301</v>
      </c>
      <c r="H66" s="2">
        <v>0.88745751300084297</v>
      </c>
      <c r="I66" s="2">
        <v>0.97950504929895099</v>
      </c>
      <c r="J66" s="2">
        <v>0.97950504929895099</v>
      </c>
      <c r="K66" s="2">
        <v>0.97950504929895199</v>
      </c>
    </row>
    <row r="67" spans="1:11" x14ac:dyDescent="0.25">
      <c r="A67">
        <v>6.6</v>
      </c>
      <c r="B67" s="2">
        <v>2.95917532094143E-11</v>
      </c>
      <c r="C67" s="2">
        <v>3.8777349854546599E-10</v>
      </c>
      <c r="D67" s="2">
        <v>2.6368538194926302E-7</v>
      </c>
      <c r="E67" s="2">
        <v>5.23573743719554E-5</v>
      </c>
      <c r="F67" s="2">
        <v>2.8013200392312601E-3</v>
      </c>
      <c r="G67" s="2">
        <v>0.13097645830228399</v>
      </c>
      <c r="H67" s="2">
        <v>0.88994251595664098</v>
      </c>
      <c r="I67" s="2">
        <v>0.98070867647469395</v>
      </c>
      <c r="J67" s="2">
        <v>0.98070867647469395</v>
      </c>
      <c r="K67" s="2">
        <v>0.98070867647469395</v>
      </c>
    </row>
    <row r="68" spans="1:11" x14ac:dyDescent="0.25">
      <c r="A68">
        <v>6.7</v>
      </c>
      <c r="B68" s="2">
        <v>2.9420698074048403E-11</v>
      </c>
      <c r="C68" s="2">
        <v>2.8652892850396102E-10</v>
      </c>
      <c r="D68" s="2">
        <v>2.0916270934520101E-7</v>
      </c>
      <c r="E68" s="2">
        <v>4.4970033127813397E-5</v>
      </c>
      <c r="F68" s="2">
        <v>2.55326698531719E-3</v>
      </c>
      <c r="G68" s="2">
        <v>0.127173977590325</v>
      </c>
      <c r="H68" s="2">
        <v>0.89239720007650902</v>
      </c>
      <c r="I68" s="2">
        <v>0.98184153178775102</v>
      </c>
      <c r="J68" s="2">
        <v>0.98184153178775102</v>
      </c>
      <c r="K68" s="2">
        <v>0.98184153178775202</v>
      </c>
    </row>
    <row r="69" spans="1:11" x14ac:dyDescent="0.25">
      <c r="A69">
        <v>6.8</v>
      </c>
      <c r="B69" s="2">
        <v>2.9309626805881401E-11</v>
      </c>
      <c r="C69" s="2">
        <v>2.1387752513639901E-10</v>
      </c>
      <c r="D69" s="2">
        <v>1.6592763767507799E-7</v>
      </c>
      <c r="E69" s="2">
        <v>3.8628481498135298E-5</v>
      </c>
      <c r="F69" s="2">
        <v>2.3274083479275999E-3</v>
      </c>
      <c r="G69" s="2">
        <v>0.12348254373076099</v>
      </c>
      <c r="H69" s="2">
        <v>0.89482063709084303</v>
      </c>
      <c r="I69" s="2">
        <v>0.98290774429490901</v>
      </c>
      <c r="J69" s="2">
        <v>0.98290774429490901</v>
      </c>
      <c r="K69" s="2">
        <v>0.98290774429490901</v>
      </c>
    </row>
    <row r="70" spans="1:11" x14ac:dyDescent="0.25">
      <c r="A70">
        <v>6.9</v>
      </c>
      <c r="B70" s="2">
        <v>2.9237499077226401E-11</v>
      </c>
      <c r="C70" s="2">
        <v>1.6173982282384799E-10</v>
      </c>
      <c r="D70" s="2">
        <v>1.3164042813137801E-7</v>
      </c>
      <c r="E70" s="2">
        <v>3.3184095911818397E-5</v>
      </c>
      <c r="F70" s="2">
        <v>2.1217346858855902E-3</v>
      </c>
      <c r="G70" s="2">
        <v>0.119898987254066</v>
      </c>
      <c r="H70" s="2">
        <v>0.89721196284442695</v>
      </c>
      <c r="I70" s="2">
        <v>0.98391121196740905</v>
      </c>
      <c r="J70" s="2">
        <v>0.98391121196740905</v>
      </c>
      <c r="K70" s="2">
        <v>0.98391121196740905</v>
      </c>
    </row>
    <row r="71" spans="1:11" x14ac:dyDescent="0.25">
      <c r="A71">
        <v>7</v>
      </c>
      <c r="B71" s="2">
        <v>2.9190656941479598E-11</v>
      </c>
      <c r="C71" s="2">
        <v>1.2432063264981101E-10</v>
      </c>
      <c r="D71" s="2">
        <v>1.0444699546170899E-7</v>
      </c>
      <c r="E71" s="2">
        <v>2.85094667960119E-5</v>
      </c>
      <c r="F71" s="2">
        <v>1.93442048504951E-3</v>
      </c>
      <c r="G71" s="2">
        <v>0.11642020033757899</v>
      </c>
      <c r="H71" s="2">
        <v>0.89957038078346097</v>
      </c>
      <c r="I71" s="2">
        <v>0.98485561207772898</v>
      </c>
      <c r="J71" s="2">
        <v>0.98485561207772898</v>
      </c>
      <c r="K71" s="2">
        <v>0.98485561207772898</v>
      </c>
    </row>
    <row r="72" spans="1:11" x14ac:dyDescent="0.25">
      <c r="A72">
        <v>7.1</v>
      </c>
      <c r="B72" s="2">
        <v>2.91602338040398E-11</v>
      </c>
      <c r="C72" s="2">
        <v>9.7462830278154406E-11</v>
      </c>
      <c r="D72" s="2">
        <v>8.2877954000960404E-8</v>
      </c>
      <c r="E72" s="2">
        <v>2.4495356600033998E-5</v>
      </c>
      <c r="F72" s="2">
        <v>1.7638072465248999E-3</v>
      </c>
      <c r="G72" s="2">
        <v>0.113043141039454</v>
      </c>
      <c r="H72" s="2">
        <v>0.90189516317221496</v>
      </c>
      <c r="I72" s="2">
        <v>0.985744412252336</v>
      </c>
      <c r="J72" s="2">
        <v>0.985744412252336</v>
      </c>
      <c r="K72" s="2">
        <v>0.985744412252336</v>
      </c>
    </row>
    <row r="73" spans="1:11" x14ac:dyDescent="0.25">
      <c r="A73">
        <v>7.2</v>
      </c>
      <c r="B73" s="2">
        <v>2.9140473066630197E-11</v>
      </c>
      <c r="C73" s="2">
        <v>7.8184069437421598E-11</v>
      </c>
      <c r="D73" s="2">
        <v>6.5768681526529794E-8</v>
      </c>
      <c r="E73" s="2">
        <v>2.1048095949005599E-5</v>
      </c>
      <c r="F73" s="2">
        <v>1.60838810867503E-3</v>
      </c>
      <c r="G73" s="2">
        <v>0.109764836515735</v>
      </c>
      <c r="H73" s="2">
        <v>0.90418565160226805</v>
      </c>
      <c r="I73" s="2">
        <v>0.98658088121966403</v>
      </c>
      <c r="J73" s="2">
        <v>0.98658088121966403</v>
      </c>
      <c r="K73" s="2">
        <v>0.98658088121966403</v>
      </c>
    </row>
    <row r="74" spans="1:11" x14ac:dyDescent="0.25">
      <c r="A74">
        <v>7.3</v>
      </c>
      <c r="B74" s="2">
        <v>5.8231467425760604E-11</v>
      </c>
      <c r="C74" s="2">
        <v>9.3448439335850097E-11</v>
      </c>
      <c r="D74" s="2">
        <v>5.2225126688003901E-8</v>
      </c>
      <c r="E74" s="2">
        <v>1.80873849927583E-5</v>
      </c>
      <c r="F74" s="2">
        <v>1.46679396980239E-3</v>
      </c>
      <c r="G74" s="2">
        <v>0.10658238792897901</v>
      </c>
      <c r="H74" s="2">
        <v>0.90644125789329899</v>
      </c>
      <c r="I74" s="2">
        <v>0.98736809852673002</v>
      </c>
      <c r="J74" s="2">
        <v>0.98736809852673002</v>
      </c>
      <c r="K74" s="2">
        <v>0.98736809852673102</v>
      </c>
    </row>
    <row r="75" spans="1:11" x14ac:dyDescent="0.25">
      <c r="A75">
        <v>7.4</v>
      </c>
      <c r="B75" s="2">
        <v>5.8223128832705394E-11</v>
      </c>
      <c r="C75" s="2">
        <v>8.3512935950597794E-11</v>
      </c>
      <c r="D75" s="2">
        <v>4.1457241905563903E-8</v>
      </c>
      <c r="E75" s="2">
        <v>1.5544263285187101E-5</v>
      </c>
      <c r="F75" s="2">
        <v>1.3377803953108999E-3</v>
      </c>
      <c r="G75" s="2">
        <v>0.10349296158516599</v>
      </c>
      <c r="H75" s="2">
        <v>0.90866145936031295</v>
      </c>
      <c r="I75" s="2">
        <v>0.98810896740653398</v>
      </c>
      <c r="J75" s="2">
        <v>0.98810896740653398</v>
      </c>
      <c r="K75" s="2">
        <v>0.98810896740653398</v>
      </c>
    </row>
    <row r="76" spans="1:11" x14ac:dyDescent="0.25">
      <c r="A76">
        <v>7.5</v>
      </c>
      <c r="B76" s="2">
        <v>5.8217711554780095E-11</v>
      </c>
      <c r="C76" s="2">
        <v>7.6379646698941097E-11</v>
      </c>
      <c r="D76" s="2">
        <v>3.2913927637021298E-8</v>
      </c>
      <c r="E76" s="2">
        <v>1.3359658656963801E-5</v>
      </c>
      <c r="F76" s="2">
        <v>1.2202167027154599E-3</v>
      </c>
      <c r="G76" s="2">
        <v>0.10049380588135</v>
      </c>
      <c r="H76" s="2">
        <v>0.910845804099776</v>
      </c>
      <c r="I76" s="2">
        <v>0.98880622008592201</v>
      </c>
      <c r="J76" s="2">
        <v>0.98880622008592201</v>
      </c>
      <c r="K76" s="2">
        <v>0.98880622008592201</v>
      </c>
    </row>
    <row r="77" spans="1:11" x14ac:dyDescent="0.25">
      <c r="A77">
        <v>7.6</v>
      </c>
      <c r="B77" s="2">
        <v>5.8214191924216195E-11</v>
      </c>
      <c r="C77" s="2">
        <v>7.1257899782389005E-11</v>
      </c>
      <c r="D77" s="2">
        <v>2.6135140719239899E-8</v>
      </c>
      <c r="E77" s="2">
        <v>1.14828656972701E-5</v>
      </c>
      <c r="F77" s="2">
        <v>1.1130750833923001E-3</v>
      </c>
      <c r="G77" s="2">
        <v>9.7582240841063497E-2</v>
      </c>
      <c r="H77" s="2">
        <v>0.91299390519835599</v>
      </c>
      <c r="I77" s="2">
        <v>0.98946243001713396</v>
      </c>
      <c r="J77" s="2">
        <v>0.98946243001713396</v>
      </c>
      <c r="K77" s="2">
        <v>0.98946243001713396</v>
      </c>
    </row>
    <row r="78" spans="1:11" x14ac:dyDescent="0.25">
      <c r="A78">
        <v>7.7</v>
      </c>
      <c r="B78" s="2">
        <v>5.8211905063947E-11</v>
      </c>
      <c r="C78" s="2">
        <v>6.7580222102389295E-11</v>
      </c>
      <c r="D78" s="2">
        <v>2.075608391309E-8</v>
      </c>
      <c r="E78" s="2">
        <v>9.8703778950160508E-6</v>
      </c>
      <c r="F78" s="2">
        <v>1.01542121565507E-3</v>
      </c>
      <c r="G78" s="2">
        <v>9.4755660855326898E-2</v>
      </c>
      <c r="H78" s="2">
        <v>0.91510544011930794</v>
      </c>
      <c r="I78" s="2">
        <v>0.99008001996891604</v>
      </c>
      <c r="J78" s="2">
        <v>0.99008001996891604</v>
      </c>
      <c r="K78" s="2">
        <v>0.99008001996891604</v>
      </c>
    </row>
    <row r="79" spans="1:11" x14ac:dyDescent="0.25">
      <c r="A79">
        <v>7.8</v>
      </c>
      <c r="B79" s="2">
        <v>5.8210419101838394E-11</v>
      </c>
      <c r="C79" s="2">
        <v>6.4939300906280205E-11</v>
      </c>
      <c r="D79" s="2">
        <v>1.6487461270210699E-8</v>
      </c>
      <c r="E79" s="2">
        <v>8.4848610460547507E-6</v>
      </c>
      <c r="F79" s="2">
        <v>9.2640565130313701E-4</v>
      </c>
      <c r="G79" s="2">
        <v>9.2011534264672803E-2</v>
      </c>
      <c r="H79" s="2">
        <v>0.91718014871268905</v>
      </c>
      <c r="I79" s="2">
        <v>0.99066127047859198</v>
      </c>
      <c r="J79" s="2">
        <v>0.99066127047859198</v>
      </c>
      <c r="K79" s="2">
        <v>0.99066127047859198</v>
      </c>
    </row>
    <row r="80" spans="1:11" x14ac:dyDescent="0.25">
      <c r="A80">
        <v>7.9</v>
      </c>
      <c r="B80" s="2">
        <v>5.8209453494884802E-11</v>
      </c>
      <c r="C80" s="2">
        <v>6.3042759092550298E-11</v>
      </c>
      <c r="D80" s="2">
        <v>1.3099832364769901E-8</v>
      </c>
      <c r="E80" s="2">
        <v>7.2942737713613599E-6</v>
      </c>
      <c r="F80" s="2">
        <v>8.4525600179528198E-4</v>
      </c>
      <c r="G80" s="2">
        <v>8.9347402626702196E-2</v>
      </c>
      <c r="H80" s="2">
        <v>0.91921783102385402</v>
      </c>
      <c r="I80" s="2">
        <v>0.99120832790370705</v>
      </c>
      <c r="J80" s="2">
        <v>0.99120832790370705</v>
      </c>
      <c r="K80" s="2">
        <v>0.99120832790370705</v>
      </c>
    </row>
    <row r="81" spans="1:11" x14ac:dyDescent="0.25">
      <c r="A81">
        <v>8</v>
      </c>
      <c r="B81" s="2">
        <v>5.8208825990765904E-11</v>
      </c>
      <c r="C81" s="2">
        <v>6.1680707391783694E-11</v>
      </c>
      <c r="D81" s="2">
        <v>1.0411213192664499E-8</v>
      </c>
      <c r="E81" s="2">
        <v>6.2711139591724003E-6</v>
      </c>
      <c r="F81" s="2">
        <v>7.7126985043400001E-4</v>
      </c>
      <c r="G81" s="2">
        <v>8.6760879725756995E-2</v>
      </c>
      <c r="H81" s="2">
        <v>0.92121834494386701</v>
      </c>
      <c r="I81" s="2">
        <v>0.99172321207921299</v>
      </c>
      <c r="J81" s="2">
        <v>0.99172321207921199</v>
      </c>
      <c r="K81" s="2">
        <v>0.99172321207921299</v>
      </c>
    </row>
    <row r="82" spans="1:11" x14ac:dyDescent="0.25">
      <c r="A82">
        <v>8.1</v>
      </c>
      <c r="B82" s="2">
        <v>5.8208418183135697E-11</v>
      </c>
      <c r="C82" s="2">
        <v>6.0702461660057106E-11</v>
      </c>
      <c r="D82" s="2">
        <v>8.2772490072121003E-9</v>
      </c>
      <c r="E82" s="2">
        <v>5.3917730095070699E-6</v>
      </c>
      <c r="F82" s="2">
        <v>7.0380832340022597E-4</v>
      </c>
      <c r="G82" s="2">
        <v>8.4249650373503904E-2</v>
      </c>
      <c r="H82" s="2">
        <v>0.92318160374015001</v>
      </c>
      <c r="I82" s="2">
        <v>0.99220782358860704</v>
      </c>
      <c r="J82" s="2">
        <v>0.99220782358860704</v>
      </c>
      <c r="K82" s="2">
        <v>0.99220782358860704</v>
      </c>
    </row>
    <row r="83" spans="1:11" x14ac:dyDescent="0.25">
      <c r="A83">
        <v>8.1999999999999993</v>
      </c>
      <c r="B83" s="2">
        <v>1.16415814054067E-10</v>
      </c>
      <c r="C83" s="2">
        <v>1.1820749635441799E-10</v>
      </c>
      <c r="D83" s="2">
        <v>6.6416336758892501E-9</v>
      </c>
      <c r="E83" s="2">
        <v>4.6360412373765101E-6</v>
      </c>
      <c r="F83" s="2">
        <v>6.4229036712059901E-4</v>
      </c>
      <c r="G83" s="2">
        <v>8.1811471624558194E-2</v>
      </c>
      <c r="H83" s="2">
        <v>0.92510757413003597</v>
      </c>
      <c r="I83" s="2">
        <v>0.99266395009192299</v>
      </c>
      <c r="J83" s="2">
        <v>0.99266395009192299</v>
      </c>
      <c r="K83" s="2">
        <v>0.99266395009192299</v>
      </c>
    </row>
    <row r="84" spans="1:11" x14ac:dyDescent="0.25">
      <c r="A84">
        <v>8.3000000000000007</v>
      </c>
      <c r="B84" s="2">
        <v>1.1641564178914001E-10</v>
      </c>
      <c r="C84" s="2">
        <v>1.17702808909505E-10</v>
      </c>
      <c r="D84" s="2">
        <v>5.2970990239465102E-9</v>
      </c>
      <c r="E84" s="2">
        <v>3.9863979506784497E-6</v>
      </c>
      <c r="F84" s="2">
        <v>5.8618702006225996E-4</v>
      </c>
      <c r="G84" s="2">
        <v>7.9444160810041201E-2</v>
      </c>
      <c r="H84" s="2">
        <v>0.92699627107910398</v>
      </c>
      <c r="I84" s="2">
        <v>0.99309327516948598</v>
      </c>
      <c r="J84" s="2">
        <v>0.99309327516948598</v>
      </c>
      <c r="K84" s="2">
        <v>0.99309327516948598</v>
      </c>
    </row>
    <row r="85" spans="1:11" x14ac:dyDescent="0.25">
      <c r="A85">
        <v>8.4</v>
      </c>
      <c r="B85" s="2">
        <v>1.16415529820165E-10</v>
      </c>
      <c r="C85" s="2">
        <v>1.1734028160438699E-10</v>
      </c>
      <c r="D85" s="2">
        <v>4.2297731741740897E-9</v>
      </c>
      <c r="E85" s="2">
        <v>3.42795812175856E-6</v>
      </c>
      <c r="F85" s="2">
        <v>5.3501727997500904E-4</v>
      </c>
      <c r="G85" s="2">
        <v>7.71456098692931E-2</v>
      </c>
      <c r="H85" s="2">
        <v>0.92884775915663698</v>
      </c>
      <c r="I85" s="2">
        <v>0.99349738096499396</v>
      </c>
      <c r="J85" s="2">
        <v>0.99349738096499396</v>
      </c>
      <c r="K85" s="2">
        <v>0.99349738096499396</v>
      </c>
    </row>
    <row r="86" spans="1:11" x14ac:dyDescent="0.25">
      <c r="A86">
        <v>8.5</v>
      </c>
      <c r="B86" s="2">
        <v>1.16415457039265E-10</v>
      </c>
      <c r="C86" s="2">
        <v>1.17079859171551E-10</v>
      </c>
      <c r="D86" s="2">
        <v>3.3824627456970602E-9</v>
      </c>
      <c r="E86" s="2">
        <v>2.9478879646243401E-6</v>
      </c>
      <c r="F86" s="2">
        <v>4.8834330301823303E-4</v>
      </c>
      <c r="G86" s="2">
        <v>7.4913772901730999E-2</v>
      </c>
      <c r="H86" s="2">
        <v>0.93066214713209405</v>
      </c>
      <c r="I86" s="2">
        <v>0.993877756434832</v>
      </c>
      <c r="J86" s="2">
        <v>0.993877756434832</v>
      </c>
      <c r="K86" s="2">
        <v>0.993877756434832</v>
      </c>
    </row>
    <row r="87" spans="1:11" x14ac:dyDescent="0.25">
      <c r="A87">
        <v>8.6</v>
      </c>
      <c r="B87" s="2">
        <v>1.1641540972902199E-10</v>
      </c>
      <c r="C87" s="2">
        <v>1.1689277603983001E-10</v>
      </c>
      <c r="D87" s="2">
        <v>2.7097840700087398E-9</v>
      </c>
      <c r="E87" s="2">
        <v>2.53516482687854E-6</v>
      </c>
      <c r="F87" s="2">
        <v>4.4576656840486999E-4</v>
      </c>
      <c r="G87" s="2">
        <v>7.2746667182693195E-2</v>
      </c>
      <c r="H87" s="2">
        <v>0.93243958604003596</v>
      </c>
      <c r="I87" s="2">
        <v>0.99423580225174601</v>
      </c>
      <c r="J87" s="2">
        <v>0.99423580225174601</v>
      </c>
      <c r="K87" s="2">
        <v>0.99423580225174601</v>
      </c>
    </row>
    <row r="88" spans="1:11" x14ac:dyDescent="0.25">
      <c r="A88">
        <v>8.6999999999999993</v>
      </c>
      <c r="B88" s="2">
        <v>1.16415378974419E-10</v>
      </c>
      <c r="C88" s="2">
        <v>1.1675837315496901E-10</v>
      </c>
      <c r="D88" s="2">
        <v>2.1757223257914199E-9</v>
      </c>
      <c r="E88" s="2">
        <v>2.18032069768199E-6</v>
      </c>
      <c r="F88" s="2">
        <v>4.0692429546975697E-4</v>
      </c>
      <c r="G88" s="2">
        <v>7.06423714102795E-2</v>
      </c>
      <c r="H88" s="2">
        <v>0.93418026656028896</v>
      </c>
      <c r="I88" s="2">
        <v>0.99457283601390301</v>
      </c>
      <c r="J88" s="2">
        <v>0.99457283601390301</v>
      </c>
      <c r="K88" s="2">
        <v>0.99457283601390301</v>
      </c>
    </row>
    <row r="89" spans="1:11" x14ac:dyDescent="0.25">
      <c r="A89">
        <v>8.8000000000000007</v>
      </c>
      <c r="B89" s="2">
        <v>1.16415358981257E-10</v>
      </c>
      <c r="C89" s="2">
        <v>1.1666181266836899E-10</v>
      </c>
      <c r="D89" s="2">
        <v>1.75169570654213E-9</v>
      </c>
      <c r="E89" s="2">
        <v>1.8752221925425101E-6</v>
      </c>
      <c r="F89" s="2">
        <v>3.7148619230373698E-4</v>
      </c>
      <c r="G89" s="2">
        <v>6.8599023936097306E-2</v>
      </c>
      <c r="H89" s="2">
        <v>0.93588441643676201</v>
      </c>
      <c r="I89" s="2">
        <v>0.99489009715862697</v>
      </c>
      <c r="J89" s="2">
        <v>0.99489009715862697</v>
      </c>
      <c r="K89" s="2">
        <v>0.99489009715862697</v>
      </c>
    </row>
    <row r="90" spans="1:11" x14ac:dyDescent="0.25">
      <c r="A90">
        <v>8.9</v>
      </c>
      <c r="B90" s="2">
        <v>1.1641534598350001E-10</v>
      </c>
      <c r="C90" s="2">
        <v>1.1659243712478E-10</v>
      </c>
      <c r="D90" s="2">
        <v>1.4150199973235601E-9</v>
      </c>
      <c r="E90" s="2">
        <v>1.61288180224534E-6</v>
      </c>
      <c r="F90" s="2">
        <v>3.3915150486751899E-4</v>
      </c>
      <c r="G90" s="2">
        <v>6.6614820993203705E-2</v>
      </c>
      <c r="H90" s="2">
        <v>0.93755229794635897</v>
      </c>
      <c r="I90" s="2">
        <v>0.99518875159498699</v>
      </c>
      <c r="J90" s="2">
        <v>0.99518875159498699</v>
      </c>
      <c r="K90" s="2">
        <v>0.99518875159498699</v>
      </c>
    </row>
    <row r="91" spans="1:11" x14ac:dyDescent="0.25">
      <c r="A91">
        <v>9</v>
      </c>
      <c r="B91" s="2">
        <v>1.1641533753323701E-10</v>
      </c>
      <c r="C91" s="2">
        <v>1.16542591312155E-10</v>
      </c>
      <c r="D91" s="2">
        <v>1.14769064091797E-9</v>
      </c>
      <c r="E91" s="2">
        <v>1.3872959421528199E-6</v>
      </c>
      <c r="F91" s="2">
        <v>3.0964633842268702E-4</v>
      </c>
      <c r="G91" s="2">
        <v>6.4688014932258106E-2</v>
      </c>
      <c r="H91" s="2">
        <v>0.93918420542741399</v>
      </c>
      <c r="I91" s="2">
        <v>0.99546989606917902</v>
      </c>
      <c r="J91" s="2">
        <v>0.99546989606917902</v>
      </c>
      <c r="K91" s="2">
        <v>0.99546989606917902</v>
      </c>
    </row>
    <row r="92" spans="1:11" x14ac:dyDescent="0.25">
      <c r="A92">
        <v>9.1</v>
      </c>
      <c r="B92" s="2">
        <v>1.1641533203926801E-10</v>
      </c>
      <c r="C92" s="2">
        <v>1.1650677626335499E-10</v>
      </c>
      <c r="D92" s="2">
        <v>9.3541656833368197E-10</v>
      </c>
      <c r="E92" s="2">
        <v>1.1933059788193701E-6</v>
      </c>
      <c r="F92" s="2">
        <v>2.8272122577207702E-4</v>
      </c>
      <c r="G92" s="2">
        <v>6.2816912474960199E-2</v>
      </c>
      <c r="H92" s="2">
        <v>0.94078046287541806</v>
      </c>
      <c r="I92" s="2">
        <v>0.99573456227638002</v>
      </c>
      <c r="J92" s="2">
        <v>0.99573456227638002</v>
      </c>
      <c r="K92" s="2">
        <v>0.99573456227638002</v>
      </c>
    </row>
    <row r="93" spans="1:11" x14ac:dyDescent="0.25">
      <c r="A93">
        <v>9.1999999999999993</v>
      </c>
      <c r="B93" s="2">
        <v>1.16415328467235E-10</v>
      </c>
      <c r="C93" s="2">
        <v>1.16481041730873E-10</v>
      </c>
      <c r="D93" s="2">
        <v>7.66853692404896E-10</v>
      </c>
      <c r="E93" s="2">
        <v>1.0264789590945399E-6</v>
      </c>
      <c r="F93" s="2">
        <v>2.5814891921030302E-4</v>
      </c>
      <c r="G93" s="2">
        <v>6.0999872992144398E-2</v>
      </c>
      <c r="H93" s="2">
        <v>0.94234142161226497</v>
      </c>
      <c r="I93" s="2">
        <v>0.99598372073234698</v>
      </c>
      <c r="J93" s="2">
        <v>0.99598372073234698</v>
      </c>
      <c r="K93" s="2">
        <v>0.99598372073234698</v>
      </c>
    </row>
    <row r="94" spans="1:11" x14ac:dyDescent="0.25">
      <c r="A94">
        <v>9.3000000000000007</v>
      </c>
      <c r="B94" s="2">
        <v>1.1641532614472401E-10</v>
      </c>
      <c r="C94" s="2">
        <v>1.1646254988784099E-10</v>
      </c>
      <c r="D94" s="2">
        <v>6.3299675891816401E-10</v>
      </c>
      <c r="E94" s="2">
        <v>8.8300523605727297E-7</v>
      </c>
      <c r="F94" s="2">
        <v>2.3572238526860099E-4</v>
      </c>
      <c r="G94" s="2">
        <v>5.9235306812470301E-2</v>
      </c>
      <c r="H94" s="2">
        <v>0.94386745803394001</v>
      </c>
      <c r="I94" s="2">
        <v>0.99621828441762905</v>
      </c>
      <c r="J94" s="2">
        <v>0.99621828441762905</v>
      </c>
      <c r="K94" s="2">
        <v>0.99621828441762905</v>
      </c>
    </row>
    <row r="95" spans="1:11" x14ac:dyDescent="0.25">
      <c r="A95">
        <v>9.4</v>
      </c>
      <c r="B95" s="2">
        <v>1.1641532463460199E-10</v>
      </c>
      <c r="C95" s="2">
        <v>1.1644926197928401E-10</v>
      </c>
      <c r="D95" s="2">
        <v>5.2669680529415399E-10</v>
      </c>
      <c r="E95" s="2">
        <v>7.5961058769489998E-7</v>
      </c>
      <c r="F95" s="2">
        <v>2.1525298331676599E-4</v>
      </c>
      <c r="G95" s="2">
        <v>5.75216735664099E-2</v>
      </c>
      <c r="H95" s="2">
        <v>0.94535897144039505</v>
      </c>
      <c r="I95" s="2">
        <v>0.99643911220681203</v>
      </c>
      <c r="J95" s="2">
        <v>0.99643911220681203</v>
      </c>
      <c r="K95" s="2">
        <v>0.99643911220681303</v>
      </c>
    </row>
    <row r="96" spans="1:11" x14ac:dyDescent="0.25">
      <c r="A96">
        <v>9.5</v>
      </c>
      <c r="B96" s="2">
        <v>1.16415323652679E-10</v>
      </c>
      <c r="C96" s="2">
        <v>1.1643971326399999E-10</v>
      </c>
      <c r="D96" s="2">
        <v>4.4227825789723999E-10</v>
      </c>
      <c r="E96" s="2">
        <v>6.5348076801181196E-7</v>
      </c>
      <c r="F96" s="2">
        <v>1.9656881087658701E-4</v>
      </c>
      <c r="G96" s="2">
        <v>5.5857480569163398E-2</v>
      </c>
      <c r="H96" s="2">
        <v>0.94681638195031204</v>
      </c>
      <c r="I96" s="2">
        <v>0.99664701209469797</v>
      </c>
      <c r="J96" s="2">
        <v>0.99664701209469797</v>
      </c>
      <c r="K96" s="2">
        <v>0.99664701209469797</v>
      </c>
    </row>
    <row r="97" spans="1:11" x14ac:dyDescent="0.25">
      <c r="A97">
        <v>9.6</v>
      </c>
      <c r="B97" s="2">
        <v>1.16415323014188E-10</v>
      </c>
      <c r="C97" s="2">
        <v>1.16432851361744E-10</v>
      </c>
      <c r="D97" s="2">
        <v>3.75235074164473E-10</v>
      </c>
      <c r="E97" s="2">
        <v>5.6219672459096702E-7</v>
      </c>
      <c r="F97" s="2">
        <v>1.7951320012310899E-4</v>
      </c>
      <c r="G97" s="2">
        <v>5.42412812452586E-2</v>
      </c>
      <c r="H97" s="2">
        <v>0.94824012850261497</v>
      </c>
      <c r="I97" s="2">
        <v>0.99684274423083696</v>
      </c>
      <c r="J97" s="2">
        <v>0.99684274423083696</v>
      </c>
      <c r="K97" s="2">
        <v>0.99684274423083696</v>
      </c>
    </row>
    <row r="98" spans="1:11" x14ac:dyDescent="0.25">
      <c r="A98">
        <v>9.6999999999999993</v>
      </c>
      <c r="B98" s="2">
        <v>2.3283064442593902E-10</v>
      </c>
      <c r="C98" s="2">
        <v>2.32843241973393E-10</v>
      </c>
      <c r="D98" s="2">
        <v>4.3840507295452402E-10</v>
      </c>
      <c r="E98" s="2">
        <v>4.8379562296677199E-7</v>
      </c>
      <c r="F98" s="2">
        <v>1.6394350240594801E-4</v>
      </c>
      <c r="G98" s="2">
        <v>5.2671676130948503E-2</v>
      </c>
      <c r="H98" s="2">
        <v>0.94963066705100796</v>
      </c>
      <c r="I98" s="2">
        <v>0.997027023363807</v>
      </c>
      <c r="J98" s="2">
        <v>0.997027023363807</v>
      </c>
      <c r="K98" s="2">
        <v>0.997027023363807</v>
      </c>
    </row>
    <row r="99" spans="1:11" x14ac:dyDescent="0.25">
      <c r="A99">
        <v>9.8000000000000007</v>
      </c>
      <c r="B99" s="2">
        <v>2.3283064415595399E-10</v>
      </c>
      <c r="C99" s="2">
        <v>2.3283969812233501E-10</v>
      </c>
      <c r="D99" s="2">
        <v>3.9611661838677598E-10</v>
      </c>
      <c r="E99" s="2">
        <v>4.1625643213978598E-7</v>
      </c>
      <c r="F99" s="2">
        <v>1.49729240956403E-4</v>
      </c>
      <c r="G99" s="2">
        <v>5.11473011700865E-2</v>
      </c>
      <c r="H99" s="2">
        <v>0.95098846829291495</v>
      </c>
      <c r="I99" s="2">
        <v>0.997200523182599</v>
      </c>
      <c r="J99" s="2">
        <v>0.997200523182598</v>
      </c>
      <c r="K99" s="2">
        <v>0.997200523182598</v>
      </c>
    </row>
    <row r="100" spans="1:11" x14ac:dyDescent="0.25">
      <c r="A100">
        <v>9.9</v>
      </c>
      <c r="B100" s="2">
        <v>2.3283064398038697E-10</v>
      </c>
      <c r="C100" s="2">
        <v>2.3283715126007102E-10</v>
      </c>
      <c r="D100" s="2">
        <v>3.6252964589761402E-10</v>
      </c>
      <c r="E100" s="2">
        <v>3.58158884358712E-7</v>
      </c>
      <c r="F100" s="2">
        <v>1.3675189260814401E-4</v>
      </c>
      <c r="G100" s="2">
        <v>4.9666841725684703E-2</v>
      </c>
      <c r="H100" s="2">
        <v>0.95231401665194404</v>
      </c>
      <c r="I100" s="2">
        <v>0.99736387632137302</v>
      </c>
      <c r="J100" s="2">
        <v>0.99736387632137302</v>
      </c>
      <c r="K100" s="2">
        <v>0.99736387632137302</v>
      </c>
    </row>
    <row r="101" spans="1:11" x14ac:dyDescent="0.25">
      <c r="A101">
        <v>10</v>
      </c>
      <c r="B101" s="2">
        <v>2.3283064386621501E-10</v>
      </c>
      <c r="C101" s="2">
        <v>2.3283532086628199E-10</v>
      </c>
      <c r="D101" s="2">
        <v>3.35853102857647E-10</v>
      </c>
      <c r="E101" s="2">
        <v>3.0818154005499502E-7</v>
      </c>
      <c r="F101" s="2">
        <v>1.2490325197350599E-4</v>
      </c>
      <c r="G101" s="2">
        <v>4.82290207954401E-2</v>
      </c>
      <c r="H101" s="2">
        <v>0.95360780812107604</v>
      </c>
      <c r="I101" s="2">
        <v>0.99751767843220895</v>
      </c>
      <c r="J101" s="2">
        <v>0.99751767843220895</v>
      </c>
      <c r="K101" s="2">
        <v>0.99751767843220895</v>
      </c>
    </row>
    <row r="102" spans="1:11" x14ac:dyDescent="0.25">
      <c r="A102">
        <v>10.1</v>
      </c>
      <c r="B102" s="2">
        <v>2.3283064379196702E-10</v>
      </c>
      <c r="C102" s="2">
        <v>2.3283400536221202E-10</v>
      </c>
      <c r="D102" s="2">
        <v>3.1466474150352499E-10</v>
      </c>
      <c r="E102" s="2">
        <v>2.6518818719706698E-7</v>
      </c>
      <c r="F102" s="2">
        <v>1.14084650603387E-4</v>
      </c>
      <c r="G102" s="2">
        <v>4.6832600283692898E-2</v>
      </c>
      <c r="H102" s="2">
        <v>0.95487034883755195</v>
      </c>
      <c r="I102" s="2">
        <v>0.99766248998374296</v>
      </c>
      <c r="J102" s="2">
        <v>0.99766248998374296</v>
      </c>
      <c r="K102" s="2">
        <v>0.99766248998374296</v>
      </c>
    </row>
    <row r="103" spans="1:11" x14ac:dyDescent="0.25">
      <c r="A103">
        <v>10.199999999999999</v>
      </c>
      <c r="B103" s="2">
        <v>2.32830643743682E-10</v>
      </c>
      <c r="C103" s="2">
        <v>2.32833059891719E-10</v>
      </c>
      <c r="D103" s="2">
        <v>2.9783514011201301E-10</v>
      </c>
      <c r="E103" s="2">
        <v>2.2820182717152801E-7</v>
      </c>
      <c r="F103" s="2">
        <v>1.0420610774223E-4</v>
      </c>
      <c r="G103" s="2">
        <v>4.5476379698641198E-2</v>
      </c>
      <c r="H103" s="2">
        <v>0.95610215360658402</v>
      </c>
      <c r="I103" s="2">
        <v>0.99779883835708805</v>
      </c>
      <c r="J103" s="2">
        <v>0.99779883835708805</v>
      </c>
      <c r="K103" s="2">
        <v>0.99779883835708805</v>
      </c>
    </row>
    <row r="104" spans="1:11" x14ac:dyDescent="0.25">
      <c r="A104">
        <v>10.3</v>
      </c>
      <c r="B104" s="2">
        <v>2.3283064371228001E-10</v>
      </c>
      <c r="C104" s="2">
        <v>2.3283238035733299E-10</v>
      </c>
      <c r="D104" s="2">
        <v>2.8446738577244802E-10</v>
      </c>
      <c r="E104" s="2">
        <v>1.9638232322696499E-7</v>
      </c>
      <c r="F104" s="2">
        <v>9.5185557736109105E-5</v>
      </c>
      <c r="G104" s="2">
        <v>4.4159194894828301E-2</v>
      </c>
      <c r="H104" s="2">
        <v>0.95730374450802902</v>
      </c>
      <c r="I104" s="2">
        <v>0.99792721981593302</v>
      </c>
      <c r="J104" s="2">
        <v>0.99792721981593302</v>
      </c>
      <c r="K104" s="2">
        <v>0.99792721981593302</v>
      </c>
    </row>
    <row r="105" spans="1:11" x14ac:dyDescent="0.25">
      <c r="A105">
        <v>10.4</v>
      </c>
      <c r="B105" s="2">
        <v>2.32830643691858E-10</v>
      </c>
      <c r="C105" s="2">
        <v>2.3283189195003099E-10</v>
      </c>
      <c r="D105" s="2">
        <v>2.7384918823386801E-10</v>
      </c>
      <c r="E105" s="2">
        <v>1.69007194228587E-7</v>
      </c>
      <c r="F105" s="2">
        <v>8.6948147058397898E-5</v>
      </c>
      <c r="G105" s="2">
        <v>4.2879916860105498E-2</v>
      </c>
      <c r="H105" s="2">
        <v>0.95847564958404796</v>
      </c>
      <c r="I105" s="2">
        <v>0.99804810135833899</v>
      </c>
      <c r="J105" s="2">
        <v>0.99804810135833899</v>
      </c>
      <c r="K105" s="2">
        <v>0.99804810135833899</v>
      </c>
    </row>
    <row r="106" spans="1:11" x14ac:dyDescent="0.25">
      <c r="A106">
        <v>10.5</v>
      </c>
      <c r="B106" s="2">
        <v>2.32830643678577E-10</v>
      </c>
      <c r="C106" s="2">
        <v>2.3283154090752601E-10</v>
      </c>
      <c r="D106" s="2">
        <v>2.6541486119426399E-10</v>
      </c>
      <c r="E106" s="2">
        <v>1.4545510979935701E-7</v>
      </c>
      <c r="F106" s="2">
        <v>7.9425594575605404E-5</v>
      </c>
      <c r="G106" s="2">
        <v>4.1637450546132403E-2</v>
      </c>
      <c r="H106" s="2">
        <v>0.95961840160552403</v>
      </c>
      <c r="I106" s="2">
        <v>0.99816192245731294</v>
      </c>
      <c r="J106" s="2">
        <v>0.99816192245731294</v>
      </c>
      <c r="K106" s="2">
        <v>0.99816192245731294</v>
      </c>
    </row>
    <row r="107" spans="1:11" x14ac:dyDescent="0.25">
      <c r="A107">
        <v>10.6</v>
      </c>
      <c r="B107" s="2">
        <v>2.3283064366993901E-10</v>
      </c>
      <c r="C107" s="2">
        <v>2.3283128859214498E-10</v>
      </c>
      <c r="D107" s="2">
        <v>2.5871513649353498E-10</v>
      </c>
      <c r="E107" s="2">
        <v>1.25191705808106E-7</v>
      </c>
      <c r="F107" s="2">
        <v>7.2555609271340898E-5</v>
      </c>
      <c r="G107" s="2">
        <v>4.0430733741371502E-2</v>
      </c>
      <c r="H107" s="2">
        <v>0.96073253691487404</v>
      </c>
      <c r="I107" s="2">
        <v>0.99826909669684605</v>
      </c>
      <c r="J107" s="2">
        <v>0.99826909669684605</v>
      </c>
      <c r="K107" s="2">
        <v>0.99826909669684605</v>
      </c>
    </row>
    <row r="108" spans="1:11" x14ac:dyDescent="0.25">
      <c r="A108">
        <v>10.7</v>
      </c>
      <c r="B108" s="2">
        <v>2.32830643664321E-10</v>
      </c>
      <c r="C108" s="2">
        <v>2.3283110723534598E-10</v>
      </c>
      <c r="D108" s="2">
        <v>2.53393196471712E-10</v>
      </c>
      <c r="E108" s="2">
        <v>1.07757393102252E-7</v>
      </c>
      <c r="F108" s="2">
        <v>6.6281360185081601E-5</v>
      </c>
      <c r="G108" s="2">
        <v>3.92587359853988E-2</v>
      </c>
      <c r="H108" s="2">
        <v>0.96181859434277095</v>
      </c>
      <c r="I108" s="2">
        <v>0.99837001330971598</v>
      </c>
      <c r="J108" s="2">
        <v>0.99837001330971598</v>
      </c>
      <c r="K108" s="2">
        <v>0.99837001330971598</v>
      </c>
    </row>
    <row r="109" spans="1:11" x14ac:dyDescent="0.25">
      <c r="A109">
        <v>10.8</v>
      </c>
      <c r="B109" s="2">
        <v>2.3283064366066699E-10</v>
      </c>
      <c r="C109" s="2">
        <v>2.32830976879742E-10</v>
      </c>
      <c r="D109" s="2">
        <v>2.4916564286012797E-10</v>
      </c>
      <c r="E109" s="2">
        <v>9.27568786521766E-8</v>
      </c>
      <c r="F109" s="2">
        <v>6.0550993810001701E-5</v>
      </c>
      <c r="G109" s="2">
        <v>3.8120457523324103E-2</v>
      </c>
      <c r="H109" s="2">
        <v>0.96287711419618605</v>
      </c>
      <c r="I109" s="2">
        <v>0.99846503862298897</v>
      </c>
      <c r="J109" s="2">
        <v>0.99846503862298897</v>
      </c>
      <c r="K109" s="2">
        <v>0.99846503862298897</v>
      </c>
    </row>
    <row r="110" spans="1:11" x14ac:dyDescent="0.25">
      <c r="A110">
        <v>10.9</v>
      </c>
      <c r="B110" s="2">
        <v>2.3283064365829101E-10</v>
      </c>
      <c r="C110" s="2">
        <v>2.3283088318159601E-10</v>
      </c>
      <c r="D110" s="2">
        <v>2.4580738490633502E-10</v>
      </c>
      <c r="E110" s="2">
        <v>7.9850157971498699E-8</v>
      </c>
      <c r="F110" s="2">
        <v>5.5317194635415497E-5</v>
      </c>
      <c r="G110" s="2">
        <v>3.7014928299041398E-2</v>
      </c>
      <c r="H110" s="2">
        <v>0.96390863731507903</v>
      </c>
      <c r="I110" s="2">
        <v>0.99855451741677204</v>
      </c>
      <c r="J110" s="2">
        <v>0.99855451741677204</v>
      </c>
      <c r="K110" s="2">
        <v>0.99855451741677204</v>
      </c>
    </row>
    <row r="111" spans="1:11" x14ac:dyDescent="0.25">
      <c r="A111">
        <v>11</v>
      </c>
      <c r="B111" s="2">
        <v>2.3283064365674501E-10</v>
      </c>
      <c r="C111" s="2">
        <v>2.3283081583162901E-10</v>
      </c>
      <c r="D111" s="2">
        <v>2.43139639206305E-10</v>
      </c>
      <c r="E111" s="2">
        <v>6.8744771740702401E-8</v>
      </c>
      <c r="F111" s="2">
        <v>5.0536784918916903E-5</v>
      </c>
      <c r="G111" s="2">
        <v>3.5941206985995601E-2</v>
      </c>
      <c r="H111" s="2">
        <v>0.96491370419508005</v>
      </c>
      <c r="I111" s="2">
        <v>0.99863877420150604</v>
      </c>
      <c r="J111" s="2">
        <v>0.99863877420150504</v>
      </c>
      <c r="K111" s="2">
        <v>0.99863877420150604</v>
      </c>
    </row>
    <row r="112" spans="1:11" x14ac:dyDescent="0.25">
      <c r="A112">
        <v>11.1</v>
      </c>
      <c r="B112" s="2">
        <v>2.3283064365573999E-10</v>
      </c>
      <c r="C112" s="2">
        <v>2.3283076742012301E-10</v>
      </c>
      <c r="D112" s="2">
        <v>2.4102040020158602E-10</v>
      </c>
      <c r="E112" s="2">
        <v>5.9189148794231397E-8</v>
      </c>
      <c r="F112" s="2">
        <v>4.6170360135082698E-5</v>
      </c>
      <c r="G112" s="2">
        <v>3.4898380054159198E-2</v>
      </c>
      <c r="H112" s="2">
        <v>0.96589285417340398</v>
      </c>
      <c r="I112" s="2">
        <v>0.99871811441868796</v>
      </c>
      <c r="J112" s="2">
        <v>0.99871811441868796</v>
      </c>
      <c r="K112" s="2">
        <v>0.99871811441868796</v>
      </c>
    </row>
    <row r="113" spans="1:11" x14ac:dyDescent="0.25">
      <c r="A113">
        <v>11.2</v>
      </c>
      <c r="B113" s="2">
        <v>2.32830643655086E-10</v>
      </c>
      <c r="C113" s="2">
        <v>2.32830732621318E-10</v>
      </c>
      <c r="D113" s="2">
        <v>2.3933687243554402E-10</v>
      </c>
      <c r="E113" s="2">
        <v>5.0966882721494801E-8</v>
      </c>
      <c r="F113" s="2">
        <v>4.2181956875240998E-5</v>
      </c>
      <c r="G113" s="2">
        <v>3.3885560871892803E-2</v>
      </c>
      <c r="H113" s="2">
        <v>0.96684662467530003</v>
      </c>
      <c r="I113" s="2">
        <v>0.99879282556969895</v>
      </c>
      <c r="J113" s="2">
        <v>0.99879282556969895</v>
      </c>
      <c r="K113" s="2">
        <v>0.99879282556969995</v>
      </c>
    </row>
    <row r="114" spans="1:11" x14ac:dyDescent="0.25">
      <c r="A114">
        <v>11.3</v>
      </c>
      <c r="B114" s="2">
        <v>2.3283064365466098E-10</v>
      </c>
      <c r="C114" s="2">
        <v>2.3283070760725003E-10</v>
      </c>
      <c r="D114" s="2">
        <v>2.3799946054388498E-10</v>
      </c>
      <c r="E114" s="2">
        <v>4.3891810869929101E-8</v>
      </c>
      <c r="F114" s="2">
        <v>3.8538750269657297E-5</v>
      </c>
      <c r="G114" s="2">
        <v>3.2901888841366099E-2</v>
      </c>
      <c r="H114" s="2">
        <v>0.96777555051831299</v>
      </c>
      <c r="I114" s="2">
        <v>0.99886317827706295</v>
      </c>
      <c r="J114" s="2">
        <v>0.99886317827706295</v>
      </c>
      <c r="K114" s="2">
        <v>0.99886317827706295</v>
      </c>
    </row>
    <row r="115" spans="1:11" x14ac:dyDescent="0.25">
      <c r="A115">
        <v>11.4</v>
      </c>
      <c r="B115" s="2">
        <v>2.3283064365438398E-10</v>
      </c>
      <c r="C115" s="2">
        <v>2.3283068962647701E-10</v>
      </c>
      <c r="D115" s="2">
        <v>2.3693699620657999E-10</v>
      </c>
      <c r="E115" s="2">
        <v>3.7803783028509302E-8</v>
      </c>
      <c r="F115" s="2">
        <v>3.5210778272389199E-5</v>
      </c>
      <c r="G115" s="2">
        <v>3.1946528566251797E-2</v>
      </c>
      <c r="H115" s="2">
        <v>0.96868016327167805</v>
      </c>
      <c r="I115" s="2">
        <v>0.99892942728224798</v>
      </c>
      <c r="J115" s="2">
        <v>0.99892942728224798</v>
      </c>
      <c r="K115" s="2">
        <v>0.99892942728224798</v>
      </c>
    </row>
    <row r="116" spans="1:11" x14ac:dyDescent="0.25">
      <c r="A116">
        <v>11.5</v>
      </c>
      <c r="B116" s="2">
        <v>2.3283064365420402E-10</v>
      </c>
      <c r="C116" s="2">
        <v>2.3283067670131202E-10</v>
      </c>
      <c r="D116" s="2">
        <v>2.3609294737517499E-10</v>
      </c>
      <c r="E116" s="2">
        <v>3.2565022946010297E-8</v>
      </c>
      <c r="F116" s="2">
        <v>3.2170690392823401E-5</v>
      </c>
      <c r="G116" s="2">
        <v>3.1018669050401099E-2</v>
      </c>
      <c r="H116" s="2">
        <v>0.96956099066819901</v>
      </c>
      <c r="I116" s="2">
        <v>0.99899181238385004</v>
      </c>
      <c r="J116" s="2">
        <v>0.99899181238385004</v>
      </c>
      <c r="K116" s="2">
        <v>0.99899181238385004</v>
      </c>
    </row>
    <row r="117" spans="1:11" x14ac:dyDescent="0.25">
      <c r="A117">
        <v>11.6</v>
      </c>
      <c r="B117" s="2">
        <v>2.3283064365408702E-10</v>
      </c>
      <c r="C117" s="2">
        <v>2.3283066741020498E-10</v>
      </c>
      <c r="D117" s="2">
        <v>2.3542240755283799E-10</v>
      </c>
      <c r="E117" s="2">
        <v>2.80569994710125E-8</v>
      </c>
      <c r="F117" s="2">
        <v>2.9393518678843498E-5</v>
      </c>
      <c r="G117" s="2">
        <v>3.0117522926265999E-2</v>
      </c>
      <c r="H117" s="2">
        <v>0.97041855606599303</v>
      </c>
      <c r="I117" s="2">
        <v>0.99905055931976405</v>
      </c>
      <c r="J117" s="2">
        <v>0.99905055931976405</v>
      </c>
      <c r="K117" s="2">
        <v>0.99905055931976405</v>
      </c>
    </row>
    <row r="118" spans="1:11" x14ac:dyDescent="0.25">
      <c r="A118">
        <v>11.7</v>
      </c>
      <c r="B118" s="2">
        <v>2.3283064365401103E-10</v>
      </c>
      <c r="C118" s="2">
        <v>2.3283066073134802E-10</v>
      </c>
      <c r="D118" s="2">
        <v>2.3488970455476102E-10</v>
      </c>
      <c r="E118" s="2">
        <v>2.41777358083078E-8</v>
      </c>
      <c r="F118" s="2">
        <v>2.6856468956913001E-5</v>
      </c>
      <c r="G118" s="2">
        <v>2.92423257118356E-2</v>
      </c>
      <c r="H118" s="2">
        <v>0.97125337795757405</v>
      </c>
      <c r="I118" s="2">
        <v>0.99910588059674299</v>
      </c>
      <c r="J118" s="2">
        <v>0.99910588059674299</v>
      </c>
      <c r="K118" s="2">
        <v>0.99910588059674299</v>
      </c>
    </row>
    <row r="119" spans="1:11" x14ac:dyDescent="0.25">
      <c r="A119">
        <v>11.8</v>
      </c>
      <c r="B119" s="2">
        <v>2.3283064365396201E-10</v>
      </c>
      <c r="C119" s="2">
        <v>2.32830655930258E-10</v>
      </c>
      <c r="D119" s="2">
        <v>2.34466501243948E-10</v>
      </c>
      <c r="E119" s="2">
        <v>2.0839495441980999E-8</v>
      </c>
      <c r="F119" s="2">
        <v>2.45387305160302E-5</v>
      </c>
      <c r="G119" s="2">
        <v>2.8392335094916999E-2</v>
      </c>
      <c r="H119" s="2">
        <v>0.972065969523768</v>
      </c>
      <c r="I119" s="2">
        <v>0.99915797627050895</v>
      </c>
      <c r="J119" s="2">
        <v>0.99915797627050895</v>
      </c>
      <c r="K119" s="2">
        <v>0.99915797627050895</v>
      </c>
    </row>
    <row r="120" spans="1:11" x14ac:dyDescent="0.25">
      <c r="A120">
        <v>11.9</v>
      </c>
      <c r="B120" s="2">
        <v>2.3283064365393001E-10</v>
      </c>
      <c r="C120" s="2">
        <v>2.3283065247897402E-10</v>
      </c>
      <c r="D120" s="2">
        <v>2.3413028699159302E-10</v>
      </c>
      <c r="E120" s="2">
        <v>1.7966791912856699E-8</v>
      </c>
      <c r="F120" s="2">
        <v>2.2421302587330301E-5</v>
      </c>
      <c r="G120" s="2">
        <v>2.75668302436008E-2</v>
      </c>
      <c r="H120" s="2">
        <v>0.97285683823004798</v>
      </c>
      <c r="I120" s="2">
        <v>0.99920703467942296</v>
      </c>
      <c r="J120" s="2">
        <v>0.99920703467942296</v>
      </c>
      <c r="K120" s="2">
        <v>0.99920703467942396</v>
      </c>
    </row>
    <row r="121" spans="1:11" x14ac:dyDescent="0.25">
      <c r="A121">
        <v>12</v>
      </c>
      <c r="B121" s="2">
        <v>2.3283064365390902E-10</v>
      </c>
      <c r="C121" s="2">
        <v>2.3283064999798898E-10</v>
      </c>
      <c r="D121" s="2">
        <v>2.3386317945697599E-10</v>
      </c>
      <c r="E121" s="2">
        <v>1.5494677058055701E-8</v>
      </c>
      <c r="F121" s="2">
        <v>2.0486836120643001E-5</v>
      </c>
      <c r="G121" s="2">
        <v>2.6765111141823301E-2</v>
      </c>
      <c r="H121" s="2">
        <v>0.97362648546293096</v>
      </c>
      <c r="I121" s="2">
        <v>0.99925323313450998</v>
      </c>
      <c r="J121" s="2">
        <v>0.99925323313450998</v>
      </c>
      <c r="K121" s="2">
        <v>0.99925323313450998</v>
      </c>
    </row>
    <row r="122" spans="1:11" x14ac:dyDescent="0.25">
      <c r="A122">
        <v>12.1</v>
      </c>
      <c r="B122" s="2">
        <v>2.3283064365389501E-10</v>
      </c>
      <c r="C122" s="2">
        <v>2.3283064821450098E-10</v>
      </c>
      <c r="D122" s="2">
        <v>2.3365097283382301E-10</v>
      </c>
      <c r="E122" s="2">
        <v>1.3367268695191699E-8</v>
      </c>
      <c r="F122" s="2">
        <v>1.8719489495019701E-5</v>
      </c>
      <c r="G122" s="2">
        <v>2.5986497948937901E-2</v>
      </c>
      <c r="H122" s="2">
        <v>0.97437540620416996</v>
      </c>
      <c r="I122" s="2">
        <v>0.99929673856846402</v>
      </c>
      <c r="J122" s="2">
        <v>0.99929673856846402</v>
      </c>
      <c r="K122" s="2">
        <v>0.99929673856846402</v>
      </c>
    </row>
    <row r="123" spans="1:11" x14ac:dyDescent="0.25">
      <c r="A123">
        <v>12.2</v>
      </c>
      <c r="B123" s="2">
        <v>2.3283064365388602E-10</v>
      </c>
      <c r="C123" s="2">
        <v>2.3283064693241002E-10</v>
      </c>
      <c r="D123" s="2">
        <v>2.3348238185322998E-10</v>
      </c>
      <c r="E123" s="2">
        <v>1.1536484211034701E-8</v>
      </c>
      <c r="F123" s="2">
        <v>1.7104796923440901E-5</v>
      </c>
      <c r="G123" s="2">
        <v>2.52303303822944E-2</v>
      </c>
      <c r="H123" s="2">
        <v>0.97510408874052601</v>
      </c>
      <c r="I123" s="2">
        <v>0.999337708146121</v>
      </c>
      <c r="J123" s="2">
        <v>0.999337708146121</v>
      </c>
      <c r="K123" s="2">
        <v>0.999337708146121</v>
      </c>
    </row>
    <row r="124" spans="1:11" x14ac:dyDescent="0.25">
      <c r="A124">
        <v>12.3</v>
      </c>
      <c r="B124" s="2">
        <v>2.3283064365388002E-10</v>
      </c>
      <c r="C124" s="2">
        <v>2.3283064601075199E-10</v>
      </c>
      <c r="D124" s="2">
        <v>2.3334844127003601E-10</v>
      </c>
      <c r="E124" s="2">
        <v>9.9609512209980394E-9</v>
      </c>
      <c r="F124" s="2">
        <v>1.56295484237717E-5</v>
      </c>
      <c r="G124" s="2">
        <v>2.4495967121816401E-2</v>
      </c>
      <c r="H124" s="2">
        <v>0.97581301440701096</v>
      </c>
      <c r="I124" s="2">
        <v>0.99937628983870996</v>
      </c>
      <c r="J124" s="2">
        <v>0.99937628983870996</v>
      </c>
      <c r="K124" s="2">
        <v>0.99937628983870996</v>
      </c>
    </row>
    <row r="125" spans="1:11" x14ac:dyDescent="0.25">
      <c r="A125">
        <v>12.4</v>
      </c>
      <c r="B125" s="2">
        <v>2.3283064365387702E-10</v>
      </c>
      <c r="C125" s="2">
        <v>2.3283064534819598E-10</v>
      </c>
      <c r="D125" s="2">
        <v>2.33242028847428E-10</v>
      </c>
      <c r="E125" s="2">
        <v>8.6050705103791092E-9</v>
      </c>
      <c r="F125" s="2">
        <v>1.42816803295985E-5</v>
      </c>
      <c r="G125" s="2">
        <v>2.3782785235658299E-2</v>
      </c>
      <c r="H125" s="2">
        <v>0.97650265736156305</v>
      </c>
      <c r="I125" s="2">
        <v>0.99941262296405697</v>
      </c>
      <c r="J125" s="2">
        <v>0.99941262296405697</v>
      </c>
      <c r="K125" s="2">
        <v>0.99941262296405697</v>
      </c>
    </row>
    <row r="126" spans="1:11" x14ac:dyDescent="0.25">
      <c r="A126">
        <v>12.5</v>
      </c>
      <c r="B126" s="2">
        <v>2.3283064365387402E-10</v>
      </c>
      <c r="C126" s="2">
        <v>2.3283064487189897E-10</v>
      </c>
      <c r="D126" s="2">
        <v>2.3315748643624302E-10</v>
      </c>
      <c r="E126" s="2">
        <v>7.4382099442736504E-9</v>
      </c>
      <c r="F126" s="2">
        <v>1.30501754068644E-5</v>
      </c>
      <c r="G126" s="2">
        <v>2.30901796260208E-2</v>
      </c>
      <c r="H126" s="2">
        <v>0.97717348438917295</v>
      </c>
      <c r="I126" s="2">
        <v>0.999446838694797</v>
      </c>
      <c r="J126" s="2">
        <v>0.999446838694797</v>
      </c>
      <c r="K126" s="2">
        <v>0.999446838694797</v>
      </c>
    </row>
    <row r="127" spans="1:11" x14ac:dyDescent="0.25">
      <c r="A127">
        <v>12.6</v>
      </c>
      <c r="B127" s="2">
        <v>2.3283064365387299E-10</v>
      </c>
      <c r="C127" s="2">
        <v>2.3283064452949899E-10</v>
      </c>
      <c r="D127" s="2">
        <v>2.3309031897235599E-10</v>
      </c>
      <c r="E127" s="2">
        <v>6.4340110206308301E-9</v>
      </c>
      <c r="F127" s="2">
        <v>1.19249717260545E-5</v>
      </c>
      <c r="G127" s="2">
        <v>2.2417562494269499E-2</v>
      </c>
      <c r="H127" s="2">
        <v>0.977825954733609</v>
      </c>
      <c r="I127" s="2">
        <v>0.99947906053650903</v>
      </c>
      <c r="J127" s="2">
        <v>0.99947906053650903</v>
      </c>
      <c r="K127" s="2">
        <v>0.99947906053650903</v>
      </c>
    </row>
    <row r="128" spans="1:11" x14ac:dyDescent="0.25">
      <c r="A128">
        <v>12.7</v>
      </c>
      <c r="B128" s="2">
        <v>2.3283064365387201E-10</v>
      </c>
      <c r="C128" s="2">
        <v>2.3283064428335299E-10</v>
      </c>
      <c r="D128" s="2">
        <v>2.3303695536659702E-10</v>
      </c>
      <c r="E128" s="2">
        <v>5.5697923088566803E-9</v>
      </c>
      <c r="F128" s="2">
        <v>1.08968795158574E-5</v>
      </c>
      <c r="G128" s="2">
        <v>2.1764362824533499E-2</v>
      </c>
      <c r="H128" s="2">
        <v>0.978460519954926</v>
      </c>
      <c r="I128" s="2">
        <v>0.999509404777568</v>
      </c>
      <c r="J128" s="2">
        <v>0.999509404777568</v>
      </c>
      <c r="K128" s="2">
        <v>0.999509404777568</v>
      </c>
    </row>
    <row r="129" spans="1:11" x14ac:dyDescent="0.25">
      <c r="A129">
        <v>12.8</v>
      </c>
      <c r="B129" s="2">
        <v>4.6566128730774102E-10</v>
      </c>
      <c r="C129" s="2">
        <v>4.6566128776027695E-10</v>
      </c>
      <c r="D129" s="2">
        <v>4.6582520449442201E-10</v>
      </c>
      <c r="E129" s="2">
        <v>5.0589009830283804E-9</v>
      </c>
      <c r="F129" s="2">
        <v>9.9577587814567998E-6</v>
      </c>
      <c r="G129" s="2">
        <v>2.11300284190299E-2</v>
      </c>
      <c r="H129" s="2">
        <v>0.979077623602157</v>
      </c>
      <c r="I129" s="2">
        <v>0.99953798059876298</v>
      </c>
      <c r="J129" s="2">
        <v>0.99953798059876298</v>
      </c>
      <c r="K129" s="2">
        <v>0.99953798059876298</v>
      </c>
    </row>
    <row r="130" spans="1:11" x14ac:dyDescent="0.25">
      <c r="A130">
        <v>12.9</v>
      </c>
      <c r="B130" s="2">
        <v>4.6566128730773998E-10</v>
      </c>
      <c r="C130" s="2">
        <v>4.6566128763306701E-10</v>
      </c>
      <c r="D130" s="2">
        <v>4.6579152023568097E-10</v>
      </c>
      <c r="E130" s="2">
        <v>4.4188096651553503E-9</v>
      </c>
      <c r="F130" s="2">
        <v>9.0994355108035902E-6</v>
      </c>
      <c r="G130" s="2">
        <v>2.0514015244274101E-2</v>
      </c>
      <c r="H130" s="2">
        <v>0.979677701955594</v>
      </c>
      <c r="I130" s="2">
        <v>0.99956489173077301</v>
      </c>
      <c r="J130" s="2">
        <v>0.99956489173077301</v>
      </c>
      <c r="K130" s="2">
        <v>0.99956489173077301</v>
      </c>
    </row>
    <row r="131" spans="1:11" x14ac:dyDescent="0.25">
      <c r="A131">
        <v>13</v>
      </c>
      <c r="B131" s="2">
        <v>4.6566128730773998E-10</v>
      </c>
      <c r="C131" s="2">
        <v>4.6566128754161703E-10</v>
      </c>
      <c r="D131" s="2">
        <v>4.6576475823651303E-10</v>
      </c>
      <c r="E131" s="2">
        <v>3.8679330284420896E-9</v>
      </c>
      <c r="F131" s="2">
        <v>8.3151612615597503E-6</v>
      </c>
      <c r="G131" s="2">
        <v>1.9915802278439601E-2</v>
      </c>
      <c r="H131" s="2">
        <v>0.980261182690221</v>
      </c>
      <c r="I131" s="2">
        <v>0.99959023493309496</v>
      </c>
      <c r="J131" s="2">
        <v>0.99959023493309496</v>
      </c>
      <c r="K131" s="2">
        <v>0.99959023493309496</v>
      </c>
    </row>
    <row r="132" spans="1:11" x14ac:dyDescent="0.25">
      <c r="A132">
        <v>13.1</v>
      </c>
      <c r="B132" s="2">
        <v>4.6566128730773998E-10</v>
      </c>
      <c r="C132" s="2">
        <v>4.6566128747587499E-10</v>
      </c>
      <c r="D132" s="2">
        <v>4.65743495869727E-10</v>
      </c>
      <c r="E132" s="2">
        <v>3.3938337764033802E-9</v>
      </c>
      <c r="F132" s="2">
        <v>7.5985396740572796E-6</v>
      </c>
      <c r="G132" s="2">
        <v>1.9334880815373601E-2</v>
      </c>
      <c r="H132" s="2">
        <v>0.98082848566340897</v>
      </c>
      <c r="I132" s="2">
        <v>0.99961410161553699</v>
      </c>
      <c r="J132" s="2">
        <v>0.99961410161553699</v>
      </c>
      <c r="K132" s="2">
        <v>0.99961410161553699</v>
      </c>
    </row>
    <row r="133" spans="1:11" x14ac:dyDescent="0.25">
      <c r="A133">
        <v>13.2</v>
      </c>
      <c r="B133" s="2">
        <v>4.6566128730773998E-10</v>
      </c>
      <c r="C133" s="2">
        <v>4.6566128742861196E-10</v>
      </c>
      <c r="D133" s="2">
        <v>4.6572660289763701E-10</v>
      </c>
      <c r="E133" s="2">
        <v>2.9858089881295299E-9</v>
      </c>
      <c r="F133" s="2">
        <v>6.9437279558322099E-6</v>
      </c>
      <c r="G133" s="2">
        <v>1.8770756600547899E-2</v>
      </c>
      <c r="H133" s="2">
        <v>0.98138002266565405</v>
      </c>
      <c r="I133" s="2">
        <v>0.99963657785164495</v>
      </c>
      <c r="J133" s="2">
        <v>0.99963657785164495</v>
      </c>
      <c r="K133" s="2">
        <v>0.99963657785164495</v>
      </c>
    </row>
    <row r="134" spans="1:11" x14ac:dyDescent="0.25">
      <c r="A134">
        <v>13.3</v>
      </c>
      <c r="B134" s="2">
        <v>4.65661287307739E-10</v>
      </c>
      <c r="C134" s="2">
        <v>4.6566128739463499E-10</v>
      </c>
      <c r="D134" s="2">
        <v>4.6571318137318603E-10</v>
      </c>
      <c r="E134" s="2">
        <v>2.6346481652930198E-9</v>
      </c>
      <c r="F134" s="2">
        <v>6.34538883722504E-6</v>
      </c>
      <c r="G134" s="2">
        <v>1.8222949410231198E-2</v>
      </c>
      <c r="H134" s="2">
        <v>0.98191619739937996</v>
      </c>
      <c r="I134" s="2">
        <v>0.99965774469106905</v>
      </c>
      <c r="J134" s="2">
        <v>0.99965774469106905</v>
      </c>
      <c r="K134" s="2">
        <v>0.99965774469106905</v>
      </c>
    </row>
    <row r="135" spans="1:11" x14ac:dyDescent="0.25">
      <c r="A135">
        <v>13.4</v>
      </c>
      <c r="B135" s="2">
        <v>4.65661287307739E-10</v>
      </c>
      <c r="C135" s="2">
        <v>4.6566128737021001E-10</v>
      </c>
      <c r="D135" s="2">
        <v>4.6570251789521899E-10</v>
      </c>
      <c r="E135" s="2">
        <v>2.3324250503841601E-9</v>
      </c>
      <c r="F135" s="2">
        <v>5.7986467143858003E-6</v>
      </c>
      <c r="G135" s="2">
        <v>1.7690992644360099E-2</v>
      </c>
      <c r="H135" s="2">
        <v>0.982437405473083</v>
      </c>
      <c r="I135" s="2">
        <v>0.99967767845353905</v>
      </c>
      <c r="J135" s="2">
        <v>0.99967767845353905</v>
      </c>
      <c r="K135" s="2">
        <v>0.99967767845353905</v>
      </c>
    </row>
    <row r="136" spans="1:11" x14ac:dyDescent="0.25">
      <c r="A136">
        <v>13.5</v>
      </c>
      <c r="B136" s="2">
        <v>4.65661287307739E-10</v>
      </c>
      <c r="C136" s="2">
        <v>4.6566128735265E-10</v>
      </c>
      <c r="D136" s="2">
        <v>4.6569404567803302E-10</v>
      </c>
      <c r="E136" s="2">
        <v>2.0723184991721602E-9</v>
      </c>
      <c r="F136" s="2">
        <v>5.2990476124734803E-6</v>
      </c>
      <c r="G136" s="2">
        <v>1.71744329325457E-2</v>
      </c>
      <c r="H136" s="2">
        <v>0.98294403440961298</v>
      </c>
      <c r="I136" s="2">
        <v>0.99969645100556603</v>
      </c>
      <c r="J136" s="2">
        <v>0.99969645100556603</v>
      </c>
      <c r="K136" s="2">
        <v>0.99969645100556603</v>
      </c>
    </row>
    <row r="137" spans="1:11" x14ac:dyDescent="0.25">
      <c r="A137">
        <v>13.6</v>
      </c>
      <c r="B137" s="2">
        <v>4.65661287307739E-10</v>
      </c>
      <c r="C137" s="2">
        <v>4.6566128734002598E-10</v>
      </c>
      <c r="D137" s="2">
        <v>4.6568731441759299E-10</v>
      </c>
      <c r="E137" s="2">
        <v>1.8484583498460099E-9</v>
      </c>
      <c r="F137" s="2">
        <v>4.8425226343231197E-6</v>
      </c>
      <c r="G137" s="2">
        <v>1.6672829752687E-2</v>
      </c>
      <c r="H137" s="2">
        <v>0.98343646366745496</v>
      </c>
      <c r="I137" s="2">
        <v>0.99971413002086895</v>
      </c>
      <c r="J137" s="2">
        <v>0.99971413002086895</v>
      </c>
      <c r="K137" s="2">
        <v>0.99971413002086895</v>
      </c>
    </row>
    <row r="138" spans="1:11" x14ac:dyDescent="0.25">
      <c r="A138">
        <v>13.7</v>
      </c>
      <c r="B138" s="2">
        <v>4.65661287307739E-10</v>
      </c>
      <c r="C138" s="2">
        <v>4.6566128733095005E-10</v>
      </c>
      <c r="D138" s="2">
        <v>4.65681966351617E-10</v>
      </c>
      <c r="E138" s="2">
        <v>1.65579279844115E-9</v>
      </c>
      <c r="F138" s="2">
        <v>4.4253545894337803E-6</v>
      </c>
      <c r="G138" s="2">
        <v>1.61857550616917E-2</v>
      </c>
      <c r="H138" s="2">
        <v>0.98391506467393797</v>
      </c>
      <c r="I138" s="2">
        <v>0.99973077922550502</v>
      </c>
      <c r="J138" s="2">
        <v>0.99973077922550502</v>
      </c>
      <c r="K138" s="2">
        <v>0.99973077922550602</v>
      </c>
    </row>
    <row r="139" spans="1:11" x14ac:dyDescent="0.25">
      <c r="A139">
        <v>13.8</v>
      </c>
      <c r="B139" s="2">
        <v>4.65661287307739E-10</v>
      </c>
      <c r="C139" s="2">
        <v>4.6566128732442597E-10</v>
      </c>
      <c r="D139" s="2">
        <v>4.6567771724028401E-10</v>
      </c>
      <c r="E139" s="2">
        <v>1.4899742779422999E-9</v>
      </c>
      <c r="F139" s="2">
        <v>4.0441475250593604E-6</v>
      </c>
      <c r="G139" s="2">
        <v>1.57127929378191E-2</v>
      </c>
      <c r="H139" s="2">
        <v>0.98438020086934597</v>
      </c>
      <c r="I139" s="2">
        <v>0.999746458628614</v>
      </c>
      <c r="J139" s="2">
        <v>0.999746458628614</v>
      </c>
      <c r="K139" s="2">
        <v>0.999746458628614</v>
      </c>
    </row>
    <row r="140" spans="1:11" x14ac:dyDescent="0.25">
      <c r="A140">
        <v>13.9</v>
      </c>
      <c r="B140" s="2">
        <v>4.65661287307739E-10</v>
      </c>
      <c r="C140" s="2">
        <v>4.6566128731973503E-10</v>
      </c>
      <c r="D140" s="2">
        <v>4.6567434125608803E-10</v>
      </c>
      <c r="E140" s="2">
        <v>1.34726125799405E-9</v>
      </c>
      <c r="F140" s="2">
        <v>3.69579890571848E-6</v>
      </c>
      <c r="G140" s="2">
        <v>1.5253539234195101E-2</v>
      </c>
      <c r="H140" s="2">
        <v>0.984832227760993</v>
      </c>
      <c r="I140" s="2">
        <v>0.99976122473961404</v>
      </c>
      <c r="J140" s="2">
        <v>0.99976122473961404</v>
      </c>
      <c r="K140" s="2">
        <v>0.99976122473961404</v>
      </c>
    </row>
    <row r="141" spans="1:11" x14ac:dyDescent="0.25">
      <c r="A141">
        <v>14</v>
      </c>
      <c r="B141" s="2">
        <v>4.65661287307739E-10</v>
      </c>
      <c r="C141" s="2">
        <v>4.6566128731636396E-10</v>
      </c>
      <c r="D141" s="2">
        <v>4.6567165897929196E-10</v>
      </c>
      <c r="E141" s="2">
        <v>1.22443374301107E-9</v>
      </c>
      <c r="F141" s="2">
        <v>3.3774742097753699E-6</v>
      </c>
      <c r="G141" s="2">
        <v>1.48076012430674E-2</v>
      </c>
      <c r="H141" s="2">
        <v>0.98527149298633998</v>
      </c>
      <c r="I141" s="2">
        <v>0.999775130772659</v>
      </c>
      <c r="J141" s="2">
        <v>0.999775130772659</v>
      </c>
      <c r="K141" s="2">
        <v>0.999775130772659</v>
      </c>
    </row>
    <row r="142" spans="1:11" x14ac:dyDescent="0.25">
      <c r="A142">
        <v>14.1</v>
      </c>
      <c r="B142" s="2">
        <v>4.65661287307739E-10</v>
      </c>
      <c r="C142" s="2">
        <v>4.6566128731393898E-10</v>
      </c>
      <c r="D142" s="2">
        <v>4.6566952786064001E-10</v>
      </c>
      <c r="E142" s="2">
        <v>1.1187205568758799E-9</v>
      </c>
      <c r="F142" s="2">
        <v>3.0865837321023602E-6</v>
      </c>
      <c r="G142" s="2">
        <v>1.4374597370385E-2</v>
      </c>
      <c r="H142" s="2">
        <v>0.98569833638433102</v>
      </c>
      <c r="I142" s="2">
        <v>0.99978822683911495</v>
      </c>
      <c r="J142" s="2">
        <v>0.99978822683911495</v>
      </c>
      <c r="K142" s="2">
        <v>0.99978822683911495</v>
      </c>
    </row>
    <row r="143" spans="1:11" x14ac:dyDescent="0.25">
      <c r="A143">
        <v>14.2</v>
      </c>
      <c r="B143" s="2">
        <v>4.65661287307739E-10</v>
      </c>
      <c r="C143" s="2">
        <v>4.6566128731219704E-10</v>
      </c>
      <c r="D143" s="2">
        <v>4.6566783464418896E-10</v>
      </c>
      <c r="E143" s="2">
        <v>1.0277367694126799E-9</v>
      </c>
      <c r="F143" s="2">
        <v>2.82076140037665E-6</v>
      </c>
      <c r="G143" s="2">
        <v>1.39541568203158E-2</v>
      </c>
      <c r="H143" s="2">
        <v>0.98611309007413805</v>
      </c>
      <c r="I143" s="2">
        <v>0.99980056012874896</v>
      </c>
      <c r="J143" s="2">
        <v>0.99980056012874896</v>
      </c>
      <c r="K143" s="2">
        <v>0.99980056012874896</v>
      </c>
    </row>
    <row r="144" spans="1:11" x14ac:dyDescent="0.25">
      <c r="A144">
        <v>14.3</v>
      </c>
      <c r="B144" s="2">
        <v>4.65661287307739E-10</v>
      </c>
      <c r="C144" s="2">
        <v>4.6566128731094396E-10</v>
      </c>
      <c r="D144" s="2">
        <v>4.6566648934740504E-10</v>
      </c>
      <c r="E144" s="2">
        <v>9.4942984950397603E-10</v>
      </c>
      <c r="F144" s="2">
        <v>2.5778454294631899E-6</v>
      </c>
      <c r="G144" s="2">
        <v>1.35459192893304E-2</v>
      </c>
      <c r="H144" s="2">
        <v>0.98651607854057999</v>
      </c>
      <c r="I144" s="2">
        <v>0.99981217508030995</v>
      </c>
      <c r="J144" s="2">
        <v>0.99981217508030995</v>
      </c>
      <c r="K144" s="2">
        <v>0.99981217508030995</v>
      </c>
    </row>
    <row r="145" spans="1:11" x14ac:dyDescent="0.25">
      <c r="A145">
        <v>14.4</v>
      </c>
      <c r="B145" s="2">
        <v>4.65661287307739E-10</v>
      </c>
      <c r="C145" s="2">
        <v>4.6566128731004296E-10</v>
      </c>
      <c r="D145" s="2">
        <v>4.6566542047842397E-10</v>
      </c>
      <c r="E145" s="2">
        <v>8.8203332729569E-10</v>
      </c>
      <c r="F145" s="2">
        <v>2.3558606537381499E-6</v>
      </c>
      <c r="G145" s="2">
        <v>1.31495346694955E-2</v>
      </c>
      <c r="H145" s="2">
        <v>0.98690761872551303</v>
      </c>
      <c r="I145" s="2">
        <v>0.99982311354211295</v>
      </c>
      <c r="J145" s="2">
        <v>0.99982311354211295</v>
      </c>
      <c r="K145" s="2">
        <v>0.99982311354211295</v>
      </c>
    </row>
    <row r="146" spans="1:11" x14ac:dyDescent="0.25">
      <c r="A146">
        <v>14.5</v>
      </c>
      <c r="B146" s="2">
        <v>4.65661287307739E-10</v>
      </c>
      <c r="C146" s="2">
        <v>4.65661287309396E-10</v>
      </c>
      <c r="D146" s="2">
        <v>4.6566457123623198E-10</v>
      </c>
      <c r="E146" s="2">
        <v>8.2402691790820502E-10</v>
      </c>
      <c r="F146" s="2">
        <v>2.1530023912416999E-6</v>
      </c>
      <c r="G146" s="2">
        <v>1.2764662760644399E-2</v>
      </c>
      <c r="H146" s="2">
        <v>0.98728802012454098</v>
      </c>
      <c r="I146" s="2">
        <v>0.99983341492323297</v>
      </c>
      <c r="J146" s="2">
        <v>0.99983341492323297</v>
      </c>
      <c r="K146" s="2">
        <v>0.99983341492323297</v>
      </c>
    </row>
    <row r="147" spans="1:11" x14ac:dyDescent="0.25">
      <c r="A147">
        <v>14.6</v>
      </c>
      <c r="B147" s="2">
        <v>4.65661287307739E-10</v>
      </c>
      <c r="C147" s="2">
        <v>4.6566128730892998E-10</v>
      </c>
      <c r="D147" s="2">
        <v>4.6566389649174703E-10</v>
      </c>
      <c r="E147" s="2">
        <v>7.7410220529619398E-10</v>
      </c>
      <c r="F147" s="2">
        <v>1.9676217063489799E-6</v>
      </c>
      <c r="G147" s="2">
        <v>1.2390972991101101E-2</v>
      </c>
      <c r="H147" s="2">
        <v>0.98765758488844502</v>
      </c>
      <c r="I147" s="2">
        <v>0.99984311633584499</v>
      </c>
      <c r="J147" s="2">
        <v>0.99984311633584499</v>
      </c>
      <c r="K147" s="2">
        <v>0.99984311633584499</v>
      </c>
    </row>
    <row r="148" spans="1:11" x14ac:dyDescent="0.25">
      <c r="A148">
        <v>14.7</v>
      </c>
      <c r="B148" s="2">
        <v>4.65661287307739E-10</v>
      </c>
      <c r="C148" s="2">
        <v>4.6566128730859498E-10</v>
      </c>
      <c r="D148" s="2">
        <v>4.6566336038928805E-10</v>
      </c>
      <c r="E148" s="2">
        <v>7.3113311069988097E-10</v>
      </c>
      <c r="F148" s="2">
        <v>1.79821194931132E-6</v>
      </c>
      <c r="G148" s="2">
        <v>1.2028144146655999E-2</v>
      </c>
      <c r="H148" s="2">
        <v>0.98801660792874302</v>
      </c>
      <c r="I148" s="2">
        <v>0.99985225272923905</v>
      </c>
      <c r="J148" s="2">
        <v>0.99985225272923905</v>
      </c>
      <c r="K148" s="2">
        <v>0.99985225272923905</v>
      </c>
    </row>
    <row r="149" spans="1:11" x14ac:dyDescent="0.25">
      <c r="A149">
        <v>14.8</v>
      </c>
      <c r="B149" s="2">
        <v>4.65661287307739E-10</v>
      </c>
      <c r="C149" s="2">
        <v>4.6566128730835499E-10</v>
      </c>
      <c r="D149" s="2">
        <v>4.6566293444096598E-10</v>
      </c>
      <c r="E149" s="2">
        <v>6.9415047836128396E-10</v>
      </c>
      <c r="F149" s="2">
        <v>1.64339646165893E-6</v>
      </c>
      <c r="G149" s="2">
        <v>1.16758641075012E-2</v>
      </c>
      <c r="H149" s="2">
        <v>0.98836537702687399</v>
      </c>
      <c r="I149" s="2">
        <v>0.99986085701599903</v>
      </c>
      <c r="J149" s="2">
        <v>0.99986085701599903</v>
      </c>
      <c r="K149" s="2">
        <v>0.99986085701599903</v>
      </c>
    </row>
    <row r="150" spans="1:11" x14ac:dyDescent="0.25">
      <c r="A150">
        <v>14.9</v>
      </c>
      <c r="B150" s="2">
        <v>4.65661287307739E-10</v>
      </c>
      <c r="C150" s="2">
        <v>4.6566128730818201E-10</v>
      </c>
      <c r="D150" s="2">
        <v>4.6566259601266904E-10</v>
      </c>
      <c r="E150" s="2">
        <v>6.6232020429580204E-10</v>
      </c>
      <c r="F150" s="2">
        <v>1.5019173461554001E-6</v>
      </c>
      <c r="G150" s="2">
        <v>1.13338295928489E-2</v>
      </c>
      <c r="H150" s="2">
        <v>0.98870417294649704</v>
      </c>
      <c r="I150" s="2">
        <v>0.99986896019080196</v>
      </c>
      <c r="J150" s="2">
        <v>0.99986896019080196</v>
      </c>
      <c r="K150" s="2">
        <v>0.99986896019080296</v>
      </c>
    </row>
    <row r="151" spans="1:11" x14ac:dyDescent="0.25">
      <c r="A151">
        <v>15</v>
      </c>
      <c r="B151" s="2">
        <v>4.65661287307739E-10</v>
      </c>
      <c r="C151" s="2">
        <v>4.65661287308057E-10</v>
      </c>
      <c r="D151" s="2">
        <v>4.6566232712117796E-10</v>
      </c>
      <c r="E151" s="2">
        <v>6.3492441402553196E-10</v>
      </c>
      <c r="F151" s="2">
        <v>1.37262520884017E-6</v>
      </c>
      <c r="G151" s="2">
        <v>1.10017459129686E-2</v>
      </c>
      <c r="H151" s="2">
        <v>0.98903326954844895</v>
      </c>
      <c r="I151" s="2">
        <v>0.99987659144228203</v>
      </c>
      <c r="J151" s="2">
        <v>0.99987659144228203</v>
      </c>
      <c r="K151" s="2">
        <v>0.99987659144228203</v>
      </c>
    </row>
    <row r="152" spans="1:11" x14ac:dyDescent="0.25">
      <c r="A152">
        <v>15.1</v>
      </c>
      <c r="B152" s="2">
        <v>4.65661287307739E-10</v>
      </c>
      <c r="C152" s="2">
        <v>4.6566128730796797E-10</v>
      </c>
      <c r="D152" s="2">
        <v>4.6566211347846799E-10</v>
      </c>
      <c r="E152" s="2">
        <v>6.1134526411194899E-10</v>
      </c>
      <c r="F152" s="2">
        <v>1.2544697887645501E-6</v>
      </c>
      <c r="G152" s="2">
        <v>1.06793267283941E-2</v>
      </c>
      <c r="H152" s="2">
        <v>0.98935293390793599</v>
      </c>
      <c r="I152" s="2">
        <v>0.99988377825834396</v>
      </c>
      <c r="J152" s="2">
        <v>0.99988377825834396</v>
      </c>
      <c r="K152" s="2">
        <v>0.99988377825834396</v>
      </c>
    </row>
    <row r="153" spans="1:11" x14ac:dyDescent="0.25">
      <c r="A153">
        <v>15.2</v>
      </c>
      <c r="B153" s="2">
        <v>4.65661287307739E-10</v>
      </c>
      <c r="C153" s="2">
        <v>4.6566128730790397E-10</v>
      </c>
      <c r="D153" s="2">
        <v>4.6566194373240103E-10</v>
      </c>
      <c r="E153" s="2">
        <v>5.9105100163521597E-10</v>
      </c>
      <c r="F153" s="2">
        <v>1.14649139838456E-6</v>
      </c>
      <c r="G153" s="2">
        <v>1.0366293816055E-2</v>
      </c>
      <c r="H153" s="2">
        <v>0.98966342643357297</v>
      </c>
      <c r="I153" s="2">
        <v>0.99989054652533904</v>
      </c>
      <c r="J153" s="2">
        <v>0.99989054652533904</v>
      </c>
      <c r="K153" s="2">
        <v>0.99989054652533904</v>
      </c>
    </row>
    <row r="154" spans="1:11" x14ac:dyDescent="0.25">
      <c r="A154">
        <v>15.3</v>
      </c>
      <c r="B154" s="2">
        <v>4.65661287307739E-10</v>
      </c>
      <c r="C154" s="2">
        <v>4.6566128730785703E-10</v>
      </c>
      <c r="D154" s="2">
        <v>4.6566180886344704E-10</v>
      </c>
      <c r="E154" s="2">
        <v>5.7358396679883202E-10</v>
      </c>
      <c r="F154" s="2">
        <v>1.0478131042891301E-6</v>
      </c>
      <c r="G154" s="2">
        <v>1.00623768421078E-2</v>
      </c>
      <c r="H154" s="2">
        <v>0.98996500098788198</v>
      </c>
      <c r="I154" s="2">
        <v>0.99989692062143698</v>
      </c>
      <c r="J154" s="2">
        <v>0.99989692062143698</v>
      </c>
      <c r="K154" s="2">
        <v>0.99989692062143698</v>
      </c>
    </row>
    <row r="155" spans="1:11" x14ac:dyDescent="0.25">
      <c r="A155">
        <v>15.4</v>
      </c>
      <c r="B155" s="2">
        <v>4.65661287307739E-10</v>
      </c>
      <c r="C155" s="2">
        <v>4.6566128730782404E-10</v>
      </c>
      <c r="D155" s="2">
        <v>4.6566170170537495E-10</v>
      </c>
      <c r="E155" s="2">
        <v>5.5855026774849095E-10</v>
      </c>
      <c r="F155" s="2">
        <v>9.5763358406545406E-7</v>
      </c>
      <c r="G155" s="2">
        <v>9.7673131412466894E-3</v>
      </c>
      <c r="H155" s="2">
        <v>0.99025790500894195</v>
      </c>
      <c r="I155" s="2">
        <v>0.999902923504559</v>
      </c>
      <c r="J155" s="2">
        <v>0.999902923504559</v>
      </c>
      <c r="K155" s="2">
        <v>0.999902923504559</v>
      </c>
    </row>
    <row r="156" spans="1:11" x14ac:dyDescent="0.25">
      <c r="A156">
        <v>15.5</v>
      </c>
      <c r="B156" s="2">
        <v>4.65661287307739E-10</v>
      </c>
      <c r="C156" s="2">
        <v>4.6566128730779995E-10</v>
      </c>
      <c r="D156" s="2">
        <v>4.6566161656443695E-10</v>
      </c>
      <c r="E156" s="2">
        <v>5.4561089447653105E-10</v>
      </c>
      <c r="F156" s="2">
        <v>8.7522060069307304E-7</v>
      </c>
      <c r="G156" s="2">
        <v>9.4808475022801503E-3</v>
      </c>
      <c r="H156" s="2">
        <v>0.99054237963285097</v>
      </c>
      <c r="I156" s="2">
        <v>0.99990857679515799</v>
      </c>
      <c r="J156" s="2">
        <v>0.99990857679515799</v>
      </c>
      <c r="K156" s="2">
        <v>0.99990857679515799</v>
      </c>
    </row>
    <row r="157" spans="1:11" x14ac:dyDescent="0.25">
      <c r="A157">
        <v>15.6</v>
      </c>
      <c r="B157" s="2">
        <v>4.65661287307739E-10</v>
      </c>
      <c r="C157" s="2">
        <v>4.6566128730778299E-10</v>
      </c>
      <c r="D157" s="2">
        <v>4.6566154891680296E-10</v>
      </c>
      <c r="E157" s="2">
        <v>5.3447407119467695E-10</v>
      </c>
      <c r="F157" s="2">
        <v>7.9990504095583796E-7</v>
      </c>
      <c r="G157" s="2">
        <v>9.2027319597787604E-3</v>
      </c>
      <c r="H157" s="2">
        <v>0.990818659816734</v>
      </c>
      <c r="I157" s="2">
        <v>0.99991390085418796</v>
      </c>
      <c r="J157" s="2">
        <v>0.99991390085418796</v>
      </c>
      <c r="K157" s="2">
        <v>0.99991390085418796</v>
      </c>
    </row>
    <row r="158" spans="1:11" x14ac:dyDescent="0.25">
      <c r="A158">
        <v>15.7</v>
      </c>
      <c r="B158" s="2">
        <v>4.65661287307739E-10</v>
      </c>
      <c r="C158" s="2">
        <v>4.65661287307771E-10</v>
      </c>
      <c r="D158" s="2">
        <v>4.6566149516816495E-10</v>
      </c>
      <c r="E158" s="2">
        <v>5.2488867453297003E-10</v>
      </c>
      <c r="F158" s="2">
        <v>7.3107546901472898E-7</v>
      </c>
      <c r="G158" s="2">
        <v>8.9327255915970794E-3</v>
      </c>
      <c r="H158" s="2">
        <v>0.99108697446201499</v>
      </c>
      <c r="I158" s="2">
        <v>0.99991891485650697</v>
      </c>
      <c r="J158" s="2">
        <v>0.99991891485650697</v>
      </c>
      <c r="K158" s="2">
        <v>0.99991891485650697</v>
      </c>
    </row>
    <row r="159" spans="1:11" x14ac:dyDescent="0.25">
      <c r="A159">
        <v>15.8</v>
      </c>
      <c r="B159" s="2">
        <v>4.65661287307739E-10</v>
      </c>
      <c r="C159" s="2">
        <v>4.6566128730776201E-10</v>
      </c>
      <c r="D159" s="2">
        <v>4.6566145246274402E-10</v>
      </c>
      <c r="E159" s="2">
        <v>5.1663856899565304E-10</v>
      </c>
      <c r="F159" s="2">
        <v>6.6817315053082001E-7</v>
      </c>
      <c r="G159" s="2">
        <v>8.6705943220897006E-3</v>
      </c>
      <c r="H159" s="2">
        <v>0.99134754653772506</v>
      </c>
      <c r="I159" s="2">
        <v>0.99992363686000696</v>
      </c>
      <c r="J159" s="2">
        <v>0.99992363686000696</v>
      </c>
      <c r="K159" s="2">
        <v>0.99992363686000696</v>
      </c>
    </row>
    <row r="160" spans="1:11" x14ac:dyDescent="0.25">
      <c r="A160">
        <v>15.9</v>
      </c>
      <c r="B160" s="2">
        <v>4.65661287307739E-10</v>
      </c>
      <c r="C160" s="2">
        <v>4.6566128730775601E-10</v>
      </c>
      <c r="D160" s="2">
        <v>4.6566141853154197E-10</v>
      </c>
      <c r="E160" s="2">
        <v>5.0953773181965704E-10</v>
      </c>
      <c r="F160" s="2">
        <v>6.1068750660263697E-7</v>
      </c>
      <c r="G160" s="2">
        <v>8.4161107308411906E-3</v>
      </c>
      <c r="H160" s="2">
        <v>0.99160059320361804</v>
      </c>
      <c r="I160" s="2">
        <v>0.99992808387070398</v>
      </c>
      <c r="J160" s="2">
        <v>0.99992808387070398</v>
      </c>
      <c r="K160" s="2">
        <v>0.99992808387070398</v>
      </c>
    </row>
    <row r="161" spans="1:11" x14ac:dyDescent="0.25">
      <c r="A161">
        <v>16</v>
      </c>
      <c r="B161" s="2">
        <v>4.65661287307739E-10</v>
      </c>
      <c r="C161" s="2">
        <v>4.6566128730775105E-10</v>
      </c>
      <c r="D161" s="2">
        <v>4.6566139157176901E-10</v>
      </c>
      <c r="E161" s="2">
        <v>5.03426057206995E-10</v>
      </c>
      <c r="F161" s="2">
        <v>5.5815196031956798E-7</v>
      </c>
      <c r="G161" s="2">
        <v>8.1690538667439205E-3</v>
      </c>
      <c r="H161" s="2">
        <v>0.99184632593288902</v>
      </c>
      <c r="I161" s="2">
        <v>0.999932271904036</v>
      </c>
      <c r="J161" s="2">
        <v>0.999932271904036</v>
      </c>
      <c r="K161" s="2">
        <v>0.999932271904036</v>
      </c>
    </row>
    <row r="162" spans="1:11" x14ac:dyDescent="0.25">
      <c r="A162">
        <v>16.100000000000001</v>
      </c>
      <c r="B162" s="2">
        <v>4.65661287307739E-10</v>
      </c>
      <c r="C162" s="2">
        <v>4.6566128730774805E-10</v>
      </c>
      <c r="D162" s="2">
        <v>4.6566137015105396E-10</v>
      </c>
      <c r="E162" s="2">
        <v>4.9816574524192698E-10</v>
      </c>
      <c r="F162" s="2">
        <v>5.1014014196182404E-7</v>
      </c>
      <c r="G162" s="2">
        <v>7.9292090672592203E-3</v>
      </c>
      <c r="H162" s="2">
        <v>0.99208495063431601</v>
      </c>
      <c r="I162" s="2">
        <v>0.99993621604258298</v>
      </c>
      <c r="J162" s="2">
        <v>0.99993621604258298</v>
      </c>
      <c r="K162" s="2">
        <v>0.99993621604258298</v>
      </c>
    </row>
    <row r="163" spans="1:11" x14ac:dyDescent="0.25">
      <c r="A163">
        <v>16.2</v>
      </c>
      <c r="B163" s="2">
        <v>4.65661287307739E-10</v>
      </c>
      <c r="C163" s="2">
        <v>4.6566128730774505E-10</v>
      </c>
      <c r="D163" s="2">
        <v>4.6566135313132999E-10</v>
      </c>
      <c r="E163" s="2">
        <v>4.9363819400409004E-10</v>
      </c>
      <c r="F163" s="2">
        <v>4.6626242182422901E-7</v>
      </c>
      <c r="G163" s="2">
        <v>7.6963677827064101E-3</v>
      </c>
      <c r="H163" s="2">
        <v>0.99231666777365202</v>
      </c>
      <c r="I163" s="2">
        <v>0.99993993049042196</v>
      </c>
      <c r="J163" s="2">
        <v>0.99993993049042196</v>
      </c>
      <c r="K163" s="2">
        <v>0.99993993049042096</v>
      </c>
    </row>
    <row r="164" spans="1:11" x14ac:dyDescent="0.25">
      <c r="A164">
        <v>16.3</v>
      </c>
      <c r="B164" s="2">
        <v>4.65661287307739E-10</v>
      </c>
      <c r="C164" s="2">
        <v>4.6566128730774401E-10</v>
      </c>
      <c r="D164" s="2">
        <v>4.6566133960836503E-10</v>
      </c>
      <c r="E164" s="2">
        <v>4.8974132474839204E-10</v>
      </c>
      <c r="F164" s="2">
        <v>4.2616274233190202E-7</v>
      </c>
      <c r="G164" s="2">
        <v>7.47032740543051E-3</v>
      </c>
      <c r="H164" s="2">
        <v>0.99254167249411696</v>
      </c>
      <c r="I164" s="2">
        <v>0.99994342862431096</v>
      </c>
      <c r="J164" s="2">
        <v>0.99994342862431096</v>
      </c>
      <c r="K164" s="2">
        <v>0.99994342862431096</v>
      </c>
    </row>
    <row r="165" spans="1:11" x14ac:dyDescent="0.25">
      <c r="A165">
        <v>16.399999999999999</v>
      </c>
      <c r="B165" s="2">
        <v>4.65661287307739E-10</v>
      </c>
      <c r="C165" s="2">
        <v>4.6566128730774205E-10</v>
      </c>
      <c r="D165" s="2">
        <v>4.6566132886371704E-10</v>
      </c>
      <c r="E165" s="2">
        <v>4.86387279798079E-10</v>
      </c>
      <c r="F165" s="2">
        <v>3.89515723571822E-7</v>
      </c>
      <c r="G165" s="2">
        <v>7.2508911037029201E-3</v>
      </c>
      <c r="H165" s="2">
        <v>0.992760154735853</v>
      </c>
      <c r="I165" s="2">
        <v>0.99994672304189203</v>
      </c>
      <c r="J165" s="2">
        <v>0.99994672304189203</v>
      </c>
      <c r="K165" s="2">
        <v>0.99994672304189203</v>
      </c>
    </row>
    <row r="166" spans="1:11" x14ac:dyDescent="0.25">
      <c r="A166">
        <v>16.5</v>
      </c>
      <c r="B166" s="2">
        <v>4.65661287307739E-10</v>
      </c>
      <c r="C166" s="2">
        <v>4.6566128730774102E-10</v>
      </c>
      <c r="D166" s="2">
        <v>4.6566132032655696E-10</v>
      </c>
      <c r="E166" s="2">
        <v>4.8350044120998898E-10</v>
      </c>
      <c r="F166" s="2">
        <v>3.5602401860707502E-7</v>
      </c>
      <c r="G166" s="2">
        <v>7.0378676602175097E-3</v>
      </c>
      <c r="H166" s="2">
        <v>0.99297229935421705</v>
      </c>
      <c r="I166" s="2">
        <v>0.99994982560708001</v>
      </c>
      <c r="J166" s="2">
        <v>0.99994982560708001</v>
      </c>
      <c r="K166" s="2">
        <v>0.99994982560708001</v>
      </c>
    </row>
    <row r="167" spans="1:11" x14ac:dyDescent="0.25">
      <c r="A167">
        <v>16.600000000000001</v>
      </c>
      <c r="B167" s="2">
        <v>4.65661287307739E-10</v>
      </c>
      <c r="C167" s="2">
        <v>4.6566128730774102E-10</v>
      </c>
      <c r="D167" s="2">
        <v>4.6566131354334103E-10</v>
      </c>
      <c r="E167" s="2">
        <v>4.8101572551067902E-10</v>
      </c>
      <c r="F167" s="2">
        <v>3.2541589698761998E-7</v>
      </c>
      <c r="G167" s="2">
        <v>6.8310713150480998E-3</v>
      </c>
      <c r="H167" s="2">
        <v>0.99317828623679705</v>
      </c>
      <c r="I167" s="2">
        <v>0.99995274749280705</v>
      </c>
      <c r="J167" s="2">
        <v>0.99995274749280705</v>
      </c>
      <c r="K167" s="2">
        <v>0.99995274749280705</v>
      </c>
    </row>
    <row r="168" spans="1:11" x14ac:dyDescent="0.25">
      <c r="A168">
        <v>16.7</v>
      </c>
      <c r="B168" s="2">
        <v>4.65661287307739E-10</v>
      </c>
      <c r="C168" s="2">
        <v>4.6566128730773998E-10</v>
      </c>
      <c r="D168" s="2">
        <v>4.6566130815371102E-10</v>
      </c>
      <c r="E168" s="2">
        <v>4.7887711603251804E-10</v>
      </c>
      <c r="F168" s="2">
        <v>2.9744303674128702E-7</v>
      </c>
      <c r="G168" s="2">
        <v>6.6303216129365503E-3</v>
      </c>
      <c r="H168" s="2">
        <v>0.99337829041906101</v>
      </c>
      <c r="I168" s="2">
        <v>0.99995549922127802</v>
      </c>
      <c r="J168" s="2">
        <v>0.99995549922127802</v>
      </c>
      <c r="K168" s="2">
        <v>0.99995549922127802</v>
      </c>
    </row>
    <row r="169" spans="1:11" x14ac:dyDescent="0.25">
      <c r="A169">
        <v>16.8</v>
      </c>
      <c r="B169" s="2">
        <v>4.65661287307739E-10</v>
      </c>
      <c r="C169" s="2">
        <v>4.6566128730773998E-10</v>
      </c>
      <c r="D169" s="2">
        <v>4.6566130387134901E-10</v>
      </c>
      <c r="E169" s="2">
        <v>4.7703639974060901E-10</v>
      </c>
      <c r="F169" s="2">
        <v>2.7187850683521901E-7</v>
      </c>
      <c r="G169" s="2">
        <v>6.4354432547911698E-3</v>
      </c>
      <c r="H169" s="2">
        <v>0.993572482198537</v>
      </c>
      <c r="I169" s="2">
        <v>0.99995809070187502</v>
      </c>
      <c r="J169" s="2">
        <v>0.99995809070187502</v>
      </c>
      <c r="K169" s="2">
        <v>0.99995809070187502</v>
      </c>
    </row>
    <row r="170" spans="1:11" x14ac:dyDescent="0.25">
      <c r="A170">
        <v>16.899999999999999</v>
      </c>
      <c r="B170" s="2">
        <v>4.65661287307739E-10</v>
      </c>
      <c r="C170" s="2">
        <v>4.6566128730773998E-10</v>
      </c>
      <c r="D170" s="2">
        <v>4.6566130046876297E-10</v>
      </c>
      <c r="E170" s="2">
        <v>4.7545208005577204E-10</v>
      </c>
      <c r="F170" s="2">
        <v>2.48514923657443E-7</v>
      </c>
      <c r="G170" s="2">
        <v>6.2462659532712796E-3</v>
      </c>
      <c r="H170" s="2">
        <v>0.99376102724746695</v>
      </c>
      <c r="I170" s="2">
        <v>0.99996053126685402</v>
      </c>
      <c r="J170" s="2">
        <v>0.99996053126685402</v>
      </c>
      <c r="K170" s="2">
        <v>0.99996053126685402</v>
      </c>
    </row>
    <row r="171" spans="1:11" x14ac:dyDescent="0.25">
      <c r="A171">
        <v>17</v>
      </c>
      <c r="B171" s="2">
        <v>4.65661287307739E-10</v>
      </c>
      <c r="C171" s="2">
        <v>4.6566128730773998E-10</v>
      </c>
      <c r="D171" s="2">
        <v>4.6566129776520296E-10</v>
      </c>
      <c r="E171" s="2">
        <v>4.74088441149982E-10</v>
      </c>
      <c r="F171" s="2">
        <v>2.2716276649094999E-7</v>
      </c>
      <c r="G171" s="2">
        <v>6.0626242923452599E-3</v>
      </c>
      <c r="H171" s="2">
        <v>0.99394408672383905</v>
      </c>
      <c r="I171" s="2">
        <v>0.99996282970496597</v>
      </c>
      <c r="J171" s="2">
        <v>0.99996282970496597</v>
      </c>
      <c r="K171" s="2">
        <v>0.99996282970496597</v>
      </c>
    </row>
    <row r="172" spans="1:11" x14ac:dyDescent="0.25">
      <c r="A172">
        <v>17.100000000000001</v>
      </c>
      <c r="B172" s="2">
        <v>4.65661287307739E-10</v>
      </c>
      <c r="C172" s="2">
        <v>4.6566128730773998E-10</v>
      </c>
      <c r="D172" s="2">
        <v>4.6566129561705399E-10</v>
      </c>
      <c r="E172" s="2">
        <v>4.7291474260822496E-10</v>
      </c>
      <c r="F172" s="2">
        <v>2.0764883825332501E-7</v>
      </c>
      <c r="G172" s="2">
        <v>5.88435759070839E-3</v>
      </c>
      <c r="H172" s="2">
        <v>0.994121817380757</v>
      </c>
      <c r="I172" s="2">
        <v>0.99996499429311403</v>
      </c>
      <c r="J172" s="2">
        <v>0.99996499429311403</v>
      </c>
      <c r="K172" s="2">
        <v>0.99996499429311403</v>
      </c>
    </row>
    <row r="173" spans="1:11" x14ac:dyDescent="0.25">
      <c r="A173">
        <v>17.2</v>
      </c>
      <c r="B173" s="2">
        <v>4.65661287307739E-10</v>
      </c>
      <c r="C173" s="2">
        <v>4.6566128730773998E-10</v>
      </c>
      <c r="D173" s="2">
        <v>4.6566129391020795E-10</v>
      </c>
      <c r="E173" s="2">
        <v>4.7190452629201102E-10</v>
      </c>
      <c r="F173" s="2">
        <v>1.8981485896153301E-7</v>
      </c>
      <c r="G173" s="2">
        <v>5.71130976895271E-3</v>
      </c>
      <c r="H173" s="2">
        <v>0.99429437167409995</v>
      </c>
      <c r="I173" s="2">
        <v>0.99996703282616295</v>
      </c>
      <c r="J173" s="2">
        <v>0.99996703282616295</v>
      </c>
      <c r="K173" s="2">
        <v>0.99996703282616295</v>
      </c>
    </row>
    <row r="174" spans="1:11" x14ac:dyDescent="0.25">
      <c r="A174">
        <v>17.3</v>
      </c>
      <c r="B174" s="2">
        <v>4.65661287307739E-10</v>
      </c>
      <c r="C174" s="2">
        <v>4.65661287307739E-10</v>
      </c>
      <c r="D174" s="2">
        <v>4.6566129255400305E-10</v>
      </c>
      <c r="E174" s="2">
        <v>4.7103501977108501E-10</v>
      </c>
      <c r="F174" s="2">
        <v>1.7351618046627599E-7</v>
      </c>
      <c r="G174" s="2">
        <v>5.5433292203865697E-3</v>
      </c>
      <c r="H174" s="2">
        <v>0.994461897868407</v>
      </c>
      <c r="I174" s="2">
        <v>0.99996895264502195</v>
      </c>
      <c r="J174" s="2">
        <v>0.99996895264502195</v>
      </c>
      <c r="K174" s="2">
        <v>0.99996895264502195</v>
      </c>
    </row>
    <row r="175" spans="1:11" x14ac:dyDescent="0.25">
      <c r="A175">
        <v>17.399999999999999</v>
      </c>
      <c r="B175" s="2">
        <v>4.65661287307739E-10</v>
      </c>
      <c r="C175" s="2">
        <v>4.65661287307739E-10</v>
      </c>
      <c r="D175" s="2">
        <v>4.6566129147639898E-10</v>
      </c>
      <c r="E175" s="2">
        <v>4.7028662286833798E-10</v>
      </c>
      <c r="F175" s="2">
        <v>1.58620611990211E-7</v>
      </c>
      <c r="G175" s="2">
        <v>5.3802686853977001E-3</v>
      </c>
      <c r="H175" s="2">
        <v>0.99462454014097101</v>
      </c>
      <c r="I175" s="2">
        <v>0.99997076066308099</v>
      </c>
      <c r="J175" s="2">
        <v>0.99997076066308099</v>
      </c>
      <c r="K175" s="2">
        <v>0.99997076066308099</v>
      </c>
    </row>
    <row r="176" spans="1:11" x14ac:dyDescent="0.25">
      <c r="A176">
        <v>17.5</v>
      </c>
      <c r="B176" s="2">
        <v>4.65661287307739E-10</v>
      </c>
      <c r="C176" s="2">
        <v>4.65661287307739E-10</v>
      </c>
      <c r="D176" s="2">
        <v>4.65661290620162E-10</v>
      </c>
      <c r="E176" s="2">
        <v>4.6964246573787795E-10</v>
      </c>
      <c r="F176" s="2">
        <v>1.4500734690895E-7</v>
      </c>
      <c r="G176" s="2">
        <v>5.2219851292683497E-3</v>
      </c>
      <c r="H176" s="2">
        <v>0.99478243868410299</v>
      </c>
      <c r="I176" s="2">
        <v>0.99997246339111301</v>
      </c>
      <c r="J176" s="2">
        <v>0.99997246339111301</v>
      </c>
      <c r="K176" s="2">
        <v>0.99997246339111301</v>
      </c>
    </row>
    <row r="177" spans="1:11" x14ac:dyDescent="0.25">
      <c r="A177">
        <v>17.600000000000001</v>
      </c>
      <c r="B177" s="2">
        <v>4.65661287307739E-10</v>
      </c>
      <c r="C177" s="2">
        <v>4.65661287307739E-10</v>
      </c>
      <c r="D177" s="2">
        <v>4.6566128993981401E-10</v>
      </c>
      <c r="E177" s="2">
        <v>4.6908802850975295E-10</v>
      </c>
      <c r="F177" s="2">
        <v>1.3256598204004E-7</v>
      </c>
      <c r="G177" s="2">
        <v>5.0683396233428E-3</v>
      </c>
      <c r="H177" s="2">
        <v>0.99493572980554001</v>
      </c>
      <c r="I177" s="2">
        <v>0.999974066960721</v>
      </c>
      <c r="J177" s="2">
        <v>0.999974066960721</v>
      </c>
      <c r="K177" s="2">
        <v>0.999974066960721</v>
      </c>
    </row>
    <row r="178" spans="1:11" x14ac:dyDescent="0.25">
      <c r="A178">
        <v>17.7</v>
      </c>
      <c r="B178" s="2">
        <v>4.65661287307739E-10</v>
      </c>
      <c r="C178" s="2">
        <v>4.65661287307739E-10</v>
      </c>
      <c r="D178" s="2">
        <v>4.6566128939922201E-10</v>
      </c>
      <c r="E178" s="2">
        <v>4.6861081392356403E-10</v>
      </c>
      <c r="F178" s="2">
        <v>1.2119562145942601E-7</v>
      </c>
      <c r="G178" s="2">
        <v>4.9191972294561704E-3</v>
      </c>
      <c r="H178" s="2">
        <v>0.99508454602698804</v>
      </c>
      <c r="I178" s="2">
        <v>0.99997557714642404</v>
      </c>
      <c r="J178" s="2">
        <v>0.99997557714642404</v>
      </c>
      <c r="K178" s="2">
        <v>0.99997557714642404</v>
      </c>
    </row>
    <row r="179" spans="1:11" x14ac:dyDescent="0.25">
      <c r="A179">
        <v>17.8</v>
      </c>
      <c r="B179" s="2">
        <v>4.65661287307739E-10</v>
      </c>
      <c r="C179" s="2">
        <v>4.65661287307739E-10</v>
      </c>
      <c r="D179" s="2">
        <v>4.6566128896967301E-10</v>
      </c>
      <c r="E179" s="2">
        <v>4.6820006556843301E-10</v>
      </c>
      <c r="F179" s="2">
        <v>1.1080405755450699E-7</v>
      </c>
      <c r="G179" s="2">
        <v>4.7744268875383102E-3</v>
      </c>
      <c r="H179" s="2">
        <v>0.99522901618076698</v>
      </c>
      <c r="I179" s="2">
        <v>0.99997699938645501</v>
      </c>
      <c r="J179" s="2">
        <v>0.99997699938645601</v>
      </c>
      <c r="K179" s="2">
        <v>0.99997699938645601</v>
      </c>
    </row>
    <row r="180" spans="1:11" x14ac:dyDescent="0.25">
      <c r="A180">
        <v>17.899999999999999</v>
      </c>
      <c r="B180" s="2">
        <v>4.65661287307739E-10</v>
      </c>
      <c r="C180" s="2">
        <v>4.65661287307739E-10</v>
      </c>
      <c r="D180" s="2">
        <v>4.6566128862835802E-10</v>
      </c>
      <c r="E180" s="2">
        <v>4.6784652537536797E-10</v>
      </c>
      <c r="F180" s="2">
        <v>1.01307022652268E-7</v>
      </c>
      <c r="G180" s="2">
        <v>4.6339013063026301E-3</v>
      </c>
      <c r="H180" s="2">
        <v>0.99536926550457905</v>
      </c>
      <c r="I180" s="2">
        <v>0.99997833880234299</v>
      </c>
      <c r="J180" s="2">
        <v>0.99997833880234299</v>
      </c>
      <c r="K180" s="2">
        <v>0.99997833880234299</v>
      </c>
    </row>
    <row r="181" spans="1:11" x14ac:dyDescent="0.25">
      <c r="A181">
        <v>18</v>
      </c>
      <c r="B181" s="2">
        <v>4.65661287307739E-10</v>
      </c>
      <c r="C181" s="2">
        <v>4.65661287307739E-10</v>
      </c>
      <c r="D181" s="2">
        <v>4.6566128835715001E-10</v>
      </c>
      <c r="E181" s="2">
        <v>4.6754222489344901E-10</v>
      </c>
      <c r="F181" s="2">
        <v>9.2627505136349598E-8</v>
      </c>
      <c r="G181" s="2">
        <v>4.4974968569385203E-3</v>
      </c>
      <c r="H181" s="2">
        <v>0.99550541573436302</v>
      </c>
      <c r="I181" s="2">
        <v>0.99997960021735899</v>
      </c>
      <c r="J181" s="2">
        <v>0.99997960021735899</v>
      </c>
      <c r="K181" s="2">
        <v>0.99997960021735899</v>
      </c>
    </row>
    <row r="182" spans="1:11" x14ac:dyDescent="0.25">
      <c r="A182">
        <v>18.100000000000001</v>
      </c>
      <c r="B182" s="2">
        <v>4.65661287307739E-10</v>
      </c>
      <c r="C182" s="2">
        <v>4.65661287307739E-10</v>
      </c>
      <c r="D182" s="2">
        <v>4.6566128814164702E-10</v>
      </c>
      <c r="E182" s="2">
        <v>4.6728030564311502E-10</v>
      </c>
      <c r="F182" s="2">
        <v>8.4695124492183097E-8</v>
      </c>
      <c r="G182" s="2">
        <v>4.3650934697252904E-3</v>
      </c>
      <c r="H182" s="2">
        <v>0.99563758519525702</v>
      </c>
      <c r="I182" s="2">
        <v>0.99998078817388703</v>
      </c>
      <c r="J182" s="2">
        <v>0.99998078817388703</v>
      </c>
      <c r="K182" s="2">
        <v>0.99998078817388703</v>
      </c>
    </row>
    <row r="183" spans="1:11" x14ac:dyDescent="0.25">
      <c r="A183">
        <v>18.2</v>
      </c>
      <c r="B183" s="2">
        <v>4.65661287307739E-10</v>
      </c>
      <c r="C183" s="2">
        <v>4.65661287307739E-10</v>
      </c>
      <c r="D183" s="2">
        <v>4.6566128797040698E-10</v>
      </c>
      <c r="E183" s="2">
        <v>4.6705486449567203E-10</v>
      </c>
      <c r="F183" s="2">
        <v>7.7445560199389606E-8</v>
      </c>
      <c r="G183" s="2">
        <v>4.2365745334887904E-3</v>
      </c>
      <c r="H183" s="2">
        <v>0.99576588889066298</v>
      </c>
      <c r="I183" s="2">
        <v>0.99998190694978295</v>
      </c>
      <c r="J183" s="2">
        <v>0.99998190694978295</v>
      </c>
      <c r="K183" s="2">
        <v>0.99998190694978295</v>
      </c>
    </row>
    <row r="184" spans="1:11" x14ac:dyDescent="0.25">
      <c r="A184">
        <v>18.3</v>
      </c>
      <c r="B184" s="2">
        <v>4.65661287307739E-10</v>
      </c>
      <c r="C184" s="2">
        <v>4.65661287307739E-10</v>
      </c>
      <c r="D184" s="2">
        <v>4.6566128783433701E-10</v>
      </c>
      <c r="E184" s="2">
        <v>4.6686082059249304E-10</v>
      </c>
      <c r="F184" s="2">
        <v>7.0820029829117202E-8</v>
      </c>
      <c r="G184" s="2">
        <v>4.1118267978238398E-3</v>
      </c>
      <c r="H184" s="2">
        <v>0.99589043858941995</v>
      </c>
      <c r="I184" s="2">
        <v>0.999982960573779</v>
      </c>
      <c r="J184" s="2">
        <v>0.999982960573779</v>
      </c>
      <c r="K184" s="2">
        <v>0.999982960573779</v>
      </c>
    </row>
    <row r="185" spans="1:11" x14ac:dyDescent="0.25">
      <c r="A185">
        <v>18.399999999999999</v>
      </c>
      <c r="B185" s="2">
        <v>4.65661287307739E-10</v>
      </c>
      <c r="C185" s="2">
        <v>4.65661287307739E-10</v>
      </c>
      <c r="D185" s="2">
        <v>4.6566128772621303E-10</v>
      </c>
      <c r="E185" s="2">
        <v>4.6669380080314196E-10</v>
      </c>
      <c r="F185" s="2">
        <v>6.4764812104573104E-8</v>
      </c>
      <c r="G185" s="2">
        <v>3.9907402780079504E-3</v>
      </c>
      <c r="H185" s="2">
        <v>0.99601134291109605</v>
      </c>
      <c r="I185" s="2">
        <v>0.99998395283999197</v>
      </c>
      <c r="J185" s="2">
        <v>0.99998395283999097</v>
      </c>
      <c r="K185" s="2">
        <v>0.99998395283999097</v>
      </c>
    </row>
    <row r="186" spans="1:11" x14ac:dyDescent="0.25">
      <c r="A186">
        <v>18.5</v>
      </c>
      <c r="B186" s="2">
        <v>4.65661287307739E-10</v>
      </c>
      <c r="C186" s="2">
        <v>4.65661287307739E-10</v>
      </c>
      <c r="D186" s="2">
        <v>4.6566128764029399E-10</v>
      </c>
      <c r="E186" s="2">
        <v>4.6655004113974102E-10</v>
      </c>
      <c r="F186" s="2">
        <v>5.9230811048981399E-8</v>
      </c>
      <c r="G186" s="2">
        <v>3.8732081625346198E-3</v>
      </c>
      <c r="H186" s="2">
        <v>0.99612870740941095</v>
      </c>
      <c r="I186" s="2">
        <v>0.99998488732158597</v>
      </c>
      <c r="J186" s="2">
        <v>0.99998488732158597</v>
      </c>
      <c r="K186" s="2">
        <v>0.99998488732158597</v>
      </c>
    </row>
    <row r="187" spans="1:11" x14ac:dyDescent="0.25">
      <c r="A187">
        <v>18.600000000000001</v>
      </c>
      <c r="B187" s="2">
        <v>4.65661287307739E-10</v>
      </c>
      <c r="C187" s="2">
        <v>4.65661287307739E-10</v>
      </c>
      <c r="D187" s="2">
        <v>4.6566128757202005E-10</v>
      </c>
      <c r="E187" s="2">
        <v>4.6642630190469303E-10</v>
      </c>
      <c r="F187" s="2">
        <v>5.41731576795932E-8</v>
      </c>
      <c r="G187" s="2">
        <v>3.75912672319543E-3</v>
      </c>
      <c r="H187" s="2">
        <v>0.99624263465380103</v>
      </c>
      <c r="I187" s="2">
        <v>0.99998576738364497</v>
      </c>
      <c r="J187" s="2">
        <v>0.99998576738364497</v>
      </c>
      <c r="K187" s="2">
        <v>0.99998576738364497</v>
      </c>
    </row>
    <row r="188" spans="1:11" x14ac:dyDescent="0.25">
      <c r="A188">
        <v>18.7</v>
      </c>
      <c r="B188" s="2">
        <v>4.65661287307739E-10</v>
      </c>
      <c r="C188" s="2">
        <v>4.65661287307739E-10</v>
      </c>
      <c r="D188" s="2">
        <v>4.65661287517766E-10</v>
      </c>
      <c r="E188" s="2">
        <v>4.6631979465857501E-10</v>
      </c>
      <c r="F188" s="2">
        <v>4.9550846011801203E-8</v>
      </c>
      <c r="G188" s="2">
        <v>3.64839522764129E-3</v>
      </c>
      <c r="H188" s="2">
        <v>0.99635322430914797</v>
      </c>
      <c r="I188" s="2">
        <v>0.99998659619528396</v>
      </c>
      <c r="J188" s="2">
        <v>0.99998659619528396</v>
      </c>
      <c r="K188" s="2">
        <v>0.99998659619528396</v>
      </c>
    </row>
    <row r="189" spans="1:11" x14ac:dyDescent="0.25">
      <c r="A189">
        <v>18.8</v>
      </c>
      <c r="B189" s="2">
        <v>4.65661287307739E-10</v>
      </c>
      <c r="C189" s="2">
        <v>4.65661287307739E-10</v>
      </c>
      <c r="D189" s="2">
        <v>4.6566128747465304E-10</v>
      </c>
      <c r="E189" s="2">
        <v>4.6622811936156096E-10</v>
      </c>
      <c r="F189" s="2">
        <v>4.5326400416537703E-8</v>
      </c>
      <c r="G189" s="2">
        <v>3.5409158543595002E-3</v>
      </c>
      <c r="H189" s="2">
        <v>0.99646057321368198</v>
      </c>
      <c r="I189" s="2">
        <v>0.99998737674106397</v>
      </c>
      <c r="J189" s="2">
        <v>0.99998737674106397</v>
      </c>
      <c r="K189" s="2">
        <v>0.99998737674106397</v>
      </c>
    </row>
    <row r="190" spans="1:11" x14ac:dyDescent="0.25">
      <c r="A190">
        <v>18.899999999999999</v>
      </c>
      <c r="B190" s="2">
        <v>4.65661287307739E-10</v>
      </c>
      <c r="C190" s="2">
        <v>4.65661287307739E-10</v>
      </c>
      <c r="D190" s="2">
        <v>4.6566128744039297E-10</v>
      </c>
      <c r="E190" s="2">
        <v>4.6614921027112601E-10</v>
      </c>
      <c r="F190" s="2">
        <v>4.1465571629147202E-8</v>
      </c>
      <c r="G190" s="2">
        <v>3.4365936099988001E-3</v>
      </c>
      <c r="H190" s="2">
        <v>0.99656477545508604</v>
      </c>
      <c r="I190" s="2">
        <v>0.99998811183174197</v>
      </c>
      <c r="J190" s="2">
        <v>0.99998811183174197</v>
      </c>
      <c r="K190" s="2">
        <v>0.99998811183174197</v>
      </c>
    </row>
    <row r="191" spans="1:11" x14ac:dyDescent="0.25">
      <c r="A191">
        <v>19</v>
      </c>
      <c r="B191" s="2">
        <v>4.65661287307739E-10</v>
      </c>
      <c r="C191" s="2">
        <v>4.65661287307739E-10</v>
      </c>
      <c r="D191" s="2">
        <v>4.6566128741316705E-10</v>
      </c>
      <c r="E191" s="2">
        <v>4.6608128937620797E-10</v>
      </c>
      <c r="F191" s="2">
        <v>3.79370589408636E-8</v>
      </c>
      <c r="G191" s="2">
        <v>3.3353362489803601E-3</v>
      </c>
      <c r="H191" s="2">
        <v>0.99666592244482199</v>
      </c>
      <c r="I191" s="2">
        <v>0.99998880411438995</v>
      </c>
      <c r="J191" s="2">
        <v>0.99998880411438995</v>
      </c>
      <c r="K191" s="2">
        <v>0.99998880411438995</v>
      </c>
    </row>
    <row r="192" spans="1:11" x14ac:dyDescent="0.25">
      <c r="A192">
        <v>19.100000000000001</v>
      </c>
      <c r="B192" s="2">
        <v>4.65661287307739E-10</v>
      </c>
      <c r="C192" s="2">
        <v>4.65661287307739E-10</v>
      </c>
      <c r="D192" s="2">
        <v>4.65661287391531E-10</v>
      </c>
      <c r="E192" s="2">
        <v>4.66022826317994E-10</v>
      </c>
      <c r="F192" s="2">
        <v>3.4712256316920999E-8</v>
      </c>
      <c r="G192" s="2">
        <v>3.23705419533483E-3</v>
      </c>
      <c r="H192" s="2">
        <v>0.99676410299069496</v>
      </c>
      <c r="I192" s="2">
        <v>0.99998945608192802</v>
      </c>
      <c r="J192" s="2">
        <v>0.99998945608192802</v>
      </c>
      <c r="K192" s="2">
        <v>0.99998945608192802</v>
      </c>
    </row>
    <row r="193" spans="1:11" x14ac:dyDescent="0.25">
      <c r="A193">
        <v>19.2</v>
      </c>
      <c r="B193" s="2">
        <v>4.65661287307739E-10</v>
      </c>
      <c r="C193" s="2">
        <v>4.65661287307739E-10</v>
      </c>
      <c r="D193" s="2">
        <v>4.6566128737433702E-10</v>
      </c>
      <c r="E193" s="2">
        <v>4.6597250389367301E-10</v>
      </c>
      <c r="F193" s="2">
        <v>3.1765020379831901E-8</v>
      </c>
      <c r="G193" s="2">
        <v>3.1416604667038502E-3</v>
      </c>
      <c r="H193" s="2">
        <v>0.99685940336768597</v>
      </c>
      <c r="I193" s="2">
        <v>0.99999007008210095</v>
      </c>
      <c r="J193" s="2">
        <v>0.99999007008210095</v>
      </c>
      <c r="K193" s="2">
        <v>0.99999007008210095</v>
      </c>
    </row>
    <row r="194" spans="1:11" x14ac:dyDescent="0.25">
      <c r="A194">
        <v>19.3</v>
      </c>
      <c r="B194" s="2">
        <v>4.65661287307739E-10</v>
      </c>
      <c r="C194" s="2">
        <v>4.65661287307739E-10</v>
      </c>
      <c r="D194" s="2">
        <v>4.6566128736067303E-10</v>
      </c>
      <c r="E194" s="2">
        <v>4.6592918836547195E-10</v>
      </c>
      <c r="F194" s="2">
        <v>2.9071458374062399E-8</v>
      </c>
      <c r="G194" s="2">
        <v>3.0490706004501402E-3</v>
      </c>
      <c r="H194" s="2">
        <v>0.99695190738708195</v>
      </c>
      <c r="I194" s="2">
        <v>0.99999064832593498</v>
      </c>
      <c r="J194" s="2">
        <v>0.99999064832593498</v>
      </c>
      <c r="K194" s="2">
        <v>0.99999064832593498</v>
      </c>
    </row>
    <row r="195" spans="1:11" x14ac:dyDescent="0.25">
      <c r="A195">
        <v>19.399999999999999</v>
      </c>
      <c r="B195" s="2">
        <v>4.65661287307739E-10</v>
      </c>
      <c r="C195" s="2">
        <v>4.65661287307739E-10</v>
      </c>
      <c r="D195" s="2">
        <v>4.6566128734981297E-10</v>
      </c>
      <c r="E195" s="2">
        <v>4.6589190390554496E-10</v>
      </c>
      <c r="F195" s="2">
        <v>2.6609734390721399E-8</v>
      </c>
      <c r="G195" s="2">
        <v>2.95920258181706E-3</v>
      </c>
      <c r="H195" s="2">
        <v>0.99704169646391605</v>
      </c>
      <c r="I195" s="2">
        <v>0.99999119289569505</v>
      </c>
      <c r="J195" s="2">
        <v>0.99999119289569505</v>
      </c>
      <c r="K195" s="2">
        <v>0.99999119289569505</v>
      </c>
    </row>
    <row r="196" spans="1:11" x14ac:dyDescent="0.25">
      <c r="A196">
        <v>19.5</v>
      </c>
      <c r="B196" s="2">
        <v>4.65661287307739E-10</v>
      </c>
      <c r="C196" s="2">
        <v>4.65661287307739E-10</v>
      </c>
      <c r="D196" s="2">
        <v>4.65661287341183E-10</v>
      </c>
      <c r="E196" s="2">
        <v>4.6585981060061901E-10</v>
      </c>
      <c r="F196" s="2">
        <v>2.4359892279263401E-8</v>
      </c>
      <c r="G196" s="2">
        <v>2.87197677408541E-3</v>
      </c>
      <c r="H196" s="2">
        <v>0.99712884968275795</v>
      </c>
      <c r="I196" s="2">
        <v>0.99999170575238805</v>
      </c>
      <c r="J196" s="2">
        <v>0.99999170575238805</v>
      </c>
      <c r="K196" s="2">
        <v>0.99999170575238805</v>
      </c>
    </row>
    <row r="197" spans="1:11" x14ac:dyDescent="0.25">
      <c r="A197">
        <v>19.600000000000001</v>
      </c>
      <c r="B197" s="2">
        <v>4.65661287307739E-10</v>
      </c>
      <c r="C197" s="2">
        <v>4.65661287307739E-10</v>
      </c>
      <c r="D197" s="2">
        <v>4.6566128733432298E-10</v>
      </c>
      <c r="E197" s="2">
        <v>4.6583218552048804E-10</v>
      </c>
      <c r="F197" s="2">
        <v>2.2303693808759202E-8</v>
      </c>
      <c r="G197" s="2">
        <v>2.7873158506722799E-3</v>
      </c>
      <c r="H197" s="2">
        <v>0.99721344386187405</v>
      </c>
      <c r="I197" s="2">
        <v>0.99999218874282103</v>
      </c>
      <c r="J197" s="2">
        <v>0.99999218874282103</v>
      </c>
      <c r="K197" s="2">
        <v>0.99999218874282103</v>
      </c>
    </row>
    <row r="198" spans="1:11" x14ac:dyDescent="0.25">
      <c r="A198">
        <v>19.7</v>
      </c>
      <c r="B198" s="2">
        <v>4.65661287307739E-10</v>
      </c>
      <c r="C198" s="2">
        <v>4.65661287307739E-10</v>
      </c>
      <c r="D198" s="2">
        <v>4.6566128732887196E-10</v>
      </c>
      <c r="E198" s="2">
        <v>4.6580840642359003E-10</v>
      </c>
      <c r="F198" s="2">
        <v>2.04244707651791E-8</v>
      </c>
      <c r="G198" s="2">
        <v>2.7051447291197199E-3</v>
      </c>
      <c r="H198" s="2">
        <v>0.99729555361579003</v>
      </c>
      <c r="I198" s="2">
        <v>0.99999264360625195</v>
      </c>
      <c r="J198" s="2">
        <v>0.99999264360625195</v>
      </c>
      <c r="K198" s="2">
        <v>0.99999264360625195</v>
      </c>
    </row>
    <row r="199" spans="1:11" x14ac:dyDescent="0.25">
      <c r="A199">
        <v>19.8</v>
      </c>
      <c r="B199" s="2">
        <v>4.65661287307739E-10</v>
      </c>
      <c r="C199" s="2">
        <v>4.65661287307739E-10</v>
      </c>
      <c r="D199" s="2">
        <v>4.6566128732453899E-10</v>
      </c>
      <c r="E199" s="2">
        <v>4.6578793773229399E-10</v>
      </c>
      <c r="F199" s="2">
        <v>1.8706989784339301E-8</v>
      </c>
      <c r="G199" s="2">
        <v>2.62539050692442E-3</v>
      </c>
      <c r="H199" s="2">
        <v>0.99737525141628303</v>
      </c>
      <c r="I199" s="2">
        <v>0.99999307198065701</v>
      </c>
      <c r="J199" s="2">
        <v>0.99999307198065701</v>
      </c>
      <c r="K199" s="2">
        <v>0.99999307198065701</v>
      </c>
    </row>
    <row r="200" spans="1:11" x14ac:dyDescent="0.25">
      <c r="A200">
        <v>19.899999999999999</v>
      </c>
      <c r="B200" s="2">
        <v>4.65661287307739E-10</v>
      </c>
      <c r="C200" s="2">
        <v>4.65661287307739E-10</v>
      </c>
      <c r="D200" s="2">
        <v>4.6566128732109502E-10</v>
      </c>
      <c r="E200" s="2">
        <v>4.6577031846175003E-10</v>
      </c>
      <c r="F200" s="2">
        <v>1.7137328823567499E-8</v>
      </c>
      <c r="G200" s="2">
        <v>2.5479823991559E-3</v>
      </c>
      <c r="H200" s="2">
        <v>0.99745260765182497</v>
      </c>
      <c r="I200" s="2">
        <v>0.99999347540862105</v>
      </c>
      <c r="J200" s="2">
        <v>0.99999347540862105</v>
      </c>
      <c r="K200" s="2">
        <v>0.99999347540862105</v>
      </c>
    </row>
    <row r="201" spans="1:11" x14ac:dyDescent="0.25">
      <c r="A201">
        <v>20</v>
      </c>
      <c r="B201" s="2">
        <v>4.65661287307739E-10</v>
      </c>
      <c r="C201" s="2">
        <v>4.65661287307739E-10</v>
      </c>
      <c r="D201" s="2">
        <v>4.6566128731835798E-10</v>
      </c>
      <c r="E201" s="2">
        <v>4.6575515183016002E-10</v>
      </c>
      <c r="F201" s="2">
        <v>1.5702764269691799E-8</v>
      </c>
      <c r="G201" s="2">
        <v>2.4728516778177701E-3</v>
      </c>
      <c r="H201" s="2">
        <v>0.99752769068552105</v>
      </c>
      <c r="I201" s="2">
        <v>0.99999385534289897</v>
      </c>
      <c r="J201" s="2">
        <v>0.99999385534289897</v>
      </c>
      <c r="K201" s="2">
        <v>0.99999385534289897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019"/>
  <sheetViews>
    <sheetView workbookViewId="0">
      <selection activeCell="B16" sqref="B16:G16"/>
    </sheetView>
  </sheetViews>
  <sheetFormatPr defaultRowHeight="15" x14ac:dyDescent="0.25"/>
  <cols>
    <col min="1" max="12" width="9.140625" style="2"/>
    <col min="13" max="14" width="13" style="2" customWidth="1"/>
    <col min="15" max="17" width="9.140625" style="2" customWidth="1"/>
    <col min="18" max="18" width="10.140625" style="2" customWidth="1"/>
    <col min="19" max="26" width="9.140625" style="2"/>
    <col min="27" max="28" width="13" style="2" customWidth="1"/>
    <col min="29" max="31" width="9.140625" style="2" customWidth="1"/>
    <col min="32" max="32" width="10.140625" style="2" customWidth="1"/>
    <col min="33" max="41" width="9.140625" style="2"/>
    <col min="42" max="42" width="13.42578125" style="2" customWidth="1"/>
    <col min="43" max="16384" width="9.140625" style="2"/>
  </cols>
  <sheetData>
    <row r="3" spans="1:42" x14ac:dyDescent="0.25">
      <c r="B3" s="2" t="s">
        <v>22</v>
      </c>
    </row>
    <row r="5" spans="1:42" x14ac:dyDescent="0.25">
      <c r="B5" s="13" t="s">
        <v>6</v>
      </c>
      <c r="C5" s="13"/>
      <c r="D5" s="13"/>
      <c r="E5" s="13"/>
      <c r="F5" s="13"/>
      <c r="G5" s="13"/>
      <c r="H5" s="13"/>
      <c r="I5" s="13"/>
      <c r="J5" s="13"/>
      <c r="K5" s="13"/>
      <c r="O5" s="13" t="s">
        <v>6</v>
      </c>
      <c r="P5" s="13"/>
      <c r="Q5" s="13"/>
      <c r="R5" s="13"/>
      <c r="S5" s="13"/>
      <c r="T5" s="13"/>
      <c r="U5" s="13"/>
      <c r="V5" s="13"/>
      <c r="W5" s="13"/>
      <c r="X5" s="13"/>
      <c r="Y5" s="7"/>
      <c r="AC5" s="13" t="s">
        <v>6</v>
      </c>
      <c r="AD5" s="13"/>
      <c r="AE5" s="13"/>
      <c r="AF5" s="13"/>
      <c r="AG5" s="13"/>
      <c r="AH5" s="13"/>
      <c r="AI5" s="13"/>
      <c r="AJ5" s="13"/>
      <c r="AK5" s="13"/>
      <c r="AL5" s="13"/>
      <c r="AM5" s="7"/>
    </row>
    <row r="6" spans="1:42" x14ac:dyDescent="0.25">
      <c r="A6" s="5" t="s">
        <v>0</v>
      </c>
      <c r="B6" s="6">
        <v>0.5</v>
      </c>
      <c r="C6" s="6">
        <v>1.5</v>
      </c>
      <c r="D6" s="6">
        <v>2.5</v>
      </c>
      <c r="E6" s="6">
        <v>3.5</v>
      </c>
      <c r="F6" s="6">
        <v>4.5</v>
      </c>
      <c r="G6" s="6">
        <v>5.5</v>
      </c>
      <c r="H6" s="6">
        <v>6.5</v>
      </c>
      <c r="I6" s="6">
        <v>7.5</v>
      </c>
      <c r="J6" s="6">
        <v>8.5</v>
      </c>
      <c r="K6" s="6">
        <v>9.5</v>
      </c>
      <c r="N6" s="5" t="s">
        <v>0</v>
      </c>
      <c r="O6" s="6">
        <v>0.5</v>
      </c>
      <c r="P6" s="6">
        <v>1.5</v>
      </c>
      <c r="Q6" s="6">
        <v>2.5</v>
      </c>
      <c r="R6" s="6">
        <v>3.5</v>
      </c>
      <c r="S6" s="6">
        <v>4.5</v>
      </c>
      <c r="T6" s="6">
        <v>5.5</v>
      </c>
      <c r="U6" s="6">
        <v>6.5</v>
      </c>
      <c r="V6" s="6">
        <v>7.5</v>
      </c>
      <c r="W6" s="6">
        <v>8.5</v>
      </c>
      <c r="X6" s="6">
        <v>9.5</v>
      </c>
      <c r="Y6" s="10" t="s">
        <v>23</v>
      </c>
      <c r="AB6" s="5" t="s">
        <v>0</v>
      </c>
      <c r="AC6" s="6">
        <v>0.5</v>
      </c>
      <c r="AD6" s="6">
        <v>1.5</v>
      </c>
      <c r="AE6" s="6">
        <v>2.5</v>
      </c>
      <c r="AF6" s="6">
        <v>3.5</v>
      </c>
      <c r="AG6" s="6">
        <v>4.5</v>
      </c>
      <c r="AH6" s="6">
        <v>5.5</v>
      </c>
      <c r="AI6" s="6">
        <v>6.5</v>
      </c>
      <c r="AJ6" s="6">
        <v>7.5</v>
      </c>
      <c r="AK6" s="6">
        <v>8.5</v>
      </c>
      <c r="AL6" s="6">
        <v>9.5</v>
      </c>
      <c r="AM6" s="10" t="s">
        <v>24</v>
      </c>
      <c r="AP6" s="10" t="s">
        <v>25</v>
      </c>
    </row>
    <row r="7" spans="1:42" x14ac:dyDescent="0.25">
      <c r="A7" s="4">
        <v>0.1</v>
      </c>
      <c r="B7" s="2">
        <v>0.41150031977078</v>
      </c>
      <c r="C7" s="2">
        <v>0.43591280906709701</v>
      </c>
      <c r="D7" s="2">
        <v>0.460639958339778</v>
      </c>
      <c r="E7" s="2">
        <v>0.47952770401090899</v>
      </c>
      <c r="F7" s="2">
        <v>0.49243263126901898</v>
      </c>
      <c r="G7" s="2">
        <v>0.50534765070800203</v>
      </c>
      <c r="H7" s="2">
        <v>0.51825553746374498</v>
      </c>
      <c r="I7" s="2">
        <v>0.51002083983109003</v>
      </c>
      <c r="J7" s="2">
        <v>0.51002083983109003</v>
      </c>
      <c r="K7" s="2">
        <v>0.51002083983109003</v>
      </c>
      <c r="M7" s="2" t="s">
        <v>26</v>
      </c>
      <c r="N7" s="4">
        <v>0.1</v>
      </c>
      <c r="O7" s="2">
        <f>B7*($T$6+2)+(1-B7)*($T$6)</f>
        <v>6.3230006395415597</v>
      </c>
      <c r="P7" s="2">
        <f t="shared" ref="P7:Q7" si="0">C7*($T$6+2)+(1-C7)*($T$6)</f>
        <v>6.3718256181341939</v>
      </c>
      <c r="Q7" s="2">
        <f t="shared" si="0"/>
        <v>6.4212799166795556</v>
      </c>
      <c r="R7" s="2">
        <f t="shared" ref="R7:X7" si="1">E7*($T$6+2)+(1-E7)*($T$6+2)</f>
        <v>7.5</v>
      </c>
      <c r="S7" s="2">
        <f t="shared" si="1"/>
        <v>7.5</v>
      </c>
      <c r="T7" s="2">
        <f t="shared" si="1"/>
        <v>7.5</v>
      </c>
      <c r="U7" s="2">
        <f t="shared" si="1"/>
        <v>7.5</v>
      </c>
      <c r="V7" s="2">
        <f t="shared" si="1"/>
        <v>7.5</v>
      </c>
      <c r="W7" s="2">
        <f t="shared" si="1"/>
        <v>7.5</v>
      </c>
      <c r="X7" s="2">
        <f t="shared" si="1"/>
        <v>7.5</v>
      </c>
      <c r="Y7" s="2">
        <f>SUM(O7:X7)/10</f>
        <v>7.1616106174355307</v>
      </c>
      <c r="AA7" s="2" t="s">
        <v>27</v>
      </c>
      <c r="AB7" s="4">
        <v>0.1</v>
      </c>
      <c r="AC7" s="2">
        <f t="shared" ref="AC7:AI7" si="2">B7*($AH$6+2)+(1-B7)*(7)</f>
        <v>7.2057501598853895</v>
      </c>
      <c r="AD7" s="2">
        <f t="shared" si="2"/>
        <v>7.2179564045335489</v>
      </c>
      <c r="AE7" s="2">
        <f t="shared" si="2"/>
        <v>7.2303199791698889</v>
      </c>
      <c r="AF7" s="2">
        <f t="shared" si="2"/>
        <v>7.2397638520054546</v>
      </c>
      <c r="AG7" s="2">
        <f t="shared" si="2"/>
        <v>7.2462163156345092</v>
      </c>
      <c r="AH7" s="2">
        <f t="shared" si="2"/>
        <v>7.2526738253540017</v>
      </c>
      <c r="AI7" s="2">
        <f t="shared" si="2"/>
        <v>7.2591277687318723</v>
      </c>
      <c r="AJ7" s="2">
        <f>I7*($AH$6+2)+(1-I7)*(5)</f>
        <v>6.2750520995777253</v>
      </c>
      <c r="AK7" s="2">
        <f>J7*($AH$6+2)+(1-J7)*(5)</f>
        <v>6.2750520995777253</v>
      </c>
      <c r="AL7" s="2">
        <f>K7*($AH$6+2)+(1-K7)*(5)</f>
        <v>6.2750520995777253</v>
      </c>
      <c r="AM7" s="2">
        <f>SUM(AC7:AL7)/10</f>
        <v>6.9476964604047851</v>
      </c>
      <c r="AP7" s="2">
        <f t="shared" ref="AP7:AP26" si="3">(EXP(A7*Y7))/(EXP(A7*Y7)+EXP(A7*AM7))</f>
        <v>0.50534765000687198</v>
      </c>
    </row>
    <row r="8" spans="1:42" x14ac:dyDescent="0.25">
      <c r="A8" s="4">
        <v>0.2</v>
      </c>
      <c r="B8" s="2">
        <v>0.32482358976953901</v>
      </c>
      <c r="C8" s="2">
        <v>0.37012239540388497</v>
      </c>
      <c r="D8" s="2">
        <v>0.41782904541263</v>
      </c>
      <c r="E8" s="2">
        <v>0.455556083207803</v>
      </c>
      <c r="F8" s="2">
        <v>0.48216887455894702</v>
      </c>
      <c r="G8" s="2">
        <v>0.50888321037248396</v>
      </c>
      <c r="H8" s="2">
        <v>0.53554690990134701</v>
      </c>
      <c r="I8" s="2">
        <v>0.52016750068907203</v>
      </c>
      <c r="J8" s="2">
        <v>0.52016750068907203</v>
      </c>
      <c r="K8" s="2">
        <v>0.52016750068907203</v>
      </c>
      <c r="N8" s="4">
        <v>0.2</v>
      </c>
      <c r="O8" s="2">
        <f t="shared" ref="O8:O26" si="4">B8*($T$6+2)+(1-B8)*($T$6)</f>
        <v>6.1496471795390777</v>
      </c>
      <c r="P8" s="2">
        <f t="shared" ref="P8:P26" si="5">C8*($T$6+2)+(1-C8)*($T$6)</f>
        <v>6.2402447908077701</v>
      </c>
      <c r="Q8" s="2">
        <f t="shared" ref="Q8:Q26" si="6">D8*($T$6+2)+(1-D8)*($T$6)</f>
        <v>6.3356580908252598</v>
      </c>
      <c r="R8" s="2">
        <f t="shared" ref="R8:X23" si="7">E8*($T$6+2)+(1-E8)*($T$6+2)</f>
        <v>7.5</v>
      </c>
      <c r="S8" s="2">
        <f t="shared" ref="S8:S21" si="8">F8*($T$6+2)+(1-F8)*($T$6+2)</f>
        <v>7.5</v>
      </c>
      <c r="T8" s="2">
        <f t="shared" ref="T8:T21" si="9">G8*($T$6+2)+(1-G8)*($T$6+2)</f>
        <v>7.5</v>
      </c>
      <c r="U8" s="2">
        <f t="shared" ref="U8:U21" si="10">H8*($T$6+2)+(1-H8)*($T$6+2)</f>
        <v>7.5</v>
      </c>
      <c r="V8" s="2">
        <f t="shared" ref="V8:V21" si="11">I8*($T$6+2)+(1-I8)*($T$6+2)</f>
        <v>7.5</v>
      </c>
      <c r="W8" s="2">
        <f t="shared" ref="W8:W21" si="12">J8*($T$6+2)+(1-J8)*($T$6+2)</f>
        <v>7.5</v>
      </c>
      <c r="X8" s="2">
        <f t="shared" ref="X8:X21" si="13">K8*($T$6+2)+(1-K8)*($T$6+2)</f>
        <v>7.5</v>
      </c>
      <c r="Y8" s="2">
        <f t="shared" ref="Y8:Y26" si="14">SUM(O8:X8)/10</f>
        <v>7.12255500611721</v>
      </c>
      <c r="AB8" s="4">
        <v>0.2</v>
      </c>
      <c r="AC8" s="2">
        <f t="shared" ref="AC8:AC26" si="15">B8*($AH$6+2)+(1-B8)*(7)</f>
        <v>7.1624117948847692</v>
      </c>
      <c r="AD8" s="2">
        <f t="shared" ref="AD8:AD26" si="16">C8*($AH$6+2)+(1-C8)*(7)</f>
        <v>7.1850611977019421</v>
      </c>
      <c r="AE8" s="2">
        <f t="shared" ref="AE8:AE26" si="17">D8*($AH$6+2)+(1-D8)*(7)</f>
        <v>7.2089145227063156</v>
      </c>
      <c r="AF8" s="2">
        <f t="shared" ref="AF8:AF26" si="18">E8*($AH$6+2)+(1-E8)*(7)</f>
        <v>7.2277780416039015</v>
      </c>
      <c r="AG8" s="2">
        <f t="shared" ref="AG8:AG26" si="19">F8*($AH$6+2)+(1-F8)*(7)</f>
        <v>7.2410844372794738</v>
      </c>
      <c r="AH8" s="2">
        <f t="shared" ref="AH8:AH26" si="20">G8*($AH$6+2)+(1-G8)*(7)</f>
        <v>7.2544416051862424</v>
      </c>
      <c r="AI8" s="2">
        <f t="shared" ref="AI8:AI26" si="21">H8*($AH$6+2)+(1-H8)*(7)</f>
        <v>7.2677734549506736</v>
      </c>
      <c r="AJ8" s="2">
        <f t="shared" ref="AJ8:AJ26" si="22">I8*($AH$6+2)+(1-I8)*(5)</f>
        <v>6.3004187517226793</v>
      </c>
      <c r="AK8" s="2">
        <f t="shared" ref="AK8:AK26" si="23">J8*($AH$6+2)+(1-J8)*(5)</f>
        <v>6.3004187517226793</v>
      </c>
      <c r="AL8" s="2">
        <f t="shared" ref="AL8:AL26" si="24">K8*($AH$6+2)+(1-K8)*(5)</f>
        <v>6.3004187517226793</v>
      </c>
      <c r="AM8" s="2">
        <f t="shared" ref="AM8:AM26" si="25">SUM(AC8:AL8)/10</f>
        <v>6.944872130948136</v>
      </c>
      <c r="AP8" s="2">
        <f t="shared" si="3"/>
        <v>0.50888320893278749</v>
      </c>
    </row>
    <row r="9" spans="1:42" x14ac:dyDescent="0.25">
      <c r="A9" s="4">
        <v>0.3</v>
      </c>
      <c r="B9" s="2">
        <v>0.24572463375128301</v>
      </c>
      <c r="C9" s="2">
        <v>0.305435590794981</v>
      </c>
      <c r="D9" s="2">
        <v>0.37249080387766997</v>
      </c>
      <c r="E9" s="2">
        <v>0.42832709966078097</v>
      </c>
      <c r="F9" s="2">
        <v>0.46930178321920202</v>
      </c>
      <c r="G9" s="2">
        <v>0.51069457007121799</v>
      </c>
      <c r="H9" s="2">
        <v>0.55194121817585895</v>
      </c>
      <c r="I9" s="2">
        <v>0.53055789729279501</v>
      </c>
      <c r="J9" s="2">
        <v>0.53055789729279501</v>
      </c>
      <c r="K9" s="2">
        <v>0.53055789729279501</v>
      </c>
      <c r="N9" s="4">
        <v>0.3</v>
      </c>
      <c r="O9" s="2">
        <f t="shared" si="4"/>
        <v>5.9914492675025661</v>
      </c>
      <c r="P9" s="2">
        <f t="shared" si="5"/>
        <v>6.1108711815899621</v>
      </c>
      <c r="Q9" s="2">
        <f t="shared" si="6"/>
        <v>6.2449816077553404</v>
      </c>
      <c r="R9" s="2">
        <f t="shared" si="7"/>
        <v>7.5</v>
      </c>
      <c r="S9" s="2">
        <f t="shared" si="8"/>
        <v>7.5</v>
      </c>
      <c r="T9" s="2">
        <f t="shared" si="9"/>
        <v>7.5</v>
      </c>
      <c r="U9" s="2">
        <f t="shared" si="10"/>
        <v>7.5</v>
      </c>
      <c r="V9" s="2">
        <f t="shared" si="11"/>
        <v>7.5</v>
      </c>
      <c r="W9" s="2">
        <f t="shared" si="12"/>
        <v>7.5</v>
      </c>
      <c r="X9" s="2">
        <f t="shared" si="13"/>
        <v>7.5</v>
      </c>
      <c r="Y9" s="2">
        <f t="shared" si="14"/>
        <v>7.084730205684787</v>
      </c>
      <c r="AB9" s="4">
        <v>0.3</v>
      </c>
      <c r="AC9" s="2">
        <f t="shared" si="15"/>
        <v>7.1228623168756418</v>
      </c>
      <c r="AD9" s="2">
        <f t="shared" si="16"/>
        <v>7.1527177953974901</v>
      </c>
      <c r="AE9" s="2">
        <f t="shared" si="17"/>
        <v>7.1862454019388355</v>
      </c>
      <c r="AF9" s="2">
        <f t="shared" si="18"/>
        <v>7.2141635498303902</v>
      </c>
      <c r="AG9" s="2">
        <f t="shared" si="19"/>
        <v>7.2346508916096006</v>
      </c>
      <c r="AH9" s="2">
        <f t="shared" si="20"/>
        <v>7.2553472850356089</v>
      </c>
      <c r="AI9" s="2">
        <f t="shared" si="21"/>
        <v>7.2759706090879295</v>
      </c>
      <c r="AJ9" s="2">
        <f t="shared" si="22"/>
        <v>6.3263947432319876</v>
      </c>
      <c r="AK9" s="2">
        <f t="shared" si="23"/>
        <v>6.3263947432319876</v>
      </c>
      <c r="AL9" s="2">
        <f t="shared" si="24"/>
        <v>6.3263947432319876</v>
      </c>
      <c r="AM9" s="2">
        <f t="shared" si="25"/>
        <v>6.9421142079471467</v>
      </c>
      <c r="AP9" s="2">
        <f t="shared" si="3"/>
        <v>0.51069456847798889</v>
      </c>
    </row>
    <row r="10" spans="1:42" x14ac:dyDescent="0.25">
      <c r="A10" s="4">
        <v>0.4</v>
      </c>
      <c r="B10" s="2">
        <v>0.178648221965758</v>
      </c>
      <c r="C10" s="2">
        <v>0.244986437401402</v>
      </c>
      <c r="D10" s="2">
        <v>0.326175774638302</v>
      </c>
      <c r="E10" s="2">
        <v>0.39852126484394301</v>
      </c>
      <c r="F10" s="2">
        <v>0.45417266489156399</v>
      </c>
      <c r="G10" s="2">
        <v>0.51099318640978397</v>
      </c>
      <c r="H10" s="2">
        <v>0.56753104546244004</v>
      </c>
      <c r="I10" s="2">
        <v>0.54128145002368899</v>
      </c>
      <c r="J10" s="2">
        <v>0.54128145002368899</v>
      </c>
      <c r="K10" s="2">
        <v>0.54128145002368899</v>
      </c>
      <c r="N10" s="4">
        <v>0.4</v>
      </c>
      <c r="O10" s="2">
        <f t="shared" si="4"/>
        <v>5.8572964439315154</v>
      </c>
      <c r="P10" s="2">
        <f t="shared" si="5"/>
        <v>5.9899728748028034</v>
      </c>
      <c r="Q10" s="2">
        <f t="shared" si="6"/>
        <v>6.1523515492766041</v>
      </c>
      <c r="R10" s="2">
        <f t="shared" si="7"/>
        <v>7.5</v>
      </c>
      <c r="S10" s="2">
        <f t="shared" si="8"/>
        <v>7.5</v>
      </c>
      <c r="T10" s="2">
        <f t="shared" si="9"/>
        <v>7.5</v>
      </c>
      <c r="U10" s="2">
        <f t="shared" si="10"/>
        <v>7.5</v>
      </c>
      <c r="V10" s="2">
        <f t="shared" si="11"/>
        <v>7.5</v>
      </c>
      <c r="W10" s="2">
        <f t="shared" si="12"/>
        <v>7.5</v>
      </c>
      <c r="X10" s="2">
        <f t="shared" si="13"/>
        <v>7.5</v>
      </c>
      <c r="Y10" s="2">
        <f t="shared" si="14"/>
        <v>7.0499620868010924</v>
      </c>
      <c r="AB10" s="4">
        <v>0.4</v>
      </c>
      <c r="AC10" s="2">
        <f t="shared" si="15"/>
        <v>7.0893241109828784</v>
      </c>
      <c r="AD10" s="2">
        <f t="shared" si="16"/>
        <v>7.1224932187007006</v>
      </c>
      <c r="AE10" s="2">
        <f t="shared" si="17"/>
        <v>7.1630878873191506</v>
      </c>
      <c r="AF10" s="2">
        <f t="shared" si="18"/>
        <v>7.1992606324219715</v>
      </c>
      <c r="AG10" s="2">
        <f t="shared" si="19"/>
        <v>7.227086332445781</v>
      </c>
      <c r="AH10" s="2">
        <f t="shared" si="20"/>
        <v>7.2554965932048923</v>
      </c>
      <c r="AI10" s="2">
        <f t="shared" si="21"/>
        <v>7.2837655227312199</v>
      </c>
      <c r="AJ10" s="2">
        <f t="shared" si="22"/>
        <v>6.3532036250592228</v>
      </c>
      <c r="AK10" s="2">
        <f t="shared" si="23"/>
        <v>6.3532036250592228</v>
      </c>
      <c r="AL10" s="2">
        <f t="shared" si="24"/>
        <v>6.3532036250592228</v>
      </c>
      <c r="AM10" s="2">
        <f t="shared" si="25"/>
        <v>6.9400125172984275</v>
      </c>
      <c r="AP10" s="2">
        <f t="shared" si="3"/>
        <v>0.51099318506603852</v>
      </c>
    </row>
    <row r="11" spans="1:42" x14ac:dyDescent="0.25">
      <c r="A11" s="4">
        <v>0.5</v>
      </c>
      <c r="B11" s="2">
        <v>0.12556409201235499</v>
      </c>
      <c r="C11" s="2">
        <v>0.19142727087448499</v>
      </c>
      <c r="D11" s="2">
        <v>0.28074631034535402</v>
      </c>
      <c r="E11" s="2">
        <v>0.36712805018174299</v>
      </c>
      <c r="F11" s="2">
        <v>0.43729515027437399</v>
      </c>
      <c r="G11" s="2">
        <v>0.51006455514718496</v>
      </c>
      <c r="H11" s="2">
        <v>0.58240990712589202</v>
      </c>
      <c r="I11" s="2">
        <v>0.55238461653357995</v>
      </c>
      <c r="J11" s="2">
        <v>0.55238461653357995</v>
      </c>
      <c r="K11" s="2">
        <v>0.55238461653357995</v>
      </c>
      <c r="N11" s="4">
        <v>0.5</v>
      </c>
      <c r="O11" s="2">
        <f t="shared" si="4"/>
        <v>5.7511281840247106</v>
      </c>
      <c r="P11" s="2">
        <f t="shared" si="5"/>
        <v>5.8828545417489702</v>
      </c>
      <c r="Q11" s="2">
        <f t="shared" si="6"/>
        <v>6.061492620690708</v>
      </c>
      <c r="R11" s="2">
        <f t="shared" si="7"/>
        <v>7.5</v>
      </c>
      <c r="S11" s="2">
        <f t="shared" si="8"/>
        <v>7.4999999999999991</v>
      </c>
      <c r="T11" s="2">
        <f t="shared" si="9"/>
        <v>7.5</v>
      </c>
      <c r="U11" s="2">
        <f t="shared" si="10"/>
        <v>7.5</v>
      </c>
      <c r="V11" s="2">
        <f t="shared" si="11"/>
        <v>7.5</v>
      </c>
      <c r="W11" s="2">
        <f t="shared" si="12"/>
        <v>7.5</v>
      </c>
      <c r="X11" s="2">
        <f t="shared" si="13"/>
        <v>7.5</v>
      </c>
      <c r="Y11" s="2">
        <f t="shared" si="14"/>
        <v>7.0195475346464375</v>
      </c>
      <c r="AB11" s="4">
        <v>0.5</v>
      </c>
      <c r="AC11" s="2">
        <f t="shared" si="15"/>
        <v>7.0627820460061779</v>
      </c>
      <c r="AD11" s="2">
        <f t="shared" si="16"/>
        <v>7.0957136354372423</v>
      </c>
      <c r="AE11" s="2">
        <f t="shared" si="17"/>
        <v>7.1403731551726768</v>
      </c>
      <c r="AF11" s="2">
        <f t="shared" si="18"/>
        <v>7.1835640250908721</v>
      </c>
      <c r="AG11" s="2">
        <f t="shared" si="19"/>
        <v>7.2186475751371866</v>
      </c>
      <c r="AH11" s="2">
        <f t="shared" si="20"/>
        <v>7.2550322775735925</v>
      </c>
      <c r="AI11" s="2">
        <f t="shared" si="21"/>
        <v>7.2912049535629455</v>
      </c>
      <c r="AJ11" s="2">
        <f t="shared" si="22"/>
        <v>6.3809615413339502</v>
      </c>
      <c r="AK11" s="2">
        <f t="shared" si="23"/>
        <v>6.3809615413339502</v>
      </c>
      <c r="AL11" s="2">
        <f t="shared" si="24"/>
        <v>6.3809615413339502</v>
      </c>
      <c r="AM11" s="2">
        <f t="shared" si="25"/>
        <v>6.9390202291982543</v>
      </c>
      <c r="AP11" s="2">
        <f t="shared" si="3"/>
        <v>0.51006455352867464</v>
      </c>
    </row>
    <row r="12" spans="1:42" x14ac:dyDescent="0.25">
      <c r="A12" s="4">
        <v>0.6</v>
      </c>
      <c r="B12" s="2">
        <v>8.5956048721649303E-2</v>
      </c>
      <c r="C12" s="2">
        <v>0.14628476117337699</v>
      </c>
      <c r="D12" s="2">
        <v>0.23793350836104299</v>
      </c>
      <c r="E12" s="2">
        <v>0.33521868964827201</v>
      </c>
      <c r="F12" s="2">
        <v>0.41922883179538301</v>
      </c>
      <c r="G12" s="2">
        <v>0.50819806080724805</v>
      </c>
      <c r="H12" s="2">
        <v>0.59665102786253399</v>
      </c>
      <c r="I12" s="2">
        <v>0.56387025482273501</v>
      </c>
      <c r="J12" s="2">
        <v>0.56387025482273501</v>
      </c>
      <c r="K12" s="2">
        <v>0.56387025482273501</v>
      </c>
      <c r="N12" s="4">
        <v>0.6</v>
      </c>
      <c r="O12" s="2">
        <f t="shared" si="4"/>
        <v>5.6719120974432986</v>
      </c>
      <c r="P12" s="2">
        <f t="shared" si="5"/>
        <v>5.7925695223467546</v>
      </c>
      <c r="Q12" s="2">
        <f t="shared" si="6"/>
        <v>5.975867016722086</v>
      </c>
      <c r="R12" s="2">
        <f t="shared" si="7"/>
        <v>7.5</v>
      </c>
      <c r="S12" s="2">
        <f t="shared" si="8"/>
        <v>7.5</v>
      </c>
      <c r="T12" s="2">
        <f t="shared" si="9"/>
        <v>7.5</v>
      </c>
      <c r="U12" s="2">
        <f t="shared" si="10"/>
        <v>7.5</v>
      </c>
      <c r="V12" s="2">
        <f t="shared" si="11"/>
        <v>7.5</v>
      </c>
      <c r="W12" s="2">
        <f t="shared" si="12"/>
        <v>7.5</v>
      </c>
      <c r="X12" s="2">
        <f t="shared" si="13"/>
        <v>7.5</v>
      </c>
      <c r="Y12" s="2">
        <f t="shared" si="14"/>
        <v>6.9940348636512137</v>
      </c>
      <c r="AB12" s="4">
        <v>0.6</v>
      </c>
      <c r="AC12" s="2">
        <f t="shared" si="15"/>
        <v>7.0429780243608242</v>
      </c>
      <c r="AD12" s="2">
        <f t="shared" si="16"/>
        <v>7.0731423805866891</v>
      </c>
      <c r="AE12" s="2">
        <f t="shared" si="17"/>
        <v>7.1189667541805211</v>
      </c>
      <c r="AF12" s="2">
        <f t="shared" si="18"/>
        <v>7.167609344824136</v>
      </c>
      <c r="AG12" s="2">
        <f t="shared" si="19"/>
        <v>7.2096144158976916</v>
      </c>
      <c r="AH12" s="2">
        <f t="shared" si="20"/>
        <v>7.2540990304036246</v>
      </c>
      <c r="AI12" s="2">
        <f t="shared" si="21"/>
        <v>7.2983255139312675</v>
      </c>
      <c r="AJ12" s="2">
        <f t="shared" si="22"/>
        <v>6.4096756370568375</v>
      </c>
      <c r="AK12" s="2">
        <f t="shared" si="23"/>
        <v>6.4096756370568375</v>
      </c>
      <c r="AL12" s="2">
        <f t="shared" si="24"/>
        <v>6.4096756370568375</v>
      </c>
      <c r="AM12" s="2">
        <f t="shared" si="25"/>
        <v>6.9393762375355266</v>
      </c>
      <c r="AP12" s="2">
        <f t="shared" si="3"/>
        <v>0.50819805916338434</v>
      </c>
    </row>
    <row r="13" spans="1:42" x14ac:dyDescent="0.25">
      <c r="A13" s="4">
        <v>0.7</v>
      </c>
      <c r="B13" s="2">
        <v>5.7728426313828997E-2</v>
      </c>
      <c r="C13" s="2">
        <v>0.109823637550003</v>
      </c>
      <c r="D13" s="2">
        <v>0.19900196110641399</v>
      </c>
      <c r="E13" s="2">
        <v>0.30374491997962899</v>
      </c>
      <c r="F13" s="2">
        <v>0.40047272371265102</v>
      </c>
      <c r="G13" s="2">
        <v>0.50563380927788604</v>
      </c>
      <c r="H13" s="2">
        <v>0.61029875559485902</v>
      </c>
      <c r="I13" s="2">
        <v>0.57570806605394098</v>
      </c>
      <c r="J13" s="2">
        <v>0.57570806605394098</v>
      </c>
      <c r="K13" s="2">
        <v>0.57570806605394098</v>
      </c>
      <c r="N13" s="4">
        <v>0.7</v>
      </c>
      <c r="O13" s="2">
        <f t="shared" si="4"/>
        <v>5.6154568526276574</v>
      </c>
      <c r="P13" s="2">
        <f t="shared" si="5"/>
        <v>5.719647275100006</v>
      </c>
      <c r="Q13" s="2">
        <f t="shared" si="6"/>
        <v>5.898003922212828</v>
      </c>
      <c r="R13" s="2">
        <f t="shared" si="7"/>
        <v>7.5</v>
      </c>
      <c r="S13" s="2">
        <f t="shared" si="8"/>
        <v>7.5</v>
      </c>
      <c r="T13" s="2">
        <f t="shared" si="9"/>
        <v>7.5</v>
      </c>
      <c r="U13" s="2">
        <f t="shared" si="10"/>
        <v>7.5</v>
      </c>
      <c r="V13" s="2">
        <f t="shared" si="11"/>
        <v>7.5</v>
      </c>
      <c r="W13" s="2">
        <f t="shared" si="12"/>
        <v>7.5</v>
      </c>
      <c r="X13" s="2">
        <f t="shared" si="13"/>
        <v>7.5</v>
      </c>
      <c r="Y13" s="2">
        <f t="shared" si="14"/>
        <v>6.973310804994048</v>
      </c>
      <c r="AB13" s="4">
        <v>0.7</v>
      </c>
      <c r="AC13" s="2">
        <f t="shared" si="15"/>
        <v>7.0288642131569139</v>
      </c>
      <c r="AD13" s="2">
        <f t="shared" si="16"/>
        <v>7.0549118187750013</v>
      </c>
      <c r="AE13" s="2">
        <f t="shared" si="17"/>
        <v>7.0995009805532074</v>
      </c>
      <c r="AF13" s="2">
        <f t="shared" si="18"/>
        <v>7.1518724599898142</v>
      </c>
      <c r="AG13" s="2">
        <f t="shared" si="19"/>
        <v>7.2002363618563248</v>
      </c>
      <c r="AH13" s="2">
        <f t="shared" si="20"/>
        <v>7.2528169046389426</v>
      </c>
      <c r="AI13" s="2">
        <f t="shared" si="21"/>
        <v>7.305149377797429</v>
      </c>
      <c r="AJ13" s="2">
        <f t="shared" si="22"/>
        <v>6.4392701651348521</v>
      </c>
      <c r="AK13" s="2">
        <f t="shared" si="23"/>
        <v>6.4392701651348521</v>
      </c>
      <c r="AL13" s="2">
        <f t="shared" si="24"/>
        <v>6.4392701651348521</v>
      </c>
      <c r="AM13" s="2">
        <f t="shared" si="25"/>
        <v>6.9411162612172177</v>
      </c>
      <c r="AP13" s="2">
        <f t="shared" si="3"/>
        <v>0.50563380672174763</v>
      </c>
    </row>
    <row r="14" spans="1:42" x14ac:dyDescent="0.25">
      <c r="A14" s="4">
        <v>0.8</v>
      </c>
      <c r="B14" s="2">
        <v>3.8268270547311599E-2</v>
      </c>
      <c r="C14" s="2">
        <v>8.1352236756347507E-2</v>
      </c>
      <c r="D14" s="2">
        <v>0.164638220284089</v>
      </c>
      <c r="E14" s="2">
        <v>0.27343634102327402</v>
      </c>
      <c r="F14" s="2">
        <v>0.38141586596736599</v>
      </c>
      <c r="G14" s="2">
        <v>0.502542834348088</v>
      </c>
      <c r="H14" s="2">
        <v>0.62337206617988095</v>
      </c>
      <c r="I14" s="2">
        <v>0.58784825438087496</v>
      </c>
      <c r="J14" s="2">
        <v>0.58784825438087496</v>
      </c>
      <c r="K14" s="2">
        <v>0.58784825438087596</v>
      </c>
      <c r="N14" s="4">
        <v>0.8</v>
      </c>
      <c r="O14" s="2">
        <f t="shared" si="4"/>
        <v>5.5765365410946224</v>
      </c>
      <c r="P14" s="2">
        <f t="shared" si="5"/>
        <v>5.6627044735126955</v>
      </c>
      <c r="Q14" s="2">
        <f t="shared" si="6"/>
        <v>5.8292764405681776</v>
      </c>
      <c r="R14" s="2">
        <f t="shared" si="7"/>
        <v>7.5</v>
      </c>
      <c r="S14" s="2">
        <f t="shared" si="8"/>
        <v>7.5</v>
      </c>
      <c r="T14" s="2">
        <f t="shared" si="9"/>
        <v>7.5</v>
      </c>
      <c r="U14" s="2">
        <f t="shared" si="10"/>
        <v>7.5</v>
      </c>
      <c r="V14" s="2">
        <f t="shared" si="11"/>
        <v>7.5</v>
      </c>
      <c r="W14" s="2">
        <f t="shared" si="12"/>
        <v>7.5</v>
      </c>
      <c r="X14" s="2">
        <f t="shared" si="13"/>
        <v>7.5</v>
      </c>
      <c r="Y14" s="2">
        <f t="shared" si="14"/>
        <v>6.9568517455175494</v>
      </c>
      <c r="AB14" s="4">
        <v>0.8</v>
      </c>
      <c r="AC14" s="2">
        <f t="shared" si="15"/>
        <v>7.0191341352736547</v>
      </c>
      <c r="AD14" s="2">
        <f t="shared" si="16"/>
        <v>7.0406761183781743</v>
      </c>
      <c r="AE14" s="2">
        <f t="shared" si="17"/>
        <v>7.082319110142044</v>
      </c>
      <c r="AF14" s="2">
        <f t="shared" si="18"/>
        <v>7.1367181705116369</v>
      </c>
      <c r="AG14" s="2">
        <f t="shared" si="19"/>
        <v>7.1907079329836829</v>
      </c>
      <c r="AH14" s="2">
        <f t="shared" si="20"/>
        <v>7.2512714171740438</v>
      </c>
      <c r="AI14" s="2">
        <f t="shared" si="21"/>
        <v>7.3116860330899405</v>
      </c>
      <c r="AJ14" s="2">
        <f t="shared" si="22"/>
        <v>6.4696206359521877</v>
      </c>
      <c r="AK14" s="2">
        <f t="shared" si="23"/>
        <v>6.4696206359521877</v>
      </c>
      <c r="AL14" s="2">
        <f t="shared" si="24"/>
        <v>6.4696206359521895</v>
      </c>
      <c r="AM14" s="2">
        <f t="shared" si="25"/>
        <v>6.9441374825409756</v>
      </c>
      <c r="AP14" s="2">
        <f t="shared" si="3"/>
        <v>0.50254283067242478</v>
      </c>
    </row>
    <row r="15" spans="1:42" x14ac:dyDescent="0.25">
      <c r="A15" s="4">
        <v>0.9</v>
      </c>
      <c r="B15" s="2">
        <v>2.5153360680956201E-2</v>
      </c>
      <c r="C15" s="2">
        <v>5.9676331864612499E-2</v>
      </c>
      <c r="D15" s="2">
        <v>0.13501939458674</v>
      </c>
      <c r="E15" s="2">
        <v>0.24478823978718101</v>
      </c>
      <c r="F15" s="2">
        <v>0.36233665038874302</v>
      </c>
      <c r="G15" s="2">
        <v>0.49903280772859998</v>
      </c>
      <c r="H15" s="2">
        <v>0.63587370109255203</v>
      </c>
      <c r="I15" s="2">
        <v>0.60023259204033697</v>
      </c>
      <c r="J15" s="2">
        <v>0.60023259204033697</v>
      </c>
      <c r="K15" s="2">
        <v>0.60023259204033697</v>
      </c>
      <c r="N15" s="4">
        <v>0.9</v>
      </c>
      <c r="O15" s="2">
        <f t="shared" si="4"/>
        <v>5.5503067213619124</v>
      </c>
      <c r="P15" s="2">
        <f t="shared" si="5"/>
        <v>5.6193526637292246</v>
      </c>
      <c r="Q15" s="2">
        <f t="shared" si="6"/>
        <v>5.7700387891734799</v>
      </c>
      <c r="R15" s="2">
        <f t="shared" si="7"/>
        <v>7.5</v>
      </c>
      <c r="S15" s="2">
        <f t="shared" si="8"/>
        <v>7.5</v>
      </c>
      <c r="T15" s="2">
        <f t="shared" si="9"/>
        <v>7.5</v>
      </c>
      <c r="U15" s="2">
        <f t="shared" si="10"/>
        <v>7.5</v>
      </c>
      <c r="V15" s="2">
        <f t="shared" si="11"/>
        <v>7.5</v>
      </c>
      <c r="W15" s="2">
        <f t="shared" si="12"/>
        <v>7.5</v>
      </c>
      <c r="X15" s="2">
        <f t="shared" si="13"/>
        <v>7.5</v>
      </c>
      <c r="Y15" s="2">
        <f t="shared" si="14"/>
        <v>6.9439698174264617</v>
      </c>
      <c r="AB15" s="4">
        <v>0.9</v>
      </c>
      <c r="AC15" s="2">
        <f t="shared" si="15"/>
        <v>7.0125766803404783</v>
      </c>
      <c r="AD15" s="2">
        <f t="shared" si="16"/>
        <v>7.0298381659323059</v>
      </c>
      <c r="AE15" s="2">
        <f t="shared" si="17"/>
        <v>7.0675096972933709</v>
      </c>
      <c r="AF15" s="2">
        <f t="shared" si="18"/>
        <v>7.1223941198935901</v>
      </c>
      <c r="AG15" s="2">
        <f t="shared" si="19"/>
        <v>7.1811683251943705</v>
      </c>
      <c r="AH15" s="2">
        <f t="shared" si="20"/>
        <v>7.2495164038643001</v>
      </c>
      <c r="AI15" s="2">
        <f t="shared" si="21"/>
        <v>7.3179368505462765</v>
      </c>
      <c r="AJ15" s="2">
        <f t="shared" si="22"/>
        <v>6.500581480100843</v>
      </c>
      <c r="AK15" s="2">
        <f t="shared" si="23"/>
        <v>6.500581480100843</v>
      </c>
      <c r="AL15" s="2">
        <f t="shared" si="24"/>
        <v>6.500581480100843</v>
      </c>
      <c r="AM15" s="2">
        <f t="shared" si="25"/>
        <v>6.9482684683367211</v>
      </c>
      <c r="AP15" s="2">
        <f t="shared" si="3"/>
        <v>0.49903280475156619</v>
      </c>
    </row>
    <row r="16" spans="1:42" x14ac:dyDescent="0.25">
      <c r="A16" s="4">
        <v>1</v>
      </c>
      <c r="B16" s="2">
        <v>1.6445012361101199E-2</v>
      </c>
      <c r="C16" s="2">
        <v>4.3473733716477003E-2</v>
      </c>
      <c r="D16" s="2">
        <v>0.10995984591590501</v>
      </c>
      <c r="E16" s="2">
        <v>0.21809717476499499</v>
      </c>
      <c r="F16" s="2">
        <v>0.34342535361829701</v>
      </c>
      <c r="G16" s="2">
        <v>0.49516428110367899</v>
      </c>
      <c r="H16" s="2">
        <v>0.64779928036409895</v>
      </c>
      <c r="I16" s="2">
        <v>0.61280130545167699</v>
      </c>
      <c r="J16" s="2">
        <v>0.61280130545167699</v>
      </c>
      <c r="K16" s="2">
        <v>0.61280130545167699</v>
      </c>
      <c r="N16" s="4">
        <v>1</v>
      </c>
      <c r="O16" s="2">
        <f t="shared" si="4"/>
        <v>5.5328900247222021</v>
      </c>
      <c r="P16" s="2">
        <f t="shared" si="5"/>
        <v>5.586947467432954</v>
      </c>
      <c r="Q16" s="2">
        <f t="shared" si="6"/>
        <v>5.7199196918318105</v>
      </c>
      <c r="R16" s="2">
        <f t="shared" si="7"/>
        <v>7.5</v>
      </c>
      <c r="S16" s="2">
        <f t="shared" si="8"/>
        <v>7.5</v>
      </c>
      <c r="T16" s="2">
        <f t="shared" si="9"/>
        <v>7.5</v>
      </c>
      <c r="U16" s="2">
        <f t="shared" si="10"/>
        <v>7.5</v>
      </c>
      <c r="V16" s="2">
        <f t="shared" si="11"/>
        <v>7.5</v>
      </c>
      <c r="W16" s="2">
        <f t="shared" si="12"/>
        <v>7.5</v>
      </c>
      <c r="X16" s="2">
        <f t="shared" si="13"/>
        <v>7.5</v>
      </c>
      <c r="Y16" s="2">
        <f t="shared" si="14"/>
        <v>6.9339757183986963</v>
      </c>
      <c r="AB16" s="4">
        <v>1</v>
      </c>
      <c r="AC16" s="2">
        <f t="shared" si="15"/>
        <v>7.0082225061805508</v>
      </c>
      <c r="AD16" s="2">
        <f t="shared" si="16"/>
        <v>7.0217368668582383</v>
      </c>
      <c r="AE16" s="2">
        <f t="shared" si="17"/>
        <v>7.0549799229579531</v>
      </c>
      <c r="AF16" s="2">
        <f t="shared" si="18"/>
        <v>7.1090485873824969</v>
      </c>
      <c r="AG16" s="2">
        <f t="shared" si="19"/>
        <v>7.1717126768091486</v>
      </c>
      <c r="AH16" s="2">
        <f t="shared" si="20"/>
        <v>7.2475821405518399</v>
      </c>
      <c r="AI16" s="2">
        <f t="shared" si="21"/>
        <v>7.3238996401820495</v>
      </c>
      <c r="AJ16" s="2">
        <f t="shared" si="22"/>
        <v>6.5320032636291927</v>
      </c>
      <c r="AK16" s="2">
        <f t="shared" si="23"/>
        <v>6.5320032636291927</v>
      </c>
      <c r="AL16" s="2">
        <f t="shared" si="24"/>
        <v>6.5320032636291927</v>
      </c>
      <c r="AM16" s="2">
        <f t="shared" si="25"/>
        <v>6.9533192131809853</v>
      </c>
      <c r="AP16" s="2">
        <f t="shared" si="3"/>
        <v>0.49516427708567617</v>
      </c>
    </row>
    <row r="17" spans="1:43" x14ac:dyDescent="0.25">
      <c r="A17" s="4">
        <v>1.1000000000000001</v>
      </c>
      <c r="B17" s="2">
        <v>1.0716716693595099E-2</v>
      </c>
      <c r="C17" s="2">
        <v>3.15178531676263E-2</v>
      </c>
      <c r="D17" s="2">
        <v>8.9059256588662802E-2</v>
      </c>
      <c r="E17" s="2">
        <v>0.19350915806662</v>
      </c>
      <c r="F17" s="2">
        <v>0.32481053160242801</v>
      </c>
      <c r="G17" s="2">
        <v>0.49096725204863101</v>
      </c>
      <c r="H17" s="2">
        <v>0.65914389745911695</v>
      </c>
      <c r="I17" s="2">
        <v>0.62549664213232603</v>
      </c>
      <c r="J17" s="2">
        <v>0.62549664213232503</v>
      </c>
      <c r="K17" s="2">
        <v>0.62549664213232703</v>
      </c>
      <c r="N17" s="4">
        <v>1.1000000000000001</v>
      </c>
      <c r="O17" s="2">
        <f t="shared" si="4"/>
        <v>5.5214334333871902</v>
      </c>
      <c r="P17" s="2">
        <f t="shared" si="5"/>
        <v>5.5630357063352527</v>
      </c>
      <c r="Q17" s="2">
        <f t="shared" si="6"/>
        <v>5.678118513177326</v>
      </c>
      <c r="R17" s="2">
        <f t="shared" si="7"/>
        <v>7.5</v>
      </c>
      <c r="S17" s="2">
        <f t="shared" si="8"/>
        <v>7.5</v>
      </c>
      <c r="T17" s="2">
        <f t="shared" si="9"/>
        <v>7.5</v>
      </c>
      <c r="U17" s="2">
        <f t="shared" si="10"/>
        <v>7.5</v>
      </c>
      <c r="V17" s="2">
        <f t="shared" si="11"/>
        <v>7.5</v>
      </c>
      <c r="W17" s="2">
        <f t="shared" si="12"/>
        <v>7.5</v>
      </c>
      <c r="X17" s="2">
        <f t="shared" si="13"/>
        <v>7.5</v>
      </c>
      <c r="Y17" s="2">
        <f t="shared" si="14"/>
        <v>6.926258765289977</v>
      </c>
      <c r="AB17" s="4">
        <v>1.1000000000000001</v>
      </c>
      <c r="AC17" s="2">
        <f t="shared" si="15"/>
        <v>7.0053583583467978</v>
      </c>
      <c r="AD17" s="2">
        <f t="shared" si="16"/>
        <v>7.0157589265838132</v>
      </c>
      <c r="AE17" s="2">
        <f t="shared" si="17"/>
        <v>7.0445296282943319</v>
      </c>
      <c r="AF17" s="2">
        <f t="shared" si="18"/>
        <v>7.0967545790333109</v>
      </c>
      <c r="AG17" s="2">
        <f t="shared" si="19"/>
        <v>7.1624052658012136</v>
      </c>
      <c r="AH17" s="2">
        <f t="shared" si="20"/>
        <v>7.2454836260243152</v>
      </c>
      <c r="AI17" s="2">
        <f t="shared" si="21"/>
        <v>7.3295719487295585</v>
      </c>
      <c r="AJ17" s="2">
        <f t="shared" si="22"/>
        <v>6.5637416053308151</v>
      </c>
      <c r="AK17" s="2">
        <f t="shared" si="23"/>
        <v>6.5637416053308133</v>
      </c>
      <c r="AL17" s="2">
        <f t="shared" si="24"/>
        <v>6.5637416053308169</v>
      </c>
      <c r="AM17" s="2">
        <f t="shared" si="25"/>
        <v>6.9591087148805784</v>
      </c>
      <c r="AP17" s="2">
        <f t="shared" si="3"/>
        <v>0.49096724670578396</v>
      </c>
    </row>
    <row r="18" spans="1:43" x14ac:dyDescent="0.25">
      <c r="A18" s="4">
        <v>1.2</v>
      </c>
      <c r="B18" s="2">
        <v>6.9703933994259004E-3</v>
      </c>
      <c r="C18" s="2">
        <v>2.27742135611507E-2</v>
      </c>
      <c r="D18" s="2">
        <v>7.1818258470211296E-2</v>
      </c>
      <c r="E18" s="2">
        <v>0.171063258432742</v>
      </c>
      <c r="F18" s="2">
        <v>0.30658074421572701</v>
      </c>
      <c r="G18" s="2">
        <v>0.486454100380312</v>
      </c>
      <c r="H18" s="2">
        <v>0.66990599554772901</v>
      </c>
      <c r="I18" s="2">
        <v>0.63826438589817702</v>
      </c>
      <c r="J18" s="2">
        <v>0.63826438589817702</v>
      </c>
      <c r="K18" s="2">
        <v>0.63826438589817702</v>
      </c>
      <c r="N18" s="4">
        <v>1.2</v>
      </c>
      <c r="O18" s="2">
        <f t="shared" si="4"/>
        <v>5.5139407867988517</v>
      </c>
      <c r="P18" s="2">
        <f t="shared" si="5"/>
        <v>5.5455484271223012</v>
      </c>
      <c r="Q18" s="2">
        <f t="shared" si="6"/>
        <v>5.6436365169404228</v>
      </c>
      <c r="R18" s="2">
        <f t="shared" si="7"/>
        <v>7.5</v>
      </c>
      <c r="S18" s="2">
        <f t="shared" si="8"/>
        <v>7.5</v>
      </c>
      <c r="T18" s="2">
        <f t="shared" si="9"/>
        <v>7.5</v>
      </c>
      <c r="U18" s="2">
        <f t="shared" si="10"/>
        <v>7.5</v>
      </c>
      <c r="V18" s="2">
        <f t="shared" si="11"/>
        <v>7.5</v>
      </c>
      <c r="W18" s="2">
        <f t="shared" si="12"/>
        <v>7.5</v>
      </c>
      <c r="X18" s="2">
        <f t="shared" si="13"/>
        <v>7.5</v>
      </c>
      <c r="Y18" s="2">
        <f t="shared" si="14"/>
        <v>6.9203125730861572</v>
      </c>
      <c r="AB18" s="4">
        <v>1.2</v>
      </c>
      <c r="AC18" s="2">
        <f t="shared" si="15"/>
        <v>7.0034851966997129</v>
      </c>
      <c r="AD18" s="2">
        <f t="shared" si="16"/>
        <v>7.0113871067805755</v>
      </c>
      <c r="AE18" s="2">
        <f t="shared" si="17"/>
        <v>7.0359091292351055</v>
      </c>
      <c r="AF18" s="2">
        <f t="shared" si="18"/>
        <v>7.085531629216371</v>
      </c>
      <c r="AG18" s="2">
        <f t="shared" si="19"/>
        <v>7.1532903721078629</v>
      </c>
      <c r="AH18" s="2">
        <f t="shared" si="20"/>
        <v>7.2432270501901561</v>
      </c>
      <c r="AI18" s="2">
        <f t="shared" si="21"/>
        <v>7.3349529977738648</v>
      </c>
      <c r="AJ18" s="2">
        <f t="shared" si="22"/>
        <v>6.5956609647454432</v>
      </c>
      <c r="AK18" s="2">
        <f t="shared" si="23"/>
        <v>6.5956609647454432</v>
      </c>
      <c r="AL18" s="2">
        <f t="shared" si="24"/>
        <v>6.5956609647454432</v>
      </c>
      <c r="AM18" s="2">
        <f t="shared" si="25"/>
        <v>6.9654766376239978</v>
      </c>
      <c r="AP18" s="2">
        <f t="shared" si="3"/>
        <v>0.48645409617666829</v>
      </c>
    </row>
    <row r="19" spans="1:43" x14ac:dyDescent="0.25">
      <c r="A19" s="4">
        <v>1.3</v>
      </c>
      <c r="B19" s="2">
        <v>4.5287435572745598E-3</v>
      </c>
      <c r="C19" s="2">
        <v>1.6418823668694099E-2</v>
      </c>
      <c r="D19" s="2">
        <v>5.7716031104595097E-2</v>
      </c>
      <c r="E19" s="2">
        <v>0.15072561755464101</v>
      </c>
      <c r="F19" s="2">
        <v>0.28879979349800999</v>
      </c>
      <c r="G19" s="2">
        <v>0.48162844187102699</v>
      </c>
      <c r="H19" s="2">
        <v>0.680089170505634</v>
      </c>
      <c r="I19" s="2">
        <v>0.65105431456683704</v>
      </c>
      <c r="J19" s="2">
        <v>0.65105431456683704</v>
      </c>
      <c r="K19" s="2">
        <v>0.65105431456683704</v>
      </c>
      <c r="N19" s="4">
        <v>1.3</v>
      </c>
      <c r="O19" s="2">
        <f t="shared" si="4"/>
        <v>5.5090574871145499</v>
      </c>
      <c r="P19" s="2">
        <f t="shared" si="5"/>
        <v>5.5328376473373879</v>
      </c>
      <c r="Q19" s="2">
        <f t="shared" si="6"/>
        <v>5.61543206220919</v>
      </c>
      <c r="R19" s="2">
        <f t="shared" si="7"/>
        <v>7.5</v>
      </c>
      <c r="S19" s="2">
        <f t="shared" si="8"/>
        <v>7.5</v>
      </c>
      <c r="T19" s="2">
        <f t="shared" si="9"/>
        <v>7.5</v>
      </c>
      <c r="U19" s="2">
        <f t="shared" si="10"/>
        <v>7.5</v>
      </c>
      <c r="V19" s="2">
        <f t="shared" si="11"/>
        <v>7.5</v>
      </c>
      <c r="W19" s="2">
        <f t="shared" si="12"/>
        <v>7.5</v>
      </c>
      <c r="X19" s="2">
        <f t="shared" si="13"/>
        <v>7.5</v>
      </c>
      <c r="Y19" s="2">
        <f t="shared" si="14"/>
        <v>6.9157327196661127</v>
      </c>
      <c r="AB19" s="4">
        <v>1.3</v>
      </c>
      <c r="AC19" s="2">
        <f t="shared" si="15"/>
        <v>7.0022643717786384</v>
      </c>
      <c r="AD19" s="2">
        <f t="shared" si="16"/>
        <v>7.008209411834347</v>
      </c>
      <c r="AE19" s="2">
        <f t="shared" si="17"/>
        <v>7.0288580155522977</v>
      </c>
      <c r="AF19" s="2">
        <f t="shared" si="18"/>
        <v>7.0753628087773208</v>
      </c>
      <c r="AG19" s="2">
        <f t="shared" si="19"/>
        <v>7.1443998967490048</v>
      </c>
      <c r="AH19" s="2">
        <f t="shared" si="20"/>
        <v>7.2408142209355137</v>
      </c>
      <c r="AI19" s="2">
        <f t="shared" si="21"/>
        <v>7.3400445852528176</v>
      </c>
      <c r="AJ19" s="2">
        <f t="shared" si="22"/>
        <v>6.6276357864170929</v>
      </c>
      <c r="AK19" s="2">
        <f t="shared" si="23"/>
        <v>6.6276357864170929</v>
      </c>
      <c r="AL19" s="2">
        <f t="shared" si="24"/>
        <v>6.6276357864170929</v>
      </c>
      <c r="AM19" s="2">
        <f t="shared" si="25"/>
        <v>6.9722860670131226</v>
      </c>
      <c r="AP19" s="2">
        <f t="shared" si="3"/>
        <v>0.48162843637083796</v>
      </c>
    </row>
    <row r="20" spans="1:43" x14ac:dyDescent="0.25">
      <c r="A20" s="4">
        <v>1.4</v>
      </c>
      <c r="B20" s="2">
        <v>2.9406003338848098E-3</v>
      </c>
      <c r="C20" s="2">
        <v>1.18185431208001E-2</v>
      </c>
      <c r="D20" s="2">
        <v>4.6256331453863597E-2</v>
      </c>
      <c r="E20" s="2">
        <v>0.13241430579487301</v>
      </c>
      <c r="F20" s="2">
        <v>0.271516390114864</v>
      </c>
      <c r="G20" s="2">
        <v>0.47649068771557801</v>
      </c>
      <c r="H20" s="2">
        <v>0.68970260967061803</v>
      </c>
      <c r="I20" s="2">
        <v>0.66382021554066795</v>
      </c>
      <c r="J20" s="2">
        <v>0.66382021554066795</v>
      </c>
      <c r="K20" s="2">
        <v>0.66382021554066895</v>
      </c>
      <c r="N20" s="4">
        <v>1.4</v>
      </c>
      <c r="O20" s="2">
        <f t="shared" si="4"/>
        <v>5.50588120066777</v>
      </c>
      <c r="P20" s="2">
        <f t="shared" si="5"/>
        <v>5.5236370862416004</v>
      </c>
      <c r="Q20" s="2">
        <f t="shared" si="6"/>
        <v>5.5925126629077271</v>
      </c>
      <c r="R20" s="2">
        <f t="shared" si="7"/>
        <v>7.5</v>
      </c>
      <c r="S20" s="2">
        <f t="shared" si="8"/>
        <v>7.5</v>
      </c>
      <c r="T20" s="2">
        <f t="shared" si="9"/>
        <v>7.5</v>
      </c>
      <c r="U20" s="2">
        <f t="shared" si="10"/>
        <v>7.5</v>
      </c>
      <c r="V20" s="2">
        <f t="shared" si="11"/>
        <v>7.5</v>
      </c>
      <c r="W20" s="2">
        <f t="shared" si="12"/>
        <v>7.5</v>
      </c>
      <c r="X20" s="2">
        <f t="shared" si="13"/>
        <v>7.5</v>
      </c>
      <c r="Y20" s="2">
        <f t="shared" si="14"/>
        <v>6.9122030949817104</v>
      </c>
      <c r="AB20" s="4">
        <v>1.4</v>
      </c>
      <c r="AC20" s="2">
        <f t="shared" si="15"/>
        <v>7.0014703001669423</v>
      </c>
      <c r="AD20" s="2">
        <f t="shared" si="16"/>
        <v>7.0059092715603999</v>
      </c>
      <c r="AE20" s="2">
        <f t="shared" si="17"/>
        <v>7.0231281657269315</v>
      </c>
      <c r="AF20" s="2">
        <f t="shared" si="18"/>
        <v>7.0662071528974364</v>
      </c>
      <c r="AG20" s="2">
        <f t="shared" si="19"/>
        <v>7.1357581950574316</v>
      </c>
      <c r="AH20" s="2">
        <f t="shared" si="20"/>
        <v>7.2382453438577894</v>
      </c>
      <c r="AI20" s="2">
        <f t="shared" si="21"/>
        <v>7.3448513048353092</v>
      </c>
      <c r="AJ20" s="2">
        <f t="shared" si="22"/>
        <v>6.6595505388516703</v>
      </c>
      <c r="AK20" s="2">
        <f t="shared" si="23"/>
        <v>6.6595505388516703</v>
      </c>
      <c r="AL20" s="2">
        <f t="shared" si="24"/>
        <v>6.659550538851672</v>
      </c>
      <c r="AM20" s="2">
        <f t="shared" si="25"/>
        <v>6.9794221350657253</v>
      </c>
      <c r="AP20" s="2">
        <f t="shared" si="3"/>
        <v>0.47649068340878753</v>
      </c>
    </row>
    <row r="21" spans="1:43" x14ac:dyDescent="0.25">
      <c r="A21" s="4">
        <v>1.5</v>
      </c>
      <c r="B21" s="2">
        <v>1.9087722273452899E-3</v>
      </c>
      <c r="C21" s="2">
        <v>8.4980476916251199E-3</v>
      </c>
      <c r="D21" s="2">
        <v>3.6991130160020397E-2</v>
      </c>
      <c r="E21" s="2">
        <v>0.116017069407315</v>
      </c>
      <c r="F21" s="2">
        <v>0.25476988185912702</v>
      </c>
      <c r="G21" s="2">
        <v>0.47104138047399502</v>
      </c>
      <c r="H21" s="2">
        <v>0.69876079523692602</v>
      </c>
      <c r="I21" s="2">
        <v>0.67651967510760702</v>
      </c>
      <c r="J21" s="2">
        <v>0.67651967510760702</v>
      </c>
      <c r="K21" s="2">
        <v>0.67651967510760702</v>
      </c>
      <c r="N21" s="4">
        <v>1.5</v>
      </c>
      <c r="O21" s="2">
        <f t="shared" si="4"/>
        <v>5.5038175444546908</v>
      </c>
      <c r="P21" s="2">
        <f t="shared" si="5"/>
        <v>5.5169960953832504</v>
      </c>
      <c r="Q21" s="2">
        <f t="shared" si="6"/>
        <v>5.5739822603200411</v>
      </c>
      <c r="R21" s="2">
        <f t="shared" si="7"/>
        <v>7.5</v>
      </c>
      <c r="S21" s="2">
        <f t="shared" si="8"/>
        <v>7.5</v>
      </c>
      <c r="T21" s="2">
        <f t="shared" si="9"/>
        <v>7.5</v>
      </c>
      <c r="U21" s="2">
        <f t="shared" si="10"/>
        <v>7.5</v>
      </c>
      <c r="V21" s="2">
        <f t="shared" si="11"/>
        <v>7.5</v>
      </c>
      <c r="W21" s="2">
        <f t="shared" si="12"/>
        <v>7.5</v>
      </c>
      <c r="X21" s="2">
        <f t="shared" si="13"/>
        <v>7.5</v>
      </c>
      <c r="Y21" s="2">
        <f t="shared" si="14"/>
        <v>6.9094795900157973</v>
      </c>
      <c r="AB21" s="4">
        <v>1.5</v>
      </c>
      <c r="AC21" s="2">
        <f t="shared" si="15"/>
        <v>7.0009543861136727</v>
      </c>
      <c r="AD21" s="2">
        <f t="shared" si="16"/>
        <v>7.004249023845813</v>
      </c>
      <c r="AE21" s="2">
        <f t="shared" si="17"/>
        <v>7.01849556508001</v>
      </c>
      <c r="AF21" s="2">
        <f t="shared" si="18"/>
        <v>7.0580085347036565</v>
      </c>
      <c r="AG21" s="2">
        <f t="shared" si="19"/>
        <v>7.1273849409295638</v>
      </c>
      <c r="AH21" s="2">
        <f t="shared" si="20"/>
        <v>7.2355206902369975</v>
      </c>
      <c r="AI21" s="2">
        <f t="shared" si="21"/>
        <v>7.3493803976184635</v>
      </c>
      <c r="AJ21" s="2">
        <f t="shared" si="22"/>
        <v>6.691299187769018</v>
      </c>
      <c r="AK21" s="2">
        <f t="shared" si="23"/>
        <v>6.691299187769018</v>
      </c>
      <c r="AL21" s="2">
        <f t="shared" si="24"/>
        <v>6.691299187769018</v>
      </c>
      <c r="AM21" s="2">
        <f t="shared" si="25"/>
        <v>6.9867891101835227</v>
      </c>
      <c r="AP21" s="2">
        <f t="shared" si="3"/>
        <v>0.4710413749422927</v>
      </c>
    </row>
    <row r="22" spans="1:43" x14ac:dyDescent="0.25">
      <c r="A22" s="4">
        <v>1.6</v>
      </c>
      <c r="B22" s="2">
        <v>1.23879057335465E-3</v>
      </c>
      <c r="C22" s="2">
        <v>6.10586954578771E-3</v>
      </c>
      <c r="D22" s="2">
        <v>2.9529817471468899E-2</v>
      </c>
      <c r="E22" s="2">
        <v>0.10140386493133299</v>
      </c>
      <c r="F22" s="2">
        <v>0.23859331342756401</v>
      </c>
      <c r="G22" s="2">
        <v>0.46528300504320702</v>
      </c>
      <c r="H22" s="2">
        <v>0.70728278465584205</v>
      </c>
      <c r="I22" s="2">
        <v>0.68911387208556496</v>
      </c>
      <c r="J22" s="2">
        <v>0.68911387208556496</v>
      </c>
      <c r="K22" s="2">
        <v>0.68911387208556496</v>
      </c>
      <c r="N22" s="4">
        <v>1.6</v>
      </c>
      <c r="O22" s="2">
        <f t="shared" si="4"/>
        <v>5.5024775811467093</v>
      </c>
      <c r="P22" s="2">
        <f t="shared" si="5"/>
        <v>5.5122117390915752</v>
      </c>
      <c r="Q22" s="2">
        <f t="shared" si="6"/>
        <v>5.5590596349429378</v>
      </c>
      <c r="R22" s="2">
        <f t="shared" si="7"/>
        <v>7.5</v>
      </c>
      <c r="S22" s="2">
        <f t="shared" si="7"/>
        <v>7.5000000000000009</v>
      </c>
      <c r="T22" s="2">
        <f t="shared" si="7"/>
        <v>7.5</v>
      </c>
      <c r="U22" s="2">
        <f t="shared" si="7"/>
        <v>7.5</v>
      </c>
      <c r="V22" s="2">
        <f t="shared" si="7"/>
        <v>7.5</v>
      </c>
      <c r="W22" s="2">
        <f t="shared" si="7"/>
        <v>7.5</v>
      </c>
      <c r="X22" s="2">
        <f t="shared" si="7"/>
        <v>7.5</v>
      </c>
      <c r="Y22" s="2">
        <f t="shared" si="14"/>
        <v>6.9073748955181227</v>
      </c>
      <c r="AB22" s="4">
        <v>1.6</v>
      </c>
      <c r="AC22" s="2">
        <f t="shared" si="15"/>
        <v>7.0006193952866775</v>
      </c>
      <c r="AD22" s="2">
        <f t="shared" si="16"/>
        <v>7.003052934772894</v>
      </c>
      <c r="AE22" s="2">
        <f t="shared" si="17"/>
        <v>7.0147649087357342</v>
      </c>
      <c r="AF22" s="2">
        <f t="shared" si="18"/>
        <v>7.0507019324656666</v>
      </c>
      <c r="AG22" s="2">
        <f t="shared" si="19"/>
        <v>7.1192966567137823</v>
      </c>
      <c r="AH22" s="2">
        <f t="shared" si="20"/>
        <v>7.2326415025216031</v>
      </c>
      <c r="AI22" s="2">
        <f t="shared" si="21"/>
        <v>7.3536413923279209</v>
      </c>
      <c r="AJ22" s="2">
        <f t="shared" si="22"/>
        <v>6.7227846802139126</v>
      </c>
      <c r="AK22" s="2">
        <f t="shared" si="23"/>
        <v>6.7227846802139126</v>
      </c>
      <c r="AL22" s="2">
        <f t="shared" si="24"/>
        <v>6.7227846802139126</v>
      </c>
      <c r="AM22" s="2">
        <f t="shared" si="25"/>
        <v>6.9943072763466017</v>
      </c>
      <c r="AP22" s="2">
        <f t="shared" si="3"/>
        <v>0.46528300075585993</v>
      </c>
    </row>
    <row r="23" spans="1:43" x14ac:dyDescent="0.25">
      <c r="A23" s="4">
        <v>1.7</v>
      </c>
      <c r="B23" s="2">
        <v>8.0389540077395797E-4</v>
      </c>
      <c r="C23" s="2">
        <v>4.3847111266204298E-3</v>
      </c>
      <c r="D23" s="2">
        <v>2.3539896645661099E-2</v>
      </c>
      <c r="E23" s="2">
        <v>8.8435762190744893E-2</v>
      </c>
      <c r="F23" s="2">
        <v>0.223014911217915</v>
      </c>
      <c r="G23" s="2">
        <v>0.45922092510655999</v>
      </c>
      <c r="H23" s="2">
        <v>0.71529137467706405</v>
      </c>
      <c r="I23" s="2">
        <v>0.70156733785121905</v>
      </c>
      <c r="J23" s="2">
        <v>0.70156733785121905</v>
      </c>
      <c r="K23" s="2">
        <v>0.70156733785122005</v>
      </c>
      <c r="N23" s="4">
        <v>1.7</v>
      </c>
      <c r="O23" s="2">
        <f t="shared" si="4"/>
        <v>5.5016077908015486</v>
      </c>
      <c r="P23" s="2">
        <f t="shared" si="5"/>
        <v>5.5087694222532404</v>
      </c>
      <c r="Q23" s="2">
        <f t="shared" si="6"/>
        <v>5.5470797932913216</v>
      </c>
      <c r="R23" s="2">
        <f t="shared" si="7"/>
        <v>7.5</v>
      </c>
      <c r="S23" s="2">
        <f t="shared" si="7"/>
        <v>7.5</v>
      </c>
      <c r="T23" s="2">
        <f t="shared" si="7"/>
        <v>7.5</v>
      </c>
      <c r="U23" s="2">
        <f t="shared" si="7"/>
        <v>7.5</v>
      </c>
      <c r="V23" s="2">
        <f t="shared" si="7"/>
        <v>7.5</v>
      </c>
      <c r="W23" s="2">
        <f t="shared" si="7"/>
        <v>7.5</v>
      </c>
      <c r="X23" s="2">
        <f t="shared" si="7"/>
        <v>7.5</v>
      </c>
      <c r="Y23" s="2">
        <f t="shared" si="14"/>
        <v>6.9057457006346112</v>
      </c>
      <c r="AB23" s="4">
        <v>1.7</v>
      </c>
      <c r="AC23" s="2">
        <f t="shared" si="15"/>
        <v>7.0004019477003876</v>
      </c>
      <c r="AD23" s="2">
        <f t="shared" si="16"/>
        <v>7.0021923555633103</v>
      </c>
      <c r="AE23" s="2">
        <f t="shared" si="17"/>
        <v>7.0117699483228302</v>
      </c>
      <c r="AF23" s="2">
        <f t="shared" si="18"/>
        <v>7.0442178810953724</v>
      </c>
      <c r="AG23" s="2">
        <f t="shared" si="19"/>
        <v>7.1115074556089573</v>
      </c>
      <c r="AH23" s="2">
        <f t="shared" si="20"/>
        <v>7.2296104625532802</v>
      </c>
      <c r="AI23" s="2">
        <f t="shared" si="21"/>
        <v>7.3576456873385325</v>
      </c>
      <c r="AJ23" s="2">
        <f t="shared" si="22"/>
        <v>6.7539183446280475</v>
      </c>
      <c r="AK23" s="2">
        <f t="shared" si="23"/>
        <v>6.7539183446280475</v>
      </c>
      <c r="AL23" s="2">
        <f t="shared" si="24"/>
        <v>6.7539183446280502</v>
      </c>
      <c r="AM23" s="2">
        <f t="shared" si="25"/>
        <v>7.0019100772066825</v>
      </c>
      <c r="AP23" s="2">
        <f t="shared" si="3"/>
        <v>0.45922091973108131</v>
      </c>
    </row>
    <row r="24" spans="1:43" x14ac:dyDescent="0.25">
      <c r="A24" s="4">
        <v>1.8</v>
      </c>
      <c r="B24" s="2">
        <v>5.2164101498937702E-4</v>
      </c>
      <c r="C24" s="2">
        <v>3.14745351704101E-3</v>
      </c>
      <c r="D24" s="2">
        <v>1.8743090299175501E-2</v>
      </c>
      <c r="E24" s="2">
        <v>7.6971231886978894E-2</v>
      </c>
      <c r="F24" s="2">
        <v>0.20805858850546899</v>
      </c>
      <c r="G24" s="2">
        <v>0.45286370423911898</v>
      </c>
      <c r="H24" s="2">
        <v>0.72281220937183199</v>
      </c>
      <c r="I24" s="2">
        <v>0.71384779613274896</v>
      </c>
      <c r="J24" s="2">
        <v>0.71384779613274896</v>
      </c>
      <c r="K24" s="2">
        <v>0.71384779613274896</v>
      </c>
      <c r="N24" s="4">
        <v>1.8</v>
      </c>
      <c r="O24" s="2">
        <f t="shared" si="4"/>
        <v>5.5010432820299791</v>
      </c>
      <c r="P24" s="2">
        <f t="shared" si="5"/>
        <v>5.5062949070340821</v>
      </c>
      <c r="Q24" s="2">
        <f t="shared" si="6"/>
        <v>5.5374861805983508</v>
      </c>
      <c r="R24" s="2">
        <f t="shared" ref="R24:X26" si="26">E24*($T$6+2)+(1-E24)*($T$6+2)</f>
        <v>7.5000000000000009</v>
      </c>
      <c r="S24" s="2">
        <f t="shared" si="26"/>
        <v>7.5</v>
      </c>
      <c r="T24" s="2">
        <f t="shared" si="26"/>
        <v>7.5</v>
      </c>
      <c r="U24" s="2">
        <f t="shared" si="26"/>
        <v>7.5</v>
      </c>
      <c r="V24" s="2">
        <f t="shared" si="26"/>
        <v>7.5</v>
      </c>
      <c r="W24" s="2">
        <f t="shared" si="26"/>
        <v>7.5</v>
      </c>
      <c r="X24" s="2">
        <f t="shared" si="26"/>
        <v>7.5</v>
      </c>
      <c r="Y24" s="2">
        <f t="shared" si="14"/>
        <v>6.9044824369662408</v>
      </c>
      <c r="AB24" s="4">
        <v>1.8</v>
      </c>
      <c r="AC24" s="2">
        <f t="shared" si="15"/>
        <v>7.0002608205074948</v>
      </c>
      <c r="AD24" s="2">
        <f t="shared" si="16"/>
        <v>7.0015737267585205</v>
      </c>
      <c r="AE24" s="2">
        <f t="shared" si="17"/>
        <v>7.0093715451495875</v>
      </c>
      <c r="AF24" s="2">
        <f t="shared" si="18"/>
        <v>7.0384856159434905</v>
      </c>
      <c r="AG24" s="2">
        <f t="shared" si="19"/>
        <v>7.1040292942527339</v>
      </c>
      <c r="AH24" s="2">
        <f t="shared" si="20"/>
        <v>7.2264318521195587</v>
      </c>
      <c r="AI24" s="2">
        <f t="shared" si="21"/>
        <v>7.3614061046859165</v>
      </c>
      <c r="AJ24" s="2">
        <f t="shared" si="22"/>
        <v>6.7846194903318722</v>
      </c>
      <c r="AK24" s="2">
        <f t="shared" si="23"/>
        <v>6.7846194903318722</v>
      </c>
      <c r="AL24" s="2">
        <f t="shared" si="24"/>
        <v>6.7846194903318722</v>
      </c>
      <c r="AM24" s="2">
        <f t="shared" si="25"/>
        <v>7.0095417430412921</v>
      </c>
      <c r="AP24" s="2">
        <f t="shared" si="3"/>
        <v>0.45286370014168331</v>
      </c>
    </row>
    <row r="25" spans="1:43" x14ac:dyDescent="0.25">
      <c r="A25" s="4">
        <v>1.9</v>
      </c>
      <c r="B25" s="2">
        <v>3.3846714064122898E-4</v>
      </c>
      <c r="C25" s="2">
        <v>2.2586088974915399E-3</v>
      </c>
      <c r="D25" s="2">
        <v>1.4909351613954101E-2</v>
      </c>
      <c r="E25" s="2">
        <v>6.6870594621429594E-2</v>
      </c>
      <c r="F25" s="2">
        <v>0.19374399621893801</v>
      </c>
      <c r="G25" s="2">
        <v>0.44622313454387602</v>
      </c>
      <c r="H25" s="2">
        <v>0.72987297876882296</v>
      </c>
      <c r="I25" s="2">
        <v>0.72592599459007601</v>
      </c>
      <c r="J25" s="2">
        <v>0.72592599459007601</v>
      </c>
      <c r="K25" s="2">
        <v>0.72592599459007601</v>
      </c>
      <c r="N25" s="4">
        <v>1.9</v>
      </c>
      <c r="O25" s="2">
        <f t="shared" si="4"/>
        <v>5.500676934281282</v>
      </c>
      <c r="P25" s="2">
        <f t="shared" si="5"/>
        <v>5.5045172177949828</v>
      </c>
      <c r="Q25" s="2">
        <f t="shared" si="6"/>
        <v>5.5298187032279076</v>
      </c>
      <c r="R25" s="2">
        <f t="shared" si="26"/>
        <v>7.4999999999999991</v>
      </c>
      <c r="S25" s="2">
        <f t="shared" si="26"/>
        <v>7.5</v>
      </c>
      <c r="T25" s="2">
        <f t="shared" si="26"/>
        <v>7.5</v>
      </c>
      <c r="U25" s="2">
        <f t="shared" si="26"/>
        <v>7.5</v>
      </c>
      <c r="V25" s="2">
        <f t="shared" si="26"/>
        <v>7.5</v>
      </c>
      <c r="W25" s="2">
        <f t="shared" si="26"/>
        <v>7.5</v>
      </c>
      <c r="X25" s="2">
        <f t="shared" si="26"/>
        <v>7.5</v>
      </c>
      <c r="Y25" s="2">
        <f t="shared" si="14"/>
        <v>6.9035012855304174</v>
      </c>
      <c r="AB25" s="4">
        <v>1.9</v>
      </c>
      <c r="AC25" s="2">
        <f t="shared" si="15"/>
        <v>7.0001692335703201</v>
      </c>
      <c r="AD25" s="2">
        <f t="shared" si="16"/>
        <v>7.0011293044487459</v>
      </c>
      <c r="AE25" s="2">
        <f t="shared" si="17"/>
        <v>7.0074546758069767</v>
      </c>
      <c r="AF25" s="2">
        <f t="shared" si="18"/>
        <v>7.0334352973107137</v>
      </c>
      <c r="AG25" s="2">
        <f t="shared" si="19"/>
        <v>7.096871998109469</v>
      </c>
      <c r="AH25" s="2">
        <f t="shared" si="20"/>
        <v>7.2231115672719373</v>
      </c>
      <c r="AI25" s="2">
        <f t="shared" si="21"/>
        <v>7.3649364893844114</v>
      </c>
      <c r="AJ25" s="2">
        <f t="shared" si="22"/>
        <v>6.8148149864751897</v>
      </c>
      <c r="AK25" s="2">
        <f t="shared" si="23"/>
        <v>6.8148149864751897</v>
      </c>
      <c r="AL25" s="2">
        <f t="shared" si="24"/>
        <v>6.8148149864751897</v>
      </c>
      <c r="AM25" s="2">
        <f t="shared" si="25"/>
        <v>7.0171553525328152</v>
      </c>
      <c r="AP25" s="2">
        <f t="shared" si="3"/>
        <v>0.44622312955119192</v>
      </c>
    </row>
    <row r="26" spans="1:43" x14ac:dyDescent="0.25">
      <c r="A26" s="4">
        <v>2</v>
      </c>
      <c r="B26" s="2">
        <v>2.1959917715163601E-4</v>
      </c>
      <c r="C26" s="2">
        <v>1.6203572154988701E-3</v>
      </c>
      <c r="D26" s="2">
        <v>1.1850230216002899E-2</v>
      </c>
      <c r="E26" s="2">
        <v>5.7999091471714899E-2</v>
      </c>
      <c r="F26" s="2">
        <v>0.180086328396768</v>
      </c>
      <c r="G26" s="2">
        <v>0.439314017603678</v>
      </c>
      <c r="H26" s="2">
        <v>0.73650267108823297</v>
      </c>
      <c r="I26" s="2">
        <v>0.73777560840447398</v>
      </c>
      <c r="J26" s="2">
        <v>0.73777560840447298</v>
      </c>
      <c r="K26" s="2">
        <v>0.73777560840447398</v>
      </c>
      <c r="N26" s="4">
        <v>2</v>
      </c>
      <c r="O26" s="2">
        <f t="shared" si="4"/>
        <v>5.5004391983543028</v>
      </c>
      <c r="P26" s="2">
        <f t="shared" si="5"/>
        <v>5.5032407144309978</v>
      </c>
      <c r="Q26" s="2">
        <f t="shared" si="6"/>
        <v>5.5237004604320061</v>
      </c>
      <c r="R26" s="2">
        <f t="shared" si="26"/>
        <v>7.5</v>
      </c>
      <c r="S26" s="2">
        <f t="shared" si="26"/>
        <v>7.5</v>
      </c>
      <c r="T26" s="2">
        <f t="shared" si="26"/>
        <v>7.5</v>
      </c>
      <c r="U26" s="2">
        <f t="shared" si="26"/>
        <v>7.5</v>
      </c>
      <c r="V26" s="2">
        <f t="shared" si="26"/>
        <v>7.5</v>
      </c>
      <c r="W26" s="2">
        <f t="shared" si="26"/>
        <v>7.5</v>
      </c>
      <c r="X26" s="2">
        <f t="shared" si="26"/>
        <v>7.5</v>
      </c>
      <c r="Y26" s="2">
        <f t="shared" si="14"/>
        <v>6.9027380373217309</v>
      </c>
      <c r="AB26" s="4">
        <v>2</v>
      </c>
      <c r="AC26" s="2">
        <f t="shared" si="15"/>
        <v>7.0001097995885759</v>
      </c>
      <c r="AD26" s="2">
        <f t="shared" si="16"/>
        <v>7.0008101786077495</v>
      </c>
      <c r="AE26" s="2">
        <f t="shared" si="17"/>
        <v>7.0059251151080018</v>
      </c>
      <c r="AF26" s="2">
        <f t="shared" si="18"/>
        <v>7.0289995457358581</v>
      </c>
      <c r="AG26" s="2">
        <f t="shared" si="19"/>
        <v>7.0900431641983843</v>
      </c>
      <c r="AH26" s="2">
        <f t="shared" si="20"/>
        <v>7.219657008801839</v>
      </c>
      <c r="AI26" s="2">
        <f t="shared" si="21"/>
        <v>7.3682513355441159</v>
      </c>
      <c r="AJ26" s="2">
        <f t="shared" si="22"/>
        <v>6.8444390210111852</v>
      </c>
      <c r="AK26" s="2">
        <f t="shared" si="23"/>
        <v>6.8444390210111825</v>
      </c>
      <c r="AL26" s="2">
        <f t="shared" si="24"/>
        <v>6.8444390210111852</v>
      </c>
      <c r="AM26" s="2">
        <f t="shared" si="25"/>
        <v>7.0247113210618082</v>
      </c>
      <c r="AP26" s="2">
        <f t="shared" si="3"/>
        <v>0.4393140116243221</v>
      </c>
    </row>
    <row r="27" spans="1:43" x14ac:dyDescent="0.25">
      <c r="A27" s="4">
        <v>2.1</v>
      </c>
      <c r="B27" s="2">
        <v>1.42465319963399E-4</v>
      </c>
      <c r="C27" s="2">
        <v>1.16220946764714E-3</v>
      </c>
      <c r="D27" s="2">
        <v>9.4124078892408904E-3</v>
      </c>
      <c r="E27" s="2">
        <v>5.0228952128346903E-2</v>
      </c>
      <c r="F27" s="2">
        <v>0.16709611065232099</v>
      </c>
      <c r="G27" s="2">
        <v>0.43215385585703198</v>
      </c>
      <c r="H27" s="2">
        <v>0.74273094663970496</v>
      </c>
      <c r="I27" s="2">
        <v>0.74937314253423204</v>
      </c>
      <c r="J27" s="2">
        <v>0.74937314253423104</v>
      </c>
      <c r="K27" s="2">
        <v>0.74937314253423304</v>
      </c>
    </row>
    <row r="28" spans="1:43" x14ac:dyDescent="0.25">
      <c r="A28" s="4">
        <v>2.2000000000000002</v>
      </c>
      <c r="B28" s="2">
        <v>9.2415881065332199E-5</v>
      </c>
      <c r="C28" s="2">
        <v>8.3343645815912198E-4</v>
      </c>
      <c r="D28" s="2">
        <v>7.4718013395544403E-3</v>
      </c>
      <c r="E28" s="2">
        <v>4.3440698685757298E-2</v>
      </c>
      <c r="F28" s="2">
        <v>0.15477905007324899</v>
      </c>
      <c r="G28" s="2">
        <v>0.42476248141360201</v>
      </c>
      <c r="H28" s="2">
        <v>0.74858761350145697</v>
      </c>
      <c r="I28" s="2">
        <v>0.76069784827728404</v>
      </c>
      <c r="J28" s="2">
        <v>0.76069784827728304</v>
      </c>
      <c r="K28" s="2">
        <v>0.76069784827728404</v>
      </c>
    </row>
    <row r="29" spans="1:43" x14ac:dyDescent="0.25">
      <c r="A29" s="4">
        <v>2.2999999999999998</v>
      </c>
      <c r="B29" s="2">
        <v>5.9943026643749197E-5</v>
      </c>
      <c r="C29" s="2">
        <v>5.9756122460115899E-4</v>
      </c>
      <c r="D29" s="2">
        <v>5.9283929349657396E-3</v>
      </c>
      <c r="E29" s="2">
        <v>3.7523866557960001E-2</v>
      </c>
      <c r="F29" s="2">
        <v>0.143135980352499</v>
      </c>
      <c r="G29" s="2">
        <v>0.41716162187261902</v>
      </c>
      <c r="H29" s="2">
        <v>0.754102173502742</v>
      </c>
      <c r="I29" s="2">
        <v>0.77173167181878499</v>
      </c>
      <c r="J29" s="2">
        <v>0.77173167181878599</v>
      </c>
      <c r="K29" s="2">
        <v>0.77173167181878599</v>
      </c>
      <c r="AQ29" s="8"/>
    </row>
    <row r="30" spans="1:43" x14ac:dyDescent="0.25">
      <c r="A30" s="4">
        <v>2.4</v>
      </c>
      <c r="B30" s="2">
        <v>3.8876064652361303E-5</v>
      </c>
      <c r="C30" s="2">
        <v>4.2837079342085698E-4</v>
      </c>
      <c r="D30" s="2">
        <v>4.7018189086383199E-3</v>
      </c>
      <c r="E30" s="2">
        <v>3.2377298876877902E-2</v>
      </c>
      <c r="F30" s="2">
        <v>0.132162957409861</v>
      </c>
      <c r="G30" s="2">
        <v>0.40937448358795198</v>
      </c>
      <c r="H30" s="2">
        <v>0.75930347327431602</v>
      </c>
      <c r="I30" s="2">
        <v>0.78245917929685704</v>
      </c>
      <c r="J30" s="2">
        <v>0.78245917929685704</v>
      </c>
      <c r="K30" s="2">
        <v>0.78245917929685804</v>
      </c>
      <c r="AQ30" s="8"/>
    </row>
    <row r="31" spans="1:43" x14ac:dyDescent="0.25">
      <c r="A31" s="4">
        <v>2.5</v>
      </c>
      <c r="B31" s="2">
        <v>2.5210182665936099E-5</v>
      </c>
      <c r="C31" s="2">
        <v>3.0703633554539199E-4</v>
      </c>
      <c r="D31" s="2">
        <v>3.7276695984677201E-3</v>
      </c>
      <c r="E31" s="2">
        <v>2.7909118303166398E-2</v>
      </c>
      <c r="F31" s="2">
        <v>0.12185148397687</v>
      </c>
      <c r="G31" s="2">
        <v>0.40142533902170602</v>
      </c>
      <c r="H31" s="2">
        <v>0.76421942847302904</v>
      </c>
      <c r="I31" s="2">
        <v>0.79286747692555604</v>
      </c>
      <c r="J31" s="2">
        <v>0.79286747692555604</v>
      </c>
      <c r="K31" s="2">
        <v>0.79286747692555604</v>
      </c>
      <c r="AQ31" s="8"/>
    </row>
    <row r="32" spans="1:43" x14ac:dyDescent="0.25">
      <c r="A32" s="4">
        <v>2.6</v>
      </c>
      <c r="B32" s="2">
        <v>1.6346308992730198E-5</v>
      </c>
      <c r="C32" s="2">
        <v>2.2003758684811201E-4</v>
      </c>
      <c r="D32" s="2">
        <v>2.9544259354602402E-3</v>
      </c>
      <c r="E32" s="2">
        <v>2.4036462630109199E-2</v>
      </c>
      <c r="F32" s="2">
        <v>0.112188835589102</v>
      </c>
      <c r="G32" s="2">
        <v>0.39333910018149099</v>
      </c>
      <c r="H32" s="2">
        <v>0.76887679047122504</v>
      </c>
      <c r="I32" s="2">
        <v>0.80294614219907201</v>
      </c>
      <c r="J32" s="2">
        <v>0.80294614219907201</v>
      </c>
      <c r="K32" s="2">
        <v>0.80294614219907301</v>
      </c>
      <c r="AQ32" s="8"/>
    </row>
    <row r="33" spans="1:43" x14ac:dyDescent="0.25">
      <c r="A33" s="4">
        <v>2.7</v>
      </c>
      <c r="B33" s="2">
        <v>1.0597775750178899E-5</v>
      </c>
      <c r="C33" s="2">
        <v>1.5766886154397101E-4</v>
      </c>
      <c r="D33" s="2">
        <v>2.3409474219953401E-3</v>
      </c>
      <c r="E33" s="2">
        <v>2.06850632006985E-2</v>
      </c>
      <c r="F33" s="2">
        <v>0.103158494451528</v>
      </c>
      <c r="G33" s="2">
        <v>0.38514094511736802</v>
      </c>
      <c r="H33" s="2">
        <v>0.77330098940678405</v>
      </c>
      <c r="I33" s="2">
        <v>0.81268711921973202</v>
      </c>
      <c r="J33" s="2">
        <v>0.81268711921973202</v>
      </c>
      <c r="K33" s="2">
        <v>0.81268711921973202</v>
      </c>
      <c r="AQ33" s="8"/>
    </row>
    <row r="34" spans="1:43" x14ac:dyDescent="0.25">
      <c r="A34" s="4">
        <v>2.8</v>
      </c>
      <c r="B34" s="2">
        <v>6.8701070928562702E-6</v>
      </c>
      <c r="C34" s="2">
        <v>1.1296449114613599E-4</v>
      </c>
      <c r="D34" s="2">
        <v>1.8544257371689099E-3</v>
      </c>
      <c r="E34" s="2">
        <v>1.77887149417186E-2</v>
      </c>
      <c r="F34" s="2">
        <v>9.4740641504358E-2</v>
      </c>
      <c r="G34" s="2">
        <v>0.37685595847389802</v>
      </c>
      <c r="H34" s="2">
        <v>0.77751601216905497</v>
      </c>
      <c r="I34" s="2">
        <v>0.82208461144318101</v>
      </c>
      <c r="J34" s="2">
        <v>0.82208461144318101</v>
      </c>
      <c r="K34" s="2">
        <v>0.82208461144318101</v>
      </c>
      <c r="O34" s="13" t="s">
        <v>6</v>
      </c>
      <c r="P34" s="13"/>
      <c r="Q34" s="13"/>
      <c r="R34" s="13"/>
      <c r="S34" s="13"/>
      <c r="T34" s="13"/>
      <c r="U34" s="13"/>
      <c r="V34" s="13"/>
      <c r="W34" s="13"/>
      <c r="X34" s="13"/>
      <c r="Y34" s="7"/>
      <c r="AC34" s="13" t="s">
        <v>6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7"/>
      <c r="AQ34" s="8"/>
    </row>
    <row r="35" spans="1:43" x14ac:dyDescent="0.25">
      <c r="A35" s="4">
        <v>2.9</v>
      </c>
      <c r="B35" s="2">
        <v>4.4531718144669697E-6</v>
      </c>
      <c r="C35" s="2">
        <v>8.0926394898246201E-5</v>
      </c>
      <c r="D35" s="2">
        <v>1.46872675965501E-3</v>
      </c>
      <c r="E35" s="2">
        <v>1.5288684270112299E-2</v>
      </c>
      <c r="F35" s="2">
        <v>8.6912689156390305E-2</v>
      </c>
      <c r="G35" s="2">
        <v>0.36850880884953202</v>
      </c>
      <c r="H35" s="2">
        <v>0.78154432142548202</v>
      </c>
      <c r="I35" s="2">
        <v>0.83113495838871698</v>
      </c>
      <c r="J35" s="2">
        <v>0.83113495838871598</v>
      </c>
      <c r="K35" s="2">
        <v>0.83113495838871698</v>
      </c>
      <c r="N35" s="5" t="s">
        <v>0</v>
      </c>
      <c r="O35" s="6">
        <v>0.5</v>
      </c>
      <c r="P35" s="6">
        <v>1.5</v>
      </c>
      <c r="Q35" s="6">
        <v>2.5</v>
      </c>
      <c r="R35" s="6">
        <v>3.5</v>
      </c>
      <c r="S35" s="6">
        <v>4.5</v>
      </c>
      <c r="T35" s="6">
        <v>5.5</v>
      </c>
      <c r="U35" s="6">
        <v>6.5</v>
      </c>
      <c r="V35" s="6">
        <v>7.5</v>
      </c>
      <c r="W35" s="6">
        <v>8.5</v>
      </c>
      <c r="X35" s="6">
        <v>9.5</v>
      </c>
      <c r="Y35" s="10" t="s">
        <v>30</v>
      </c>
      <c r="AB35" s="5" t="s">
        <v>0</v>
      </c>
      <c r="AC35" s="6">
        <v>0.5</v>
      </c>
      <c r="AD35" s="6">
        <v>1.5</v>
      </c>
      <c r="AE35" s="6">
        <v>2.5</v>
      </c>
      <c r="AF35" s="6">
        <v>3.5</v>
      </c>
      <c r="AG35" s="6">
        <v>4.5</v>
      </c>
      <c r="AH35" s="6">
        <v>5.5</v>
      </c>
      <c r="AI35" s="6">
        <v>6.5</v>
      </c>
      <c r="AJ35" s="6">
        <v>7.5</v>
      </c>
      <c r="AK35" s="6">
        <v>8.5</v>
      </c>
      <c r="AL35" s="6">
        <v>9.5</v>
      </c>
      <c r="AM35" s="10" t="s">
        <v>24</v>
      </c>
      <c r="AP35" s="10" t="s">
        <v>31</v>
      </c>
      <c r="AQ35" s="8"/>
    </row>
    <row r="36" spans="1:43" x14ac:dyDescent="0.25">
      <c r="A36" s="4">
        <v>3</v>
      </c>
      <c r="B36" s="2">
        <v>2.8862684079976401E-6</v>
      </c>
      <c r="C36" s="2">
        <v>5.7969048718507202E-5</v>
      </c>
      <c r="D36" s="2">
        <v>1.16305269267327E-3</v>
      </c>
      <c r="E36" s="2">
        <v>1.3133087775616999E-2</v>
      </c>
      <c r="F36" s="2">
        <v>7.9649828255216604E-2</v>
      </c>
      <c r="G36" s="2">
        <v>0.36012346367061598</v>
      </c>
      <c r="H36" s="2">
        <v>0.785406807546561</v>
      </c>
      <c r="I36" s="2">
        <v>0.83983649973642804</v>
      </c>
      <c r="J36" s="2">
        <v>0.83983649973642804</v>
      </c>
      <c r="K36" s="2">
        <v>0.83983649973642904</v>
      </c>
      <c r="M36" s="2" t="s">
        <v>28</v>
      </c>
      <c r="N36" s="4">
        <v>0.1</v>
      </c>
      <c r="O36" s="2">
        <f>B7*($U$35+2)+(1-B7)*($U$35)</f>
        <v>7.3230006395415597</v>
      </c>
      <c r="P36" s="2">
        <f t="shared" ref="P36:Q36" si="27">C7*($U$35+2)+(1-C7)*($U$35)</f>
        <v>7.3718256181341939</v>
      </c>
      <c r="Q36" s="2">
        <f t="shared" si="27"/>
        <v>7.4212799166795556</v>
      </c>
      <c r="R36" s="2">
        <f t="shared" ref="R36:R50" si="28">E7*($U$35+2)+(1-E7)*($U$35+2)</f>
        <v>8.5</v>
      </c>
      <c r="S36" s="2">
        <f t="shared" ref="S36:S50" si="29">F7*($U$35+2)+(1-F7)*($U$35+2)</f>
        <v>8.5</v>
      </c>
      <c r="T36" s="2">
        <f t="shared" ref="T36:T50" si="30">G7*($U$35+2)+(1-G7)*($U$35+2)</f>
        <v>8.5</v>
      </c>
      <c r="U36" s="2">
        <f t="shared" ref="U36:U50" si="31">H7*($U$35+2)+(1-H7)*($U$35+2)</f>
        <v>8.5</v>
      </c>
      <c r="V36" s="2">
        <f t="shared" ref="V36:V50" si="32">I7*($U$35+2)+(1-I7)*($U$35+2)</f>
        <v>8.5</v>
      </c>
      <c r="W36" s="2">
        <f t="shared" ref="W36:W50" si="33">J7*($U$35+2)+(1-J7)*($U$35+2)</f>
        <v>8.5</v>
      </c>
      <c r="X36" s="2">
        <f t="shared" ref="X36:X50" si="34">K7*($U$35+2)+(1-K7)*($U$35+2)</f>
        <v>8.5</v>
      </c>
      <c r="Y36" s="2">
        <f>SUM(O36:X36)/10</f>
        <v>8.1616106174355316</v>
      </c>
      <c r="AA36" s="2" t="s">
        <v>29</v>
      </c>
      <c r="AB36" s="4">
        <v>0.1</v>
      </c>
      <c r="AC36" s="2">
        <f t="shared" ref="AC36:AC55" si="35">B7*($AI$35+2)+(1-B7)*(7)</f>
        <v>7.6172504796561693</v>
      </c>
      <c r="AD36" s="2">
        <f t="shared" ref="AD36:AD55" si="36">C7*($AI$35+2)+(1-C7)*(7)</f>
        <v>7.6538692136006459</v>
      </c>
      <c r="AE36" s="2">
        <f t="shared" ref="AE36:AE55" si="37">D7*($AI$35+2)+(1-D7)*(7)</f>
        <v>7.6909599375096667</v>
      </c>
      <c r="AF36" s="2">
        <f t="shared" ref="AF36:AF55" si="38">E7*($AI$35+2)+(1-E7)*(7)</f>
        <v>7.7192915560163637</v>
      </c>
      <c r="AG36" s="2">
        <f t="shared" ref="AG36:AG55" si="39">F7*($AI$35+2)+(1-F7)*(7)</f>
        <v>7.7386489469035284</v>
      </c>
      <c r="AH36" s="2">
        <f t="shared" ref="AH36:AH55" si="40">G7*($AI$35+2)+(1-G7)*(7)</f>
        <v>7.7580214760620034</v>
      </c>
      <c r="AI36" s="2">
        <f t="shared" ref="AI36:AI55" si="41">H7*($AI$35+2)+(1-H7)*(7)</f>
        <v>7.7773833061956168</v>
      </c>
      <c r="AJ36" s="2">
        <f>I7*($AI$35+2)+(1-I7)*(5)</f>
        <v>6.7850729394088152</v>
      </c>
      <c r="AK36" s="2">
        <f>J7*($AI$35+2)+(1-J7)*(5)</f>
        <v>6.7850729394088152</v>
      </c>
      <c r="AL36" s="2">
        <f>K7*($AI$35+2)+(1-K7)*(5)</f>
        <v>6.7850729394088152</v>
      </c>
      <c r="AM36" s="2">
        <f>SUM(AC36:AL36)/10</f>
        <v>7.4310643734170458</v>
      </c>
      <c r="AP36" s="2">
        <f t="shared" ref="AP36:AP55" si="42">(EXP(A7*Y36))/(EXP(A7*Y36)+EXP(A7*AM36))</f>
        <v>0.51825553770541399</v>
      </c>
      <c r="AQ36" s="8"/>
    </row>
    <row r="37" spans="1:43" x14ac:dyDescent="0.25">
      <c r="A37" s="4">
        <v>3.1</v>
      </c>
      <c r="B37" s="2">
        <v>1.8705530156856E-6</v>
      </c>
      <c r="C37" s="2">
        <v>4.1520788694432201E-5</v>
      </c>
      <c r="D37" s="2">
        <v>9.2086592961922501E-4</v>
      </c>
      <c r="E37" s="2">
        <v>1.1276266706244299E-2</v>
      </c>
      <c r="F37" s="2">
        <v>7.2925567616521803E-2</v>
      </c>
      <c r="G37" s="2">
        <v>0.35172294391991399</v>
      </c>
      <c r="H37" s="2">
        <v>0.78912276828483496</v>
      </c>
      <c r="I37" s="2">
        <v>0.84818942879431602</v>
      </c>
      <c r="J37" s="2">
        <v>0.84818942879431602</v>
      </c>
      <c r="K37" s="2">
        <v>0.84818942879431602</v>
      </c>
      <c r="N37" s="4">
        <v>0.2</v>
      </c>
      <c r="O37" s="2">
        <f t="shared" ref="O37:O55" si="43">B8*($U$35+2)+(1-B8)*($U$35)</f>
        <v>7.1496471795390777</v>
      </c>
      <c r="P37" s="2">
        <f t="shared" ref="P37:P55" si="44">C8*($U$35+2)+(1-C8)*($U$35)</f>
        <v>7.2402447908077692</v>
      </c>
      <c r="Q37" s="2">
        <f t="shared" ref="Q37:Q55" si="45">D8*($U$35+2)+(1-D8)*($U$35)</f>
        <v>7.3356580908252607</v>
      </c>
      <c r="R37" s="2">
        <f t="shared" si="28"/>
        <v>8.5</v>
      </c>
      <c r="S37" s="2">
        <f t="shared" si="29"/>
        <v>8.5</v>
      </c>
      <c r="T37" s="2">
        <f t="shared" si="30"/>
        <v>8.5</v>
      </c>
      <c r="U37" s="2">
        <f t="shared" si="31"/>
        <v>8.5</v>
      </c>
      <c r="V37" s="2">
        <f t="shared" si="32"/>
        <v>8.5</v>
      </c>
      <c r="W37" s="2">
        <f t="shared" si="33"/>
        <v>8.5</v>
      </c>
      <c r="X37" s="2">
        <f t="shared" si="34"/>
        <v>8.5</v>
      </c>
      <c r="Y37" s="2">
        <f t="shared" ref="Y37:Y55" si="46">SUM(O37:X37)/10</f>
        <v>8.12255500611721</v>
      </c>
      <c r="AB37" s="4">
        <v>0.2</v>
      </c>
      <c r="AC37" s="2">
        <f t="shared" si="35"/>
        <v>7.4872353846543085</v>
      </c>
      <c r="AD37" s="2">
        <f t="shared" si="36"/>
        <v>7.5551835931058271</v>
      </c>
      <c r="AE37" s="2">
        <f t="shared" si="37"/>
        <v>7.626743568118945</v>
      </c>
      <c r="AF37" s="2">
        <f t="shared" si="38"/>
        <v>7.6833341248117044</v>
      </c>
      <c r="AG37" s="2">
        <f t="shared" si="39"/>
        <v>7.7232533118384206</v>
      </c>
      <c r="AH37" s="2">
        <f t="shared" si="40"/>
        <v>7.7633248155587262</v>
      </c>
      <c r="AI37" s="2">
        <f t="shared" si="41"/>
        <v>7.8033203648520209</v>
      </c>
      <c r="AJ37" s="2">
        <f t="shared" ref="AJ37:AL37" si="47">I8*($AI$35+2)+(1-I8)*(5)</f>
        <v>6.8205862524117515</v>
      </c>
      <c r="AK37" s="2">
        <f t="shared" si="47"/>
        <v>6.8205862524117515</v>
      </c>
      <c r="AL37" s="2">
        <f t="shared" si="47"/>
        <v>6.8205862524117515</v>
      </c>
      <c r="AM37" s="2">
        <f t="shared" ref="AM37:AM55" si="48">SUM(AC37:AL37)/10</f>
        <v>7.410415392017522</v>
      </c>
      <c r="AP37" s="2">
        <f t="shared" si="42"/>
        <v>0.53554690981026498</v>
      </c>
      <c r="AQ37" s="8"/>
    </row>
    <row r="38" spans="1:43" x14ac:dyDescent="0.25">
      <c r="A38" s="4">
        <v>3.2</v>
      </c>
      <c r="B38" s="2">
        <v>1.2122005817394099E-6</v>
      </c>
      <c r="C38" s="2">
        <v>2.9737488379492199E-5</v>
      </c>
      <c r="D38" s="2">
        <v>7.2902565002068995E-4</v>
      </c>
      <c r="E38" s="2">
        <v>9.6781754734099005E-3</v>
      </c>
      <c r="F38" s="2">
        <v>6.6712248440593203E-2</v>
      </c>
      <c r="G38" s="2">
        <v>0.34332911982685699</v>
      </c>
      <c r="H38" s="2">
        <v>0.79270991178206596</v>
      </c>
      <c r="I38" s="2">
        <v>0.856195637830242</v>
      </c>
      <c r="J38" s="2">
        <v>0.856195637830241</v>
      </c>
      <c r="K38" s="2">
        <v>0.856195637830242</v>
      </c>
      <c r="N38" s="4">
        <v>0.3</v>
      </c>
      <c r="O38" s="2">
        <f t="shared" si="43"/>
        <v>6.9914492675025652</v>
      </c>
      <c r="P38" s="2">
        <f t="shared" si="44"/>
        <v>7.1108711815899612</v>
      </c>
      <c r="Q38" s="2">
        <f t="shared" si="45"/>
        <v>7.2449816077553404</v>
      </c>
      <c r="R38" s="2">
        <f t="shared" si="28"/>
        <v>8.5</v>
      </c>
      <c r="S38" s="2">
        <f t="shared" si="29"/>
        <v>8.5</v>
      </c>
      <c r="T38" s="2">
        <f t="shared" si="30"/>
        <v>8.5</v>
      </c>
      <c r="U38" s="2">
        <f t="shared" si="31"/>
        <v>8.5</v>
      </c>
      <c r="V38" s="2">
        <f t="shared" si="32"/>
        <v>8.5</v>
      </c>
      <c r="W38" s="2">
        <f t="shared" si="33"/>
        <v>8.5</v>
      </c>
      <c r="X38" s="2">
        <f t="shared" si="34"/>
        <v>8.5</v>
      </c>
      <c r="Y38" s="2">
        <f t="shared" si="46"/>
        <v>8.084730205684787</v>
      </c>
      <c r="AB38" s="4">
        <v>0.3</v>
      </c>
      <c r="AC38" s="2">
        <f t="shared" si="35"/>
        <v>7.3685869506269244</v>
      </c>
      <c r="AD38" s="2">
        <f t="shared" si="36"/>
        <v>7.4581533861924711</v>
      </c>
      <c r="AE38" s="2">
        <f t="shared" si="37"/>
        <v>7.5587362058165048</v>
      </c>
      <c r="AF38" s="2">
        <f t="shared" si="38"/>
        <v>7.6424906494911724</v>
      </c>
      <c r="AG38" s="2">
        <f t="shared" si="39"/>
        <v>7.7039526748288036</v>
      </c>
      <c r="AH38" s="2">
        <f t="shared" si="40"/>
        <v>7.7660418551068267</v>
      </c>
      <c r="AI38" s="2">
        <f t="shared" si="41"/>
        <v>7.8279118272637884</v>
      </c>
      <c r="AJ38" s="2">
        <f t="shared" ref="AJ38:AL38" si="49">I9*($AI$35+2)+(1-I9)*(5)</f>
        <v>6.8569526405247823</v>
      </c>
      <c r="AK38" s="2">
        <f t="shared" si="49"/>
        <v>6.8569526405247823</v>
      </c>
      <c r="AL38" s="2">
        <f t="shared" si="49"/>
        <v>6.8569526405247823</v>
      </c>
      <c r="AM38" s="2">
        <f t="shared" si="48"/>
        <v>7.3896731470900843</v>
      </c>
      <c r="AP38" s="2">
        <f t="shared" si="42"/>
        <v>0.55194121793354467</v>
      </c>
      <c r="AQ38" s="8"/>
    </row>
    <row r="39" spans="1:43" x14ac:dyDescent="0.25">
      <c r="A39" s="4">
        <v>3.3</v>
      </c>
      <c r="B39" s="2">
        <v>7.85516809491291E-7</v>
      </c>
      <c r="C39" s="2">
        <v>2.1296984905470701E-5</v>
      </c>
      <c r="D39" s="2">
        <v>5.7709651478409201E-4</v>
      </c>
      <c r="E39" s="2">
        <v>8.3037969054936892E-3</v>
      </c>
      <c r="F39" s="2">
        <v>6.0981520216448599E-2</v>
      </c>
      <c r="G39" s="2">
        <v>0.33496254745977699</v>
      </c>
      <c r="H39" s="2">
        <v>0.796184379069793</v>
      </c>
      <c r="I39" s="2">
        <v>0.86385855802786005</v>
      </c>
      <c r="J39" s="2">
        <v>0.86385855802786005</v>
      </c>
      <c r="K39" s="2">
        <v>0.86385855802786005</v>
      </c>
      <c r="N39" s="4">
        <v>0.4</v>
      </c>
      <c r="O39" s="2">
        <f t="shared" si="43"/>
        <v>6.8572964439315154</v>
      </c>
      <c r="P39" s="2">
        <f t="shared" si="44"/>
        <v>6.9899728748028034</v>
      </c>
      <c r="Q39" s="2">
        <f t="shared" si="45"/>
        <v>7.1523515492766041</v>
      </c>
      <c r="R39" s="2">
        <f t="shared" si="28"/>
        <v>8.5</v>
      </c>
      <c r="S39" s="2">
        <f t="shared" si="29"/>
        <v>8.5</v>
      </c>
      <c r="T39" s="2">
        <f t="shared" si="30"/>
        <v>8.5</v>
      </c>
      <c r="U39" s="2">
        <f t="shared" si="31"/>
        <v>8.5</v>
      </c>
      <c r="V39" s="2">
        <f t="shared" si="32"/>
        <v>8.5</v>
      </c>
      <c r="W39" s="2">
        <f t="shared" si="33"/>
        <v>8.5</v>
      </c>
      <c r="X39" s="2">
        <f t="shared" si="34"/>
        <v>8.5</v>
      </c>
      <c r="Y39" s="2">
        <f t="shared" si="46"/>
        <v>8.0499620868010915</v>
      </c>
      <c r="AB39" s="4">
        <v>0.4</v>
      </c>
      <c r="AC39" s="2">
        <f t="shared" si="35"/>
        <v>7.2679723329486361</v>
      </c>
      <c r="AD39" s="2">
        <f t="shared" si="36"/>
        <v>7.3674796561021028</v>
      </c>
      <c r="AE39" s="2">
        <f t="shared" si="37"/>
        <v>7.4892636619574526</v>
      </c>
      <c r="AF39" s="2">
        <f t="shared" si="38"/>
        <v>7.5977818972659144</v>
      </c>
      <c r="AG39" s="2">
        <f t="shared" si="39"/>
        <v>7.6812589973373449</v>
      </c>
      <c r="AH39" s="2">
        <f t="shared" si="40"/>
        <v>7.7664897796146768</v>
      </c>
      <c r="AI39" s="2">
        <f t="shared" si="41"/>
        <v>7.8512965681936597</v>
      </c>
      <c r="AJ39" s="2">
        <f t="shared" ref="AJ39:AL39" si="50">I10*($AI$35+2)+(1-I10)*(5)</f>
        <v>6.8944850750829119</v>
      </c>
      <c r="AK39" s="2">
        <f t="shared" si="50"/>
        <v>6.8944850750829119</v>
      </c>
      <c r="AL39" s="2">
        <f t="shared" si="50"/>
        <v>6.8944850750829119</v>
      </c>
      <c r="AM39" s="2">
        <f t="shared" si="48"/>
        <v>7.3704998118668525</v>
      </c>
      <c r="AP39" s="2">
        <f t="shared" si="42"/>
        <v>0.56753104517606834</v>
      </c>
      <c r="AQ39" s="8"/>
    </row>
    <row r="40" spans="1:43" x14ac:dyDescent="0.25">
      <c r="A40" s="4">
        <v>3.4</v>
      </c>
      <c r="B40" s="2">
        <v>5.09000836870929E-7</v>
      </c>
      <c r="C40" s="2">
        <v>1.52515139797937E-5</v>
      </c>
      <c r="D40" s="2">
        <v>4.5679608958214301E-4</v>
      </c>
      <c r="E40" s="2">
        <v>7.1225926257723199E-3</v>
      </c>
      <c r="F40" s="2">
        <v>5.5704768872064499E-2</v>
      </c>
      <c r="G40" s="2">
        <v>0.326642345095702</v>
      </c>
      <c r="H40" s="2">
        <v>0.79956078271106701</v>
      </c>
      <c r="I40" s="2">
        <v>0.87118299688349699</v>
      </c>
      <c r="J40" s="2">
        <v>0.87118299688349699</v>
      </c>
      <c r="K40" s="2">
        <v>0.87118299688349798</v>
      </c>
      <c r="N40" s="4">
        <v>0.5</v>
      </c>
      <c r="O40" s="2">
        <f t="shared" si="43"/>
        <v>6.7511281840247106</v>
      </c>
      <c r="P40" s="2">
        <f t="shared" si="44"/>
        <v>6.882854541748971</v>
      </c>
      <c r="Q40" s="2">
        <f t="shared" si="45"/>
        <v>7.061492620690708</v>
      </c>
      <c r="R40" s="2">
        <f t="shared" si="28"/>
        <v>8.5</v>
      </c>
      <c r="S40" s="2">
        <f t="shared" si="29"/>
        <v>8.5</v>
      </c>
      <c r="T40" s="2">
        <f t="shared" si="30"/>
        <v>8.5</v>
      </c>
      <c r="U40" s="2">
        <f t="shared" si="31"/>
        <v>8.5</v>
      </c>
      <c r="V40" s="2">
        <f t="shared" si="32"/>
        <v>8.5</v>
      </c>
      <c r="W40" s="2">
        <f t="shared" si="33"/>
        <v>8.5</v>
      </c>
      <c r="X40" s="2">
        <f t="shared" si="34"/>
        <v>8.5</v>
      </c>
      <c r="Y40" s="2">
        <f t="shared" si="46"/>
        <v>8.0195475346464384</v>
      </c>
      <c r="AB40" s="4">
        <v>0.5</v>
      </c>
      <c r="AC40" s="2">
        <f t="shared" si="35"/>
        <v>7.1883461380185327</v>
      </c>
      <c r="AD40" s="2">
        <f t="shared" si="36"/>
        <v>7.287140906311727</v>
      </c>
      <c r="AE40" s="2">
        <f t="shared" si="37"/>
        <v>7.4211194655180304</v>
      </c>
      <c r="AF40" s="2">
        <f t="shared" si="38"/>
        <v>7.5506920752726145</v>
      </c>
      <c r="AG40" s="2">
        <f t="shared" si="39"/>
        <v>7.6559427254115606</v>
      </c>
      <c r="AH40" s="2">
        <f t="shared" si="40"/>
        <v>7.7650968327207774</v>
      </c>
      <c r="AI40" s="2">
        <f t="shared" si="41"/>
        <v>7.8736148606888383</v>
      </c>
      <c r="AJ40" s="2">
        <f t="shared" ref="AJ40:AL40" si="51">I11*($AI$35+2)+(1-I11)*(5)</f>
        <v>6.9333461578675299</v>
      </c>
      <c r="AK40" s="2">
        <f t="shared" si="51"/>
        <v>6.9333461578675299</v>
      </c>
      <c r="AL40" s="2">
        <f t="shared" si="51"/>
        <v>6.9333461578675299</v>
      </c>
      <c r="AM40" s="2">
        <f t="shared" si="48"/>
        <v>7.3541991477544686</v>
      </c>
      <c r="AP40" s="2">
        <f t="shared" si="42"/>
        <v>0.58240990668154224</v>
      </c>
      <c r="AQ40" s="8"/>
    </row>
    <row r="41" spans="1:43" x14ac:dyDescent="0.25">
      <c r="A41" s="4">
        <v>3.5</v>
      </c>
      <c r="B41" s="2">
        <v>3.2981396021603203E-7</v>
      </c>
      <c r="C41" s="2">
        <v>1.0921808065438101E-5</v>
      </c>
      <c r="D41" s="2">
        <v>3.6155377752412302E-4</v>
      </c>
      <c r="E41" s="2">
        <v>6.1079935417453499E-3</v>
      </c>
      <c r="F41" s="2">
        <v>5.0853491709353202E-2</v>
      </c>
      <c r="G41" s="2">
        <v>0.31838610731668998</v>
      </c>
      <c r="H41" s="2">
        <v>0.80285225862698695</v>
      </c>
      <c r="I41" s="2">
        <v>0.87817497575757997</v>
      </c>
      <c r="J41" s="2">
        <v>0.87817497575757997</v>
      </c>
      <c r="K41" s="2">
        <v>0.87817497575757997</v>
      </c>
      <c r="N41" s="4">
        <v>0.6</v>
      </c>
      <c r="O41" s="2">
        <f t="shared" si="43"/>
        <v>6.6719120974432986</v>
      </c>
      <c r="P41" s="2">
        <f t="shared" si="44"/>
        <v>6.7925695223467546</v>
      </c>
      <c r="Q41" s="2">
        <f t="shared" si="45"/>
        <v>6.975867016722086</v>
      </c>
      <c r="R41" s="2">
        <f t="shared" si="28"/>
        <v>8.5</v>
      </c>
      <c r="S41" s="2">
        <f t="shared" si="29"/>
        <v>8.5</v>
      </c>
      <c r="T41" s="2">
        <f t="shared" si="30"/>
        <v>8.5</v>
      </c>
      <c r="U41" s="2">
        <f t="shared" si="31"/>
        <v>8.5</v>
      </c>
      <c r="V41" s="2">
        <f t="shared" si="32"/>
        <v>8.5</v>
      </c>
      <c r="W41" s="2">
        <f t="shared" si="33"/>
        <v>8.5</v>
      </c>
      <c r="X41" s="2">
        <f t="shared" si="34"/>
        <v>8.5</v>
      </c>
      <c r="Y41" s="2">
        <f t="shared" si="46"/>
        <v>7.9940348636512137</v>
      </c>
      <c r="AB41" s="4">
        <v>0.6</v>
      </c>
      <c r="AC41" s="2">
        <f t="shared" si="35"/>
        <v>7.1289340730824744</v>
      </c>
      <c r="AD41" s="2">
        <f t="shared" si="36"/>
        <v>7.2194271417600664</v>
      </c>
      <c r="AE41" s="2">
        <f t="shared" si="37"/>
        <v>7.3569002625415649</v>
      </c>
      <c r="AF41" s="2">
        <f t="shared" si="38"/>
        <v>7.5028280344724081</v>
      </c>
      <c r="AG41" s="2">
        <f t="shared" si="39"/>
        <v>7.6288432476930748</v>
      </c>
      <c r="AH41" s="2">
        <f t="shared" si="40"/>
        <v>7.762297091210872</v>
      </c>
      <c r="AI41" s="2">
        <f t="shared" si="41"/>
        <v>7.8949765417938007</v>
      </c>
      <c r="AJ41" s="2">
        <f t="shared" ref="AJ41:AL41" si="52">I12*($AI$35+2)+(1-I12)*(5)</f>
        <v>6.9735458918795725</v>
      </c>
      <c r="AK41" s="2">
        <f t="shared" si="52"/>
        <v>6.9735458918795725</v>
      </c>
      <c r="AL41" s="2">
        <f t="shared" si="52"/>
        <v>6.9735458918795725</v>
      </c>
      <c r="AM41" s="2">
        <f t="shared" si="48"/>
        <v>7.3414844068192977</v>
      </c>
      <c r="AP41" s="2">
        <f t="shared" si="42"/>
        <v>0.59665102729163011</v>
      </c>
      <c r="AQ41" s="8"/>
    </row>
    <row r="42" spans="1:43" x14ac:dyDescent="0.25">
      <c r="A42" s="4">
        <v>3.6</v>
      </c>
      <c r="B42" s="2">
        <v>2.1370394238019399E-7</v>
      </c>
      <c r="C42" s="2">
        <v>7.8211112977242701E-6</v>
      </c>
      <c r="D42" s="2">
        <v>2.8615917690554601E-4</v>
      </c>
      <c r="E42" s="2">
        <v>5.2369328507391698E-3</v>
      </c>
      <c r="F42" s="2">
        <v>4.6399616904444899E-2</v>
      </c>
      <c r="G42" s="2">
        <v>0.31020985402111301</v>
      </c>
      <c r="H42" s="2">
        <v>0.80607052848108995</v>
      </c>
      <c r="I42" s="2">
        <v>0.88484157007383502</v>
      </c>
      <c r="J42" s="2">
        <v>0.88484157007383502</v>
      </c>
      <c r="K42" s="2">
        <v>0.88484157007383502</v>
      </c>
      <c r="N42" s="4">
        <v>0.7</v>
      </c>
      <c r="O42" s="2">
        <f t="shared" si="43"/>
        <v>6.6154568526276574</v>
      </c>
      <c r="P42" s="2">
        <f t="shared" si="44"/>
        <v>6.719647275100006</v>
      </c>
      <c r="Q42" s="2">
        <f t="shared" si="45"/>
        <v>6.898003922212828</v>
      </c>
      <c r="R42" s="2">
        <f t="shared" si="28"/>
        <v>8.5</v>
      </c>
      <c r="S42" s="2">
        <f t="shared" si="29"/>
        <v>8.5</v>
      </c>
      <c r="T42" s="2">
        <f t="shared" si="30"/>
        <v>8.5</v>
      </c>
      <c r="U42" s="2">
        <f t="shared" si="31"/>
        <v>8.5</v>
      </c>
      <c r="V42" s="2">
        <f t="shared" si="32"/>
        <v>8.5</v>
      </c>
      <c r="W42" s="2">
        <f t="shared" si="33"/>
        <v>8.5</v>
      </c>
      <c r="X42" s="2">
        <f t="shared" si="34"/>
        <v>8.5</v>
      </c>
      <c r="Y42" s="2">
        <f t="shared" si="46"/>
        <v>7.973310804994048</v>
      </c>
      <c r="AB42" s="4">
        <v>0.7</v>
      </c>
      <c r="AC42" s="2">
        <f t="shared" si="35"/>
        <v>7.0865926394707426</v>
      </c>
      <c r="AD42" s="2">
        <f t="shared" si="36"/>
        <v>7.1647354563250039</v>
      </c>
      <c r="AE42" s="2">
        <f t="shared" si="37"/>
        <v>7.2985029416596205</v>
      </c>
      <c r="AF42" s="2">
        <f t="shared" si="38"/>
        <v>7.4556173799694436</v>
      </c>
      <c r="AG42" s="2">
        <f t="shared" si="39"/>
        <v>7.6007090855689761</v>
      </c>
      <c r="AH42" s="2">
        <f t="shared" si="40"/>
        <v>7.7584507139168286</v>
      </c>
      <c r="AI42" s="2">
        <f t="shared" si="41"/>
        <v>7.9154481333922888</v>
      </c>
      <c r="AJ42" s="2">
        <f t="shared" ref="AJ42:AL42" si="53">I13*($AI$35+2)+(1-I13)*(5)</f>
        <v>7.0149782311887936</v>
      </c>
      <c r="AK42" s="2">
        <f t="shared" si="53"/>
        <v>7.0149782311887936</v>
      </c>
      <c r="AL42" s="2">
        <f t="shared" si="53"/>
        <v>7.0149782311887936</v>
      </c>
      <c r="AM42" s="2">
        <f t="shared" si="48"/>
        <v>7.3324991043869279</v>
      </c>
      <c r="AP42" s="2">
        <f t="shared" si="42"/>
        <v>0.61029875451522675</v>
      </c>
      <c r="AQ42" s="8"/>
    </row>
    <row r="43" spans="1:43" x14ac:dyDescent="0.25">
      <c r="A43" s="4">
        <v>3.7</v>
      </c>
      <c r="B43" s="2">
        <v>1.3846955533502199E-7</v>
      </c>
      <c r="C43" s="2">
        <v>5.6006717185116203E-6</v>
      </c>
      <c r="D43" s="2">
        <v>2.2648201869515701E-4</v>
      </c>
      <c r="E43" s="2">
        <v>4.4894220492026696E-3</v>
      </c>
      <c r="F43" s="2">
        <v>4.2315767983289697E-2</v>
      </c>
      <c r="G43" s="2">
        <v>0.30212801096059799</v>
      </c>
      <c r="H43" s="2">
        <v>0.80922597027585197</v>
      </c>
      <c r="I43" s="2">
        <v>0.89119075436151396</v>
      </c>
      <c r="J43" s="2">
        <v>0.89119075436151296</v>
      </c>
      <c r="K43" s="2">
        <v>0.89119075436151396</v>
      </c>
      <c r="N43" s="4">
        <v>0.8</v>
      </c>
      <c r="O43" s="2">
        <f t="shared" si="43"/>
        <v>6.5765365410946233</v>
      </c>
      <c r="P43" s="2">
        <f t="shared" si="44"/>
        <v>6.6627044735126946</v>
      </c>
      <c r="Q43" s="2">
        <f t="shared" si="45"/>
        <v>6.8292764405681776</v>
      </c>
      <c r="R43" s="2">
        <f t="shared" si="28"/>
        <v>8.5</v>
      </c>
      <c r="S43" s="2">
        <f t="shared" si="29"/>
        <v>8.5</v>
      </c>
      <c r="T43" s="2">
        <f t="shared" si="30"/>
        <v>8.5</v>
      </c>
      <c r="U43" s="2">
        <f t="shared" si="31"/>
        <v>8.5</v>
      </c>
      <c r="V43" s="2">
        <f t="shared" si="32"/>
        <v>8.5</v>
      </c>
      <c r="W43" s="2">
        <f t="shared" si="33"/>
        <v>8.5</v>
      </c>
      <c r="X43" s="2">
        <f t="shared" si="34"/>
        <v>8.5</v>
      </c>
      <c r="Y43" s="2">
        <f t="shared" si="46"/>
        <v>7.9568517455175494</v>
      </c>
      <c r="AB43" s="4">
        <v>0.8</v>
      </c>
      <c r="AC43" s="2">
        <f t="shared" si="35"/>
        <v>7.0574024058209668</v>
      </c>
      <c r="AD43" s="2">
        <f t="shared" si="36"/>
        <v>7.1220283551345211</v>
      </c>
      <c r="AE43" s="2">
        <f t="shared" si="37"/>
        <v>7.2469573304261328</v>
      </c>
      <c r="AF43" s="2">
        <f t="shared" si="38"/>
        <v>7.4101545115349108</v>
      </c>
      <c r="AG43" s="2">
        <f t="shared" si="39"/>
        <v>7.5721237989510488</v>
      </c>
      <c r="AH43" s="2">
        <f t="shared" si="40"/>
        <v>7.7538142515221313</v>
      </c>
      <c r="AI43" s="2">
        <f t="shared" si="41"/>
        <v>7.9350580992698214</v>
      </c>
      <c r="AJ43" s="2">
        <f t="shared" ref="AJ43:AL43" si="54">I14*($AI$35+2)+(1-I14)*(5)</f>
        <v>7.0574688903330625</v>
      </c>
      <c r="AK43" s="2">
        <f t="shared" si="54"/>
        <v>7.0574688903330625</v>
      </c>
      <c r="AL43" s="2">
        <f t="shared" si="54"/>
        <v>7.057468890333066</v>
      </c>
      <c r="AM43" s="2">
        <f t="shared" si="48"/>
        <v>7.3269945423658722</v>
      </c>
      <c r="AP43" s="2">
        <f t="shared" si="42"/>
        <v>0.62337206434851378</v>
      </c>
      <c r="AQ43" s="8"/>
    </row>
    <row r="44" spans="1:43" x14ac:dyDescent="0.25">
      <c r="A44" s="4">
        <v>3.8</v>
      </c>
      <c r="B44" s="2">
        <v>8.9722103077231502E-8</v>
      </c>
      <c r="C44" s="2">
        <v>4.0106486842640796E-6</v>
      </c>
      <c r="D44" s="2">
        <v>1.7924930985961499E-4</v>
      </c>
      <c r="E44" s="2">
        <v>3.8481690540922999E-3</v>
      </c>
      <c r="F44" s="2">
        <v>3.8575475691768002E-2</v>
      </c>
      <c r="G44" s="2">
        <v>0.29415341802276501</v>
      </c>
      <c r="H44" s="2">
        <v>0.812327695062942</v>
      </c>
      <c r="I44" s="2">
        <v>0.89723125399358195</v>
      </c>
      <c r="J44" s="2">
        <v>0.89723125399358195</v>
      </c>
      <c r="K44" s="2">
        <v>0.89723125399358195</v>
      </c>
      <c r="N44" s="4">
        <v>0.9</v>
      </c>
      <c r="O44" s="2">
        <f t="shared" si="43"/>
        <v>6.5503067213619124</v>
      </c>
      <c r="P44" s="2">
        <f t="shared" si="44"/>
        <v>6.6193526637292246</v>
      </c>
      <c r="Q44" s="2">
        <f t="shared" si="45"/>
        <v>6.7700387891734799</v>
      </c>
      <c r="R44" s="2">
        <f t="shared" si="28"/>
        <v>8.5</v>
      </c>
      <c r="S44" s="2">
        <f t="shared" si="29"/>
        <v>8.5</v>
      </c>
      <c r="T44" s="2">
        <f t="shared" si="30"/>
        <v>8.5</v>
      </c>
      <c r="U44" s="2">
        <f t="shared" si="31"/>
        <v>8.5</v>
      </c>
      <c r="V44" s="2">
        <f t="shared" si="32"/>
        <v>8.5</v>
      </c>
      <c r="W44" s="2">
        <f t="shared" si="33"/>
        <v>8.5</v>
      </c>
      <c r="X44" s="2">
        <f t="shared" si="34"/>
        <v>8.5</v>
      </c>
      <c r="Y44" s="2">
        <f t="shared" si="46"/>
        <v>7.9439698174264617</v>
      </c>
      <c r="AB44" s="4">
        <v>0.9</v>
      </c>
      <c r="AC44" s="2">
        <f t="shared" si="35"/>
        <v>7.037730041021435</v>
      </c>
      <c r="AD44" s="2">
        <f t="shared" si="36"/>
        <v>7.0895144977969187</v>
      </c>
      <c r="AE44" s="2">
        <f t="shared" si="37"/>
        <v>7.2025290918801108</v>
      </c>
      <c r="AF44" s="2">
        <f t="shared" si="38"/>
        <v>7.367182359680772</v>
      </c>
      <c r="AG44" s="2">
        <f t="shared" si="39"/>
        <v>7.5435049755831134</v>
      </c>
      <c r="AH44" s="2">
        <f t="shared" si="40"/>
        <v>7.7485492115929002</v>
      </c>
      <c r="AI44" s="2">
        <f t="shared" si="41"/>
        <v>7.9538105516388278</v>
      </c>
      <c r="AJ44" s="2">
        <f t="shared" ref="AJ44:AL44" si="55">I15*($AI$35+2)+(1-I15)*(5)</f>
        <v>7.1008140721411799</v>
      </c>
      <c r="AK44" s="2">
        <f t="shared" si="55"/>
        <v>7.1008140721411799</v>
      </c>
      <c r="AL44" s="2">
        <f t="shared" si="55"/>
        <v>7.1008140721411799</v>
      </c>
      <c r="AM44" s="2">
        <f t="shared" si="48"/>
        <v>7.3245262945617613</v>
      </c>
      <c r="AP44" s="2">
        <f t="shared" si="42"/>
        <v>0.63587369938413763</v>
      </c>
      <c r="AQ44" s="8"/>
    </row>
    <row r="45" spans="1:43" x14ac:dyDescent="0.25">
      <c r="A45" s="4">
        <v>3.9</v>
      </c>
      <c r="B45" s="2">
        <v>5.8137036031033201E-8</v>
      </c>
      <c r="C45" s="2">
        <v>2.8720818708821099E-6</v>
      </c>
      <c r="D45" s="2">
        <v>1.4186813453373001E-4</v>
      </c>
      <c r="E45" s="2">
        <v>3.29823659435279E-3</v>
      </c>
      <c r="F45" s="2">
        <v>3.5153341107442601E-2</v>
      </c>
      <c r="G45" s="2">
        <v>0.28629736126979699</v>
      </c>
      <c r="H45" s="2">
        <v>0.81538362789360996</v>
      </c>
      <c r="I45" s="2">
        <v>0.90297240511362797</v>
      </c>
      <c r="J45" s="2">
        <v>0.90297240511362797</v>
      </c>
      <c r="K45" s="2">
        <v>0.90297240511362797</v>
      </c>
      <c r="N45" s="4">
        <v>1</v>
      </c>
      <c r="O45" s="2">
        <f t="shared" si="43"/>
        <v>6.5328900247222021</v>
      </c>
      <c r="P45" s="2">
        <f t="shared" si="44"/>
        <v>6.586947467432954</v>
      </c>
      <c r="Q45" s="2">
        <f t="shared" si="45"/>
        <v>6.7199196918318096</v>
      </c>
      <c r="R45" s="2">
        <f t="shared" si="28"/>
        <v>8.5</v>
      </c>
      <c r="S45" s="2">
        <f t="shared" si="29"/>
        <v>8.5</v>
      </c>
      <c r="T45" s="2">
        <f t="shared" si="30"/>
        <v>8.5</v>
      </c>
      <c r="U45" s="2">
        <f t="shared" si="31"/>
        <v>8.5</v>
      </c>
      <c r="V45" s="2">
        <f t="shared" si="32"/>
        <v>8.5</v>
      </c>
      <c r="W45" s="2">
        <f t="shared" si="33"/>
        <v>8.5</v>
      </c>
      <c r="X45" s="2">
        <f t="shared" si="34"/>
        <v>8.5</v>
      </c>
      <c r="Y45" s="2">
        <f t="shared" si="46"/>
        <v>7.9339757183986963</v>
      </c>
      <c r="AB45" s="4">
        <v>1</v>
      </c>
      <c r="AC45" s="2">
        <f t="shared" si="35"/>
        <v>7.0246675185416523</v>
      </c>
      <c r="AD45" s="2">
        <f t="shared" si="36"/>
        <v>7.0652106005747148</v>
      </c>
      <c r="AE45" s="2">
        <f t="shared" si="37"/>
        <v>7.1649397688738574</v>
      </c>
      <c r="AF45" s="2">
        <f t="shared" si="38"/>
        <v>7.3271457621474916</v>
      </c>
      <c r="AG45" s="2">
        <f t="shared" si="39"/>
        <v>7.5151380304274458</v>
      </c>
      <c r="AH45" s="2">
        <f t="shared" si="40"/>
        <v>7.7427464216555189</v>
      </c>
      <c r="AI45" s="2">
        <f t="shared" si="41"/>
        <v>7.9716989205461486</v>
      </c>
      <c r="AJ45" s="2">
        <f t="shared" ref="AJ45:AL45" si="56">I16*($AI$35+2)+(1-I16)*(5)</f>
        <v>7.1448045690808701</v>
      </c>
      <c r="AK45" s="2">
        <f t="shared" si="56"/>
        <v>7.1448045690808701</v>
      </c>
      <c r="AL45" s="2">
        <f t="shared" si="56"/>
        <v>7.1448045690808701</v>
      </c>
      <c r="AM45" s="2">
        <f t="shared" si="48"/>
        <v>7.3245960730009445</v>
      </c>
      <c r="AP45" s="2">
        <f t="shared" si="42"/>
        <v>0.647799277825297</v>
      </c>
      <c r="AQ45" s="8"/>
    </row>
    <row r="46" spans="1:43" x14ac:dyDescent="0.25">
      <c r="A46" s="4">
        <v>4</v>
      </c>
      <c r="B46" s="2">
        <v>3.7672055610864898E-8</v>
      </c>
      <c r="C46" s="2">
        <v>2.0567960177484699E-6</v>
      </c>
      <c r="D46" s="2">
        <v>1.12284854859544E-4</v>
      </c>
      <c r="E46" s="2">
        <v>2.8267384150326398E-3</v>
      </c>
      <c r="F46" s="2">
        <v>3.20251547553781E-2</v>
      </c>
      <c r="G46" s="2">
        <v>0.27856962469702701</v>
      </c>
      <c r="H46" s="2">
        <v>0.81840059134526</v>
      </c>
      <c r="I46" s="2">
        <v>0.908424023886507</v>
      </c>
      <c r="J46" s="2">
        <v>0.908424023886507</v>
      </c>
      <c r="K46" s="2">
        <v>0.908424023886508</v>
      </c>
      <c r="N46" s="4">
        <v>1.1000000000000001</v>
      </c>
      <c r="O46" s="2">
        <f t="shared" si="43"/>
        <v>6.5214334333871902</v>
      </c>
      <c r="P46" s="2">
        <f t="shared" si="44"/>
        <v>6.5630357063352527</v>
      </c>
      <c r="Q46" s="2">
        <f t="shared" si="45"/>
        <v>6.678118513177326</v>
      </c>
      <c r="R46" s="2">
        <f t="shared" si="28"/>
        <v>8.5</v>
      </c>
      <c r="S46" s="2">
        <f t="shared" si="29"/>
        <v>8.5</v>
      </c>
      <c r="T46" s="2">
        <f t="shared" si="30"/>
        <v>8.5</v>
      </c>
      <c r="U46" s="2">
        <f t="shared" si="31"/>
        <v>8.5</v>
      </c>
      <c r="V46" s="2">
        <f t="shared" si="32"/>
        <v>8.5</v>
      </c>
      <c r="W46" s="2">
        <f t="shared" si="33"/>
        <v>8.5</v>
      </c>
      <c r="X46" s="2">
        <f t="shared" si="34"/>
        <v>8.5</v>
      </c>
      <c r="Y46" s="2">
        <f t="shared" si="46"/>
        <v>7.926258765289977</v>
      </c>
      <c r="AB46" s="4">
        <v>1.1000000000000001</v>
      </c>
      <c r="AC46" s="2">
        <f t="shared" si="35"/>
        <v>7.0160750750403933</v>
      </c>
      <c r="AD46" s="2">
        <f t="shared" si="36"/>
        <v>7.0472767797514395</v>
      </c>
      <c r="AE46" s="2">
        <f t="shared" si="37"/>
        <v>7.1335888848829949</v>
      </c>
      <c r="AF46" s="2">
        <f t="shared" si="38"/>
        <v>7.2902637370999308</v>
      </c>
      <c r="AG46" s="2">
        <f t="shared" si="39"/>
        <v>7.4872157974036426</v>
      </c>
      <c r="AH46" s="2">
        <f t="shared" si="40"/>
        <v>7.7364508780729464</v>
      </c>
      <c r="AI46" s="2">
        <f t="shared" si="41"/>
        <v>7.9887158461886756</v>
      </c>
      <c r="AJ46" s="2">
        <f t="shared" ref="AJ46:AL46" si="57">I17*($AI$35+2)+(1-I17)*(5)</f>
        <v>7.1892382474631411</v>
      </c>
      <c r="AK46" s="2">
        <f t="shared" si="57"/>
        <v>7.1892382474631376</v>
      </c>
      <c r="AL46" s="2">
        <f t="shared" si="57"/>
        <v>7.1892382474631447</v>
      </c>
      <c r="AM46" s="2">
        <f t="shared" si="48"/>
        <v>7.3267301740829449</v>
      </c>
      <c r="AP46" s="2">
        <f t="shared" si="42"/>
        <v>0.65914389384245509</v>
      </c>
    </row>
    <row r="47" spans="1:43" x14ac:dyDescent="0.25">
      <c r="A47" s="4">
        <v>4.0999999999999996</v>
      </c>
      <c r="B47" s="2">
        <v>2.4412448443499199E-8</v>
      </c>
      <c r="C47" s="2">
        <v>1.4729980565937299E-6</v>
      </c>
      <c r="D47" s="2">
        <v>8.8873304151238498E-5</v>
      </c>
      <c r="E47" s="2">
        <v>2.4225705210480001E-3</v>
      </c>
      <c r="F47" s="2">
        <v>2.9167977434926901E-2</v>
      </c>
      <c r="G47" s="2">
        <v>0.27097856064682102</v>
      </c>
      <c r="H47" s="2">
        <v>0.82138439205841995</v>
      </c>
      <c r="I47" s="2">
        <v>0.91359628440879004</v>
      </c>
      <c r="J47" s="2">
        <v>0.91359628440879004</v>
      </c>
      <c r="K47" s="2">
        <v>0.91359628440879004</v>
      </c>
      <c r="N47" s="4">
        <v>1.2</v>
      </c>
      <c r="O47" s="2">
        <f t="shared" si="43"/>
        <v>6.5139407867988526</v>
      </c>
      <c r="P47" s="2">
        <f t="shared" si="44"/>
        <v>6.5455484271223012</v>
      </c>
      <c r="Q47" s="2">
        <f t="shared" si="45"/>
        <v>6.6436365169404228</v>
      </c>
      <c r="R47" s="2">
        <f t="shared" si="28"/>
        <v>8.5</v>
      </c>
      <c r="S47" s="2">
        <f t="shared" si="29"/>
        <v>8.5</v>
      </c>
      <c r="T47" s="2">
        <f t="shared" si="30"/>
        <v>8.5</v>
      </c>
      <c r="U47" s="2">
        <f t="shared" si="31"/>
        <v>8.5</v>
      </c>
      <c r="V47" s="2">
        <f t="shared" si="32"/>
        <v>8.5</v>
      </c>
      <c r="W47" s="2">
        <f t="shared" si="33"/>
        <v>8.5</v>
      </c>
      <c r="X47" s="2">
        <f t="shared" si="34"/>
        <v>8.5</v>
      </c>
      <c r="Y47" s="2">
        <f t="shared" si="46"/>
        <v>7.9203125730861572</v>
      </c>
      <c r="AB47" s="4">
        <v>1.2</v>
      </c>
      <c r="AC47" s="2">
        <f t="shared" si="35"/>
        <v>7.0104555900991397</v>
      </c>
      <c r="AD47" s="2">
        <f t="shared" si="36"/>
        <v>7.0341613203417266</v>
      </c>
      <c r="AE47" s="2">
        <f t="shared" si="37"/>
        <v>7.1077273877053164</v>
      </c>
      <c r="AF47" s="2">
        <f t="shared" si="38"/>
        <v>7.2565948876491131</v>
      </c>
      <c r="AG47" s="2">
        <f t="shared" si="39"/>
        <v>7.4598711163235905</v>
      </c>
      <c r="AH47" s="2">
        <f t="shared" si="40"/>
        <v>7.7296811505704683</v>
      </c>
      <c r="AI47" s="2">
        <f t="shared" si="41"/>
        <v>8.0048589933215943</v>
      </c>
      <c r="AJ47" s="2">
        <f t="shared" ref="AJ47:AL47" si="58">I18*($AI$35+2)+(1-I18)*(5)</f>
        <v>7.2339253506436201</v>
      </c>
      <c r="AK47" s="2">
        <f t="shared" si="58"/>
        <v>7.2339253506436201</v>
      </c>
      <c r="AL47" s="2">
        <f t="shared" si="58"/>
        <v>7.2339253506436201</v>
      </c>
      <c r="AM47" s="2">
        <f t="shared" si="48"/>
        <v>7.3305126497941799</v>
      </c>
      <c r="AP47" s="2">
        <f t="shared" si="42"/>
        <v>0.66990599254770467</v>
      </c>
    </row>
    <row r="48" spans="1:43" x14ac:dyDescent="0.25">
      <c r="A48" s="4">
        <v>4.2</v>
      </c>
      <c r="B48" s="2">
        <v>1.58205472585651E-8</v>
      </c>
      <c r="C48" s="2">
        <v>1.0549534141262399E-6</v>
      </c>
      <c r="D48" s="2">
        <v>7.0346038169654293E-5</v>
      </c>
      <c r="E48" s="2">
        <v>2.0761742082215E-3</v>
      </c>
      <c r="F48" s="2">
        <v>2.65601853333833E-2</v>
      </c>
      <c r="G48" s="2">
        <v>0.263531157642374</v>
      </c>
      <c r="H48" s="2">
        <v>0.82433989744233305</v>
      </c>
      <c r="I48" s="2">
        <v>0.91849961466809804</v>
      </c>
      <c r="J48" s="2">
        <v>0.91849961466809804</v>
      </c>
      <c r="K48" s="2">
        <v>0.91849961466809804</v>
      </c>
      <c r="N48" s="4">
        <v>1.3</v>
      </c>
      <c r="O48" s="2">
        <f t="shared" si="43"/>
        <v>6.509057487114549</v>
      </c>
      <c r="P48" s="2">
        <f t="shared" si="44"/>
        <v>6.5328376473373879</v>
      </c>
      <c r="Q48" s="2">
        <f t="shared" si="45"/>
        <v>6.61543206220919</v>
      </c>
      <c r="R48" s="2">
        <f t="shared" si="28"/>
        <v>8.5</v>
      </c>
      <c r="S48" s="2">
        <f t="shared" si="29"/>
        <v>8.5</v>
      </c>
      <c r="T48" s="2">
        <f t="shared" si="30"/>
        <v>8.5</v>
      </c>
      <c r="U48" s="2">
        <f t="shared" si="31"/>
        <v>8.5</v>
      </c>
      <c r="V48" s="2">
        <f t="shared" si="32"/>
        <v>8.5</v>
      </c>
      <c r="W48" s="2">
        <f t="shared" si="33"/>
        <v>8.5</v>
      </c>
      <c r="X48" s="2">
        <f t="shared" si="34"/>
        <v>8.5</v>
      </c>
      <c r="Y48" s="2">
        <f t="shared" si="46"/>
        <v>7.9157327196661127</v>
      </c>
      <c r="AB48" s="4">
        <v>1.3</v>
      </c>
      <c r="AC48" s="2">
        <f t="shared" si="35"/>
        <v>7.0067931153359124</v>
      </c>
      <c r="AD48" s="2">
        <f t="shared" si="36"/>
        <v>7.0246282355030409</v>
      </c>
      <c r="AE48" s="2">
        <f t="shared" si="37"/>
        <v>7.0865740466568932</v>
      </c>
      <c r="AF48" s="2">
        <f t="shared" si="38"/>
        <v>7.2260884263319616</v>
      </c>
      <c r="AG48" s="2">
        <f t="shared" si="39"/>
        <v>7.4331996902470143</v>
      </c>
      <c r="AH48" s="2">
        <f t="shared" si="40"/>
        <v>7.7224426628065395</v>
      </c>
      <c r="AI48" s="2">
        <f t="shared" si="41"/>
        <v>8.0201337557584509</v>
      </c>
      <c r="AJ48" s="2">
        <f t="shared" ref="AJ48:AL48" si="59">I19*($AI$35+2)+(1-I19)*(5)</f>
        <v>7.2786901009839298</v>
      </c>
      <c r="AK48" s="2">
        <f t="shared" si="59"/>
        <v>7.2786901009839298</v>
      </c>
      <c r="AL48" s="2">
        <f t="shared" si="59"/>
        <v>7.2786901009839298</v>
      </c>
      <c r="AM48" s="2">
        <f t="shared" si="48"/>
        <v>7.3355930235591611</v>
      </c>
      <c r="AP48" s="2">
        <f t="shared" si="42"/>
        <v>0.68008916645907069</v>
      </c>
    </row>
    <row r="49" spans="1:42" x14ac:dyDescent="0.25">
      <c r="A49" s="4">
        <v>4.3</v>
      </c>
      <c r="B49" s="2">
        <v>1.0253218381622999E-8</v>
      </c>
      <c r="C49" s="2">
        <v>7.5559339623146699E-7</v>
      </c>
      <c r="D49" s="2">
        <v>5.5683952504538298E-5</v>
      </c>
      <c r="E49" s="2">
        <v>1.77932856620352E-3</v>
      </c>
      <c r="F49" s="2">
        <v>2.4181491924880699E-2</v>
      </c>
      <c r="G49" s="2">
        <v>0.25623314662168201</v>
      </c>
      <c r="H49" s="2">
        <v>0.82727113083014803</v>
      </c>
      <c r="I49" s="2">
        <v>0.92314458808822897</v>
      </c>
      <c r="J49" s="2">
        <v>0.92314458808822897</v>
      </c>
      <c r="K49" s="2">
        <v>0.92314458808822997</v>
      </c>
      <c r="N49" s="4">
        <v>1.4</v>
      </c>
      <c r="O49" s="2">
        <f t="shared" si="43"/>
        <v>6.50588120066777</v>
      </c>
      <c r="P49" s="2">
        <f t="shared" si="44"/>
        <v>6.5236370862416004</v>
      </c>
      <c r="Q49" s="2">
        <f t="shared" si="45"/>
        <v>6.592512662907728</v>
      </c>
      <c r="R49" s="2">
        <f t="shared" si="28"/>
        <v>8.5</v>
      </c>
      <c r="S49" s="2">
        <f t="shared" si="29"/>
        <v>8.5</v>
      </c>
      <c r="T49" s="2">
        <f t="shared" si="30"/>
        <v>8.5</v>
      </c>
      <c r="U49" s="2">
        <f t="shared" si="31"/>
        <v>8.5</v>
      </c>
      <c r="V49" s="2">
        <f t="shared" si="32"/>
        <v>8.5</v>
      </c>
      <c r="W49" s="2">
        <f t="shared" si="33"/>
        <v>8.5</v>
      </c>
      <c r="X49" s="2">
        <f t="shared" si="34"/>
        <v>8.5</v>
      </c>
      <c r="Y49" s="2">
        <f t="shared" si="46"/>
        <v>7.9122030949817104</v>
      </c>
      <c r="AB49" s="4">
        <v>1.4</v>
      </c>
      <c r="AC49" s="2">
        <f t="shared" si="35"/>
        <v>7.0044109005008277</v>
      </c>
      <c r="AD49" s="2">
        <f t="shared" si="36"/>
        <v>7.0177278146811997</v>
      </c>
      <c r="AE49" s="2">
        <f t="shared" si="37"/>
        <v>7.0693844971807955</v>
      </c>
      <c r="AF49" s="2">
        <f t="shared" si="38"/>
        <v>7.1986214586923092</v>
      </c>
      <c r="AG49" s="2">
        <f t="shared" si="39"/>
        <v>7.4072745851722956</v>
      </c>
      <c r="AH49" s="2">
        <f t="shared" si="40"/>
        <v>7.7147360315733673</v>
      </c>
      <c r="AI49" s="2">
        <f t="shared" si="41"/>
        <v>8.0345539145059277</v>
      </c>
      <c r="AJ49" s="2">
        <f t="shared" ref="AJ49:AL49" si="60">I20*($AI$35+2)+(1-I20)*(5)</f>
        <v>7.3233707543923376</v>
      </c>
      <c r="AK49" s="2">
        <f t="shared" si="60"/>
        <v>7.3233707543923376</v>
      </c>
      <c r="AL49" s="2">
        <f t="shared" si="60"/>
        <v>7.3233707543923412</v>
      </c>
      <c r="AM49" s="2">
        <f t="shared" si="48"/>
        <v>7.3416821465483739</v>
      </c>
      <c r="AP49" s="2">
        <f t="shared" si="42"/>
        <v>0.68970260643167025</v>
      </c>
    </row>
    <row r="50" spans="1:42" x14ac:dyDescent="0.25">
      <c r="A50" s="4">
        <v>4.4000000000000004</v>
      </c>
      <c r="B50" s="2">
        <v>6.6455842391103097E-9</v>
      </c>
      <c r="C50" s="2">
        <v>5.4121515010613398E-7</v>
      </c>
      <c r="D50" s="2">
        <v>4.4080451627371397E-5</v>
      </c>
      <c r="E50" s="2">
        <v>1.52496855630728E-3</v>
      </c>
      <c r="F50" s="2">
        <v>2.2012941765858898E-2</v>
      </c>
      <c r="G50" s="2">
        <v>0.249089082409687</v>
      </c>
      <c r="H50" s="2">
        <v>0.83018134440580305</v>
      </c>
      <c r="I50" s="2">
        <v>0.92754184139064899</v>
      </c>
      <c r="J50" s="2">
        <v>0.92754184139064799</v>
      </c>
      <c r="K50" s="2">
        <v>0.92754184139064899</v>
      </c>
      <c r="N50" s="4">
        <v>1.5</v>
      </c>
      <c r="O50" s="2">
        <f t="shared" si="43"/>
        <v>6.5038175444546908</v>
      </c>
      <c r="P50" s="2">
        <f t="shared" si="44"/>
        <v>6.5169960953832504</v>
      </c>
      <c r="Q50" s="2">
        <f t="shared" si="45"/>
        <v>6.5739822603200411</v>
      </c>
      <c r="R50" s="2">
        <f t="shared" si="28"/>
        <v>8.5</v>
      </c>
      <c r="S50" s="2">
        <f t="shared" si="29"/>
        <v>8.5</v>
      </c>
      <c r="T50" s="2">
        <f t="shared" si="30"/>
        <v>8.5</v>
      </c>
      <c r="U50" s="2">
        <f t="shared" si="31"/>
        <v>8.5</v>
      </c>
      <c r="V50" s="2">
        <f t="shared" si="32"/>
        <v>8.5</v>
      </c>
      <c r="W50" s="2">
        <f t="shared" si="33"/>
        <v>8.5</v>
      </c>
      <c r="X50" s="2">
        <f t="shared" si="34"/>
        <v>8.5</v>
      </c>
      <c r="Y50" s="2">
        <f t="shared" si="46"/>
        <v>7.9094795900157973</v>
      </c>
      <c r="AB50" s="4">
        <v>1.5</v>
      </c>
      <c r="AC50" s="2">
        <f t="shared" si="35"/>
        <v>7.0028631583410181</v>
      </c>
      <c r="AD50" s="2">
        <f t="shared" si="36"/>
        <v>7.0127470715374383</v>
      </c>
      <c r="AE50" s="2">
        <f t="shared" si="37"/>
        <v>7.0554866952400301</v>
      </c>
      <c r="AF50" s="2">
        <f t="shared" si="38"/>
        <v>7.1740256041109722</v>
      </c>
      <c r="AG50" s="2">
        <f t="shared" si="39"/>
        <v>7.3821548227886904</v>
      </c>
      <c r="AH50" s="2">
        <f t="shared" si="40"/>
        <v>7.7065620707109925</v>
      </c>
      <c r="AI50" s="2">
        <f t="shared" si="41"/>
        <v>8.0481411928553896</v>
      </c>
      <c r="AJ50" s="2">
        <f t="shared" ref="AJ50:AL50" si="61">I21*($AI$35+2)+(1-I21)*(5)</f>
        <v>7.3678188628766241</v>
      </c>
      <c r="AK50" s="2">
        <f t="shared" si="61"/>
        <v>7.3678188628766241</v>
      </c>
      <c r="AL50" s="2">
        <f t="shared" si="61"/>
        <v>7.3678188628766241</v>
      </c>
      <c r="AM50" s="2">
        <f t="shared" si="48"/>
        <v>7.3485437204214392</v>
      </c>
      <c r="AP50" s="2">
        <f t="shared" si="42"/>
        <v>0.69876079103500099</v>
      </c>
    </row>
    <row r="51" spans="1:42" x14ac:dyDescent="0.25">
      <c r="A51" s="4">
        <v>4.5</v>
      </c>
      <c r="B51" s="2">
        <v>4.3077169236391902E-9</v>
      </c>
      <c r="C51" s="2">
        <v>3.87687210680389E-7</v>
      </c>
      <c r="D51" s="2">
        <v>3.4897205259006699E-5</v>
      </c>
      <c r="E51" s="2">
        <v>1.3070266088207E-3</v>
      </c>
      <c r="F51" s="2">
        <v>2.0036888350798199E-2</v>
      </c>
      <c r="G51" s="2">
        <v>0.24210244346703999</v>
      </c>
      <c r="H51" s="2">
        <v>0.83307309943901697</v>
      </c>
      <c r="I51" s="2">
        <v>0.93170199504187001</v>
      </c>
      <c r="J51" s="2">
        <v>0.93170199504187001</v>
      </c>
      <c r="K51" s="2">
        <v>0.93170199504187001</v>
      </c>
      <c r="N51" s="4">
        <v>1.6</v>
      </c>
      <c r="O51" s="2">
        <f t="shared" si="43"/>
        <v>6.5024775811467093</v>
      </c>
      <c r="P51" s="2">
        <f t="shared" si="44"/>
        <v>6.5122117390915752</v>
      </c>
      <c r="Q51" s="2">
        <f t="shared" si="45"/>
        <v>6.5590596349429378</v>
      </c>
      <c r="R51" s="2">
        <f t="shared" ref="R51:X55" si="62">E22*($U$35+2)+(1-E22)*($U$35+2)</f>
        <v>8.5</v>
      </c>
      <c r="S51" s="2">
        <f t="shared" si="62"/>
        <v>8.5</v>
      </c>
      <c r="T51" s="2">
        <f t="shared" si="62"/>
        <v>8.5</v>
      </c>
      <c r="U51" s="2">
        <f t="shared" si="62"/>
        <v>8.5</v>
      </c>
      <c r="V51" s="2">
        <f t="shared" si="62"/>
        <v>8.5</v>
      </c>
      <c r="W51" s="2">
        <f t="shared" si="62"/>
        <v>8.5</v>
      </c>
      <c r="X51" s="2">
        <f t="shared" si="62"/>
        <v>8.5</v>
      </c>
      <c r="Y51" s="2">
        <f t="shared" si="46"/>
        <v>7.9073748955181227</v>
      </c>
      <c r="AB51" s="4">
        <v>1.6</v>
      </c>
      <c r="AC51" s="2">
        <f t="shared" si="35"/>
        <v>7.0018581858600326</v>
      </c>
      <c r="AD51" s="2">
        <f t="shared" si="36"/>
        <v>7.0091588043186821</v>
      </c>
      <c r="AE51" s="2">
        <f t="shared" si="37"/>
        <v>7.0442947262072027</v>
      </c>
      <c r="AF51" s="2">
        <f t="shared" si="38"/>
        <v>7.1521057973969997</v>
      </c>
      <c r="AG51" s="2">
        <f t="shared" si="39"/>
        <v>7.357889970141346</v>
      </c>
      <c r="AH51" s="2">
        <f t="shared" si="40"/>
        <v>7.6979245075648102</v>
      </c>
      <c r="AI51" s="2">
        <f t="shared" si="41"/>
        <v>8.0609241769837627</v>
      </c>
      <c r="AJ51" s="2">
        <f t="shared" ref="AJ51:AL51" si="63">I22*($AI$35+2)+(1-I22)*(5)</f>
        <v>7.411898552299478</v>
      </c>
      <c r="AK51" s="2">
        <f t="shared" si="63"/>
        <v>7.411898552299478</v>
      </c>
      <c r="AL51" s="2">
        <f t="shared" si="63"/>
        <v>7.411898552299478</v>
      </c>
      <c r="AM51" s="2">
        <f t="shared" si="48"/>
        <v>7.3559851825371254</v>
      </c>
      <c r="AP51" s="2">
        <f t="shared" si="42"/>
        <v>0.70728278137976031</v>
      </c>
    </row>
    <row r="52" spans="1:42" x14ac:dyDescent="0.25">
      <c r="A52" s="4">
        <v>4.5999999999999996</v>
      </c>
      <c r="B52" s="2">
        <v>2.7935226831853899E-9</v>
      </c>
      <c r="C52" s="2">
        <v>2.7773247408135298E-7</v>
      </c>
      <c r="D52" s="2">
        <v>2.7629090259631101E-5</v>
      </c>
      <c r="E52" s="2">
        <v>1.1202948348728501E-3</v>
      </c>
      <c r="F52" s="2">
        <v>1.8236957318968499E-2</v>
      </c>
      <c r="G52" s="2">
        <v>0.235275731916508</v>
      </c>
      <c r="H52" s="2">
        <v>0.83594834276700802</v>
      </c>
      <c r="I52" s="2">
        <v>0.93563558414909598</v>
      </c>
      <c r="J52" s="2">
        <v>0.93563558414909598</v>
      </c>
      <c r="K52" s="2">
        <v>0.93563558414909598</v>
      </c>
      <c r="N52" s="4">
        <v>1.7</v>
      </c>
      <c r="O52" s="2">
        <f t="shared" si="43"/>
        <v>6.5016077908015477</v>
      </c>
      <c r="P52" s="2">
        <f t="shared" si="44"/>
        <v>6.5087694222532413</v>
      </c>
      <c r="Q52" s="2">
        <f t="shared" si="45"/>
        <v>6.5470797932913216</v>
      </c>
      <c r="R52" s="2">
        <f t="shared" si="62"/>
        <v>8.5</v>
      </c>
      <c r="S52" s="2">
        <f t="shared" si="62"/>
        <v>8.5</v>
      </c>
      <c r="T52" s="2">
        <f t="shared" si="62"/>
        <v>8.5</v>
      </c>
      <c r="U52" s="2">
        <f t="shared" si="62"/>
        <v>8.5</v>
      </c>
      <c r="V52" s="2">
        <f t="shared" si="62"/>
        <v>8.5</v>
      </c>
      <c r="W52" s="2">
        <f t="shared" si="62"/>
        <v>8.5</v>
      </c>
      <c r="X52" s="2">
        <f t="shared" si="62"/>
        <v>8.5</v>
      </c>
      <c r="Y52" s="2">
        <f t="shared" si="46"/>
        <v>7.9057457006346112</v>
      </c>
      <c r="AB52" s="4">
        <v>1.7</v>
      </c>
      <c r="AC52" s="2">
        <f t="shared" si="35"/>
        <v>7.001205843101161</v>
      </c>
      <c r="AD52" s="2">
        <f t="shared" si="36"/>
        <v>7.006577066689931</v>
      </c>
      <c r="AE52" s="2">
        <f t="shared" si="37"/>
        <v>7.0353098449684914</v>
      </c>
      <c r="AF52" s="2">
        <f t="shared" si="38"/>
        <v>7.1326536432861172</v>
      </c>
      <c r="AG52" s="2">
        <f t="shared" si="39"/>
        <v>7.3345223668268726</v>
      </c>
      <c r="AH52" s="2">
        <f t="shared" si="40"/>
        <v>7.6888313876598406</v>
      </c>
      <c r="AI52" s="2">
        <f t="shared" si="41"/>
        <v>8.0729370620155958</v>
      </c>
      <c r="AJ52" s="2">
        <f t="shared" ref="AJ52:AL52" si="64">I23*($AI$35+2)+(1-I23)*(5)</f>
        <v>7.4554856824792672</v>
      </c>
      <c r="AK52" s="2">
        <f t="shared" si="64"/>
        <v>7.4554856824792672</v>
      </c>
      <c r="AL52" s="2">
        <f t="shared" si="64"/>
        <v>7.4554856824792699</v>
      </c>
      <c r="AM52" s="2">
        <f t="shared" si="48"/>
        <v>7.3638494261985814</v>
      </c>
      <c r="AP52" s="2">
        <f t="shared" si="42"/>
        <v>0.71529137057060976</v>
      </c>
    </row>
    <row r="53" spans="1:42" x14ac:dyDescent="0.25">
      <c r="A53" s="4">
        <v>4.7</v>
      </c>
      <c r="B53" s="2">
        <v>1.81156420669759E-9</v>
      </c>
      <c r="C53" s="2">
        <v>1.98978149258146E-7</v>
      </c>
      <c r="D53" s="2">
        <v>2.1876412482104501E-5</v>
      </c>
      <c r="E53" s="2">
        <v>9.6030534087144495E-4</v>
      </c>
      <c r="F53" s="2">
        <v>1.65979971041402E-2</v>
      </c>
      <c r="G53" s="2">
        <v>0.22861055778800399</v>
      </c>
      <c r="H53" s="2">
        <v>0.83880847000360104</v>
      </c>
      <c r="I53" s="2">
        <v>0.93935300564104995</v>
      </c>
      <c r="J53" s="2">
        <v>0.93935300564104995</v>
      </c>
      <c r="K53" s="2">
        <v>0.93935300564104995</v>
      </c>
      <c r="N53" s="4">
        <v>1.8</v>
      </c>
      <c r="O53" s="2">
        <f t="shared" si="43"/>
        <v>6.5010432820299791</v>
      </c>
      <c r="P53" s="2">
        <f t="shared" si="44"/>
        <v>6.5062949070340821</v>
      </c>
      <c r="Q53" s="2">
        <f t="shared" si="45"/>
        <v>6.5374861805983508</v>
      </c>
      <c r="R53" s="2">
        <f t="shared" si="62"/>
        <v>8.5</v>
      </c>
      <c r="S53" s="2">
        <f t="shared" si="62"/>
        <v>8.5</v>
      </c>
      <c r="T53" s="2">
        <f t="shared" si="62"/>
        <v>8.5</v>
      </c>
      <c r="U53" s="2">
        <f t="shared" si="62"/>
        <v>8.5</v>
      </c>
      <c r="V53" s="2">
        <f t="shared" si="62"/>
        <v>8.5</v>
      </c>
      <c r="W53" s="2">
        <f t="shared" si="62"/>
        <v>8.5</v>
      </c>
      <c r="X53" s="2">
        <f t="shared" si="62"/>
        <v>8.5</v>
      </c>
      <c r="Y53" s="2">
        <f t="shared" si="46"/>
        <v>7.9044824369662408</v>
      </c>
      <c r="AB53" s="4">
        <v>1.8</v>
      </c>
      <c r="AC53" s="2">
        <f t="shared" si="35"/>
        <v>7.0007824615224843</v>
      </c>
      <c r="AD53" s="2">
        <f t="shared" si="36"/>
        <v>7.0047211802755616</v>
      </c>
      <c r="AE53" s="2">
        <f t="shared" si="37"/>
        <v>7.0281146354487634</v>
      </c>
      <c r="AF53" s="2">
        <f t="shared" si="38"/>
        <v>7.1154568478304689</v>
      </c>
      <c r="AG53" s="2">
        <f t="shared" si="39"/>
        <v>7.3120878827582034</v>
      </c>
      <c r="AH53" s="2">
        <f t="shared" si="40"/>
        <v>7.679295556358678</v>
      </c>
      <c r="AI53" s="2">
        <f t="shared" si="41"/>
        <v>8.0842183140577468</v>
      </c>
      <c r="AJ53" s="2">
        <f t="shared" ref="AJ53:AL53" si="65">I24*($AI$35+2)+(1-I24)*(5)</f>
        <v>7.4984672864646207</v>
      </c>
      <c r="AK53" s="2">
        <f t="shared" si="65"/>
        <v>7.4984672864646207</v>
      </c>
      <c r="AL53" s="2">
        <f t="shared" si="65"/>
        <v>7.4984672864646207</v>
      </c>
      <c r="AM53" s="2">
        <f t="shared" si="48"/>
        <v>7.3720078737645762</v>
      </c>
      <c r="AP53" s="2">
        <f t="shared" si="42"/>
        <v>0.72281220624824627</v>
      </c>
    </row>
    <row r="54" spans="1:42" x14ac:dyDescent="0.25">
      <c r="A54" s="4">
        <v>4.8</v>
      </c>
      <c r="B54" s="2">
        <v>1.1750988880639199E-9</v>
      </c>
      <c r="C54" s="2">
        <v>1.4256752918424999E-7</v>
      </c>
      <c r="D54" s="2">
        <v>1.73229231695128E-5</v>
      </c>
      <c r="E54" s="2">
        <v>8.2322682817657499E-4</v>
      </c>
      <c r="F54" s="2">
        <v>1.5106025267761201E-2</v>
      </c>
      <c r="G54" s="2">
        <v>0.22210775001927599</v>
      </c>
      <c r="H54" s="2">
        <v>0.84165440356534404</v>
      </c>
      <c r="I54" s="2">
        <v>0.94286446073724905</v>
      </c>
      <c r="J54" s="2">
        <v>0.94286446073724794</v>
      </c>
      <c r="K54" s="2">
        <v>0.94286446073724905</v>
      </c>
      <c r="N54" s="4">
        <v>1.9</v>
      </c>
      <c r="O54" s="2">
        <f t="shared" si="43"/>
        <v>6.5006769342812829</v>
      </c>
      <c r="P54" s="2">
        <f t="shared" si="44"/>
        <v>6.5045172177949828</v>
      </c>
      <c r="Q54" s="2">
        <f t="shared" si="45"/>
        <v>6.5298187032279076</v>
      </c>
      <c r="R54" s="2">
        <f t="shared" si="62"/>
        <v>8.5</v>
      </c>
      <c r="S54" s="2">
        <f t="shared" si="62"/>
        <v>8.5</v>
      </c>
      <c r="T54" s="2">
        <f t="shared" si="62"/>
        <v>8.5</v>
      </c>
      <c r="U54" s="2">
        <f t="shared" si="62"/>
        <v>8.5</v>
      </c>
      <c r="V54" s="2">
        <f t="shared" si="62"/>
        <v>8.5</v>
      </c>
      <c r="W54" s="2">
        <f t="shared" si="62"/>
        <v>8.5</v>
      </c>
      <c r="X54" s="2">
        <f t="shared" si="62"/>
        <v>8.5</v>
      </c>
      <c r="Y54" s="2">
        <f t="shared" si="46"/>
        <v>7.9035012855304174</v>
      </c>
      <c r="AB54" s="4">
        <v>1.9</v>
      </c>
      <c r="AC54" s="2">
        <f t="shared" si="35"/>
        <v>7.000507700710962</v>
      </c>
      <c r="AD54" s="2">
        <f t="shared" si="36"/>
        <v>7.0033879133462378</v>
      </c>
      <c r="AE54" s="2">
        <f t="shared" si="37"/>
        <v>7.0223640274209309</v>
      </c>
      <c r="AF54" s="2">
        <f t="shared" si="38"/>
        <v>7.1003058919321438</v>
      </c>
      <c r="AG54" s="2">
        <f t="shared" si="39"/>
        <v>7.290615994328407</v>
      </c>
      <c r="AH54" s="2">
        <f t="shared" si="40"/>
        <v>7.6693347018158136</v>
      </c>
      <c r="AI54" s="2">
        <f t="shared" si="41"/>
        <v>8.094809468153235</v>
      </c>
      <c r="AJ54" s="2">
        <f t="shared" ref="AJ54:AL54" si="66">I25*($AI$35+2)+(1-I25)*(5)</f>
        <v>7.5407409810652659</v>
      </c>
      <c r="AK54" s="2">
        <f t="shared" si="66"/>
        <v>7.5407409810652659</v>
      </c>
      <c r="AL54" s="2">
        <f t="shared" si="66"/>
        <v>7.5407409810652659</v>
      </c>
      <c r="AM54" s="2">
        <f t="shared" si="48"/>
        <v>7.3803548640903545</v>
      </c>
      <c r="AP54" s="2">
        <f t="shared" si="42"/>
        <v>0.72987297498270565</v>
      </c>
    </row>
    <row r="55" spans="1:42" x14ac:dyDescent="0.25">
      <c r="A55" s="4">
        <v>4.9000000000000004</v>
      </c>
      <c r="B55" s="2">
        <v>7.6253651491831501E-10</v>
      </c>
      <c r="C55" s="2">
        <v>1.0215839753499601E-7</v>
      </c>
      <c r="D55" s="2">
        <v>1.3718399449670701E-5</v>
      </c>
      <c r="E55" s="2">
        <v>7.0577495567175099E-4</v>
      </c>
      <c r="F55" s="2">
        <v>1.3748165997351E-2</v>
      </c>
      <c r="G55" s="2">
        <v>0.215767433256108</v>
      </c>
      <c r="H55" s="2">
        <v>0.84448664671818696</v>
      </c>
      <c r="I55" s="2">
        <v>0.94617991977849203</v>
      </c>
      <c r="J55" s="2">
        <v>0.94617991977849203</v>
      </c>
      <c r="K55" s="2">
        <v>0.94617991977849203</v>
      </c>
      <c r="N55" s="4">
        <v>2</v>
      </c>
      <c r="O55" s="2">
        <f t="shared" si="43"/>
        <v>6.5004391983543037</v>
      </c>
      <c r="P55" s="2">
        <f t="shared" si="44"/>
        <v>6.5032407144309978</v>
      </c>
      <c r="Q55" s="2">
        <f t="shared" si="45"/>
        <v>6.5237004604320061</v>
      </c>
      <c r="R55" s="2">
        <f t="shared" si="62"/>
        <v>8.5</v>
      </c>
      <c r="S55" s="2">
        <f t="shared" si="62"/>
        <v>8.5</v>
      </c>
      <c r="T55" s="2">
        <f t="shared" si="62"/>
        <v>8.5</v>
      </c>
      <c r="U55" s="2">
        <f t="shared" si="62"/>
        <v>8.5</v>
      </c>
      <c r="V55" s="2">
        <f t="shared" si="62"/>
        <v>8.5</v>
      </c>
      <c r="W55" s="2">
        <f t="shared" si="62"/>
        <v>8.5</v>
      </c>
      <c r="X55" s="2">
        <f t="shared" si="62"/>
        <v>8.5</v>
      </c>
      <c r="Y55" s="2">
        <f t="shared" si="46"/>
        <v>7.9027380373217309</v>
      </c>
      <c r="AB55" s="4">
        <v>2</v>
      </c>
      <c r="AC55" s="2">
        <f t="shared" si="35"/>
        <v>7.0003293987657278</v>
      </c>
      <c r="AD55" s="2">
        <f t="shared" si="36"/>
        <v>7.0024305358232484</v>
      </c>
      <c r="AE55" s="2">
        <f t="shared" si="37"/>
        <v>7.0177753453240044</v>
      </c>
      <c r="AF55" s="2">
        <f t="shared" si="38"/>
        <v>7.0869986372075724</v>
      </c>
      <c r="AG55" s="2">
        <f t="shared" si="39"/>
        <v>7.2701294925951521</v>
      </c>
      <c r="AH55" s="2">
        <f t="shared" si="40"/>
        <v>7.6589710264055171</v>
      </c>
      <c r="AI55" s="2">
        <f t="shared" si="41"/>
        <v>8.1047540066323496</v>
      </c>
      <c r="AJ55" s="2">
        <f t="shared" ref="AJ55:AL55" si="67">I26*($AI$35+2)+(1-I26)*(5)</f>
        <v>7.5822146294156596</v>
      </c>
      <c r="AK55" s="2">
        <f t="shared" si="67"/>
        <v>7.5822146294156552</v>
      </c>
      <c r="AL55" s="2">
        <f t="shared" si="67"/>
        <v>7.5822146294156596</v>
      </c>
      <c r="AM55" s="2">
        <f t="shared" si="48"/>
        <v>7.3888032331000542</v>
      </c>
      <c r="AP55" s="2">
        <f t="shared" si="42"/>
        <v>0.73650266658353958</v>
      </c>
    </row>
    <row r="56" spans="1:42" x14ac:dyDescent="0.25">
      <c r="A56" s="4">
        <v>5</v>
      </c>
      <c r="B56" s="2">
        <v>4.9508825600058298E-10</v>
      </c>
      <c r="C56" s="2">
        <v>7.3209463810032499E-8</v>
      </c>
      <c r="D56" s="2">
        <v>1.08648624061985E-5</v>
      </c>
      <c r="E56" s="2">
        <v>6.0513509739441103E-4</v>
      </c>
      <c r="F56" s="2">
        <v>1.2512586383126301E-2</v>
      </c>
      <c r="G56" s="2">
        <v>0.20958911526833701</v>
      </c>
      <c r="H56" s="2">
        <v>0.84730534304990701</v>
      </c>
      <c r="I56" s="2">
        <v>0.94930908744070597</v>
      </c>
      <c r="J56" s="2">
        <v>0.94930908744070497</v>
      </c>
      <c r="K56" s="2">
        <v>0.94930908744070597</v>
      </c>
    </row>
    <row r="57" spans="1:42" x14ac:dyDescent="0.25">
      <c r="A57" s="4">
        <v>5.0999999999999996</v>
      </c>
      <c r="B57" s="2">
        <v>3.2351609745968402E-10</v>
      </c>
      <c r="C57" s="2">
        <v>5.24706543677048E-8</v>
      </c>
      <c r="D57" s="2">
        <v>8.6056701298036903E-6</v>
      </c>
      <c r="E57" s="2">
        <v>5.1889574992395303E-4</v>
      </c>
      <c r="F57" s="2">
        <v>1.13884311679375E-2</v>
      </c>
      <c r="G57" s="2">
        <v>0.20357176845326599</v>
      </c>
      <c r="H57" s="2">
        <v>0.85011033097597399</v>
      </c>
      <c r="I57" s="2">
        <v>0.95226137518713705</v>
      </c>
      <c r="J57" s="2">
        <v>0.95226137518713705</v>
      </c>
      <c r="K57" s="2">
        <v>0.95226137518713705</v>
      </c>
      <c r="R57" s="11" t="s">
        <v>32</v>
      </c>
      <c r="S57" s="12"/>
    </row>
    <row r="58" spans="1:42" x14ac:dyDescent="0.25">
      <c r="A58" s="4">
        <v>5.2</v>
      </c>
      <c r="B58" s="2">
        <v>2.11093773172114E-10</v>
      </c>
      <c r="C58" s="2">
        <v>3.7609613506937297E-8</v>
      </c>
      <c r="D58" s="2">
        <v>6.8168769161426001E-6</v>
      </c>
      <c r="E58" s="2">
        <v>4.4499112903607099E-4</v>
      </c>
      <c r="F58" s="2">
        <v>1.0365756342874E-2</v>
      </c>
      <c r="G58" s="2">
        <v>0.1977138919793</v>
      </c>
      <c r="H58" s="2">
        <v>0.85290118525714598</v>
      </c>
      <c r="I58" s="2">
        <v>0.95504588558044801</v>
      </c>
      <c r="J58" s="2">
        <v>0.95504588558044701</v>
      </c>
      <c r="K58" s="2">
        <v>0.95504588558044801</v>
      </c>
      <c r="Q58" s="10" t="s">
        <v>0</v>
      </c>
      <c r="R58" s="2" t="s">
        <v>33</v>
      </c>
      <c r="S58" s="2" t="s">
        <v>34</v>
      </c>
    </row>
    <row r="59" spans="1:42" x14ac:dyDescent="0.25">
      <c r="A59" s="4">
        <v>5.3</v>
      </c>
      <c r="B59" s="2">
        <v>1.3819541326028601E-10</v>
      </c>
      <c r="C59" s="2">
        <v>2.6960444432509999E-8</v>
      </c>
      <c r="D59" s="2">
        <v>5.4004152309963297E-6</v>
      </c>
      <c r="E59" s="2">
        <v>3.8165194088579099E-4</v>
      </c>
      <c r="F59" s="2">
        <v>9.4354662268125999E-3</v>
      </c>
      <c r="G59" s="2">
        <v>0.19201359582114599</v>
      </c>
      <c r="H59" s="2">
        <v>0.85567727146654404</v>
      </c>
      <c r="I59" s="2">
        <v>0.95767139032525905</v>
      </c>
      <c r="J59" s="2">
        <v>0.95767139032525905</v>
      </c>
      <c r="K59" s="2">
        <v>0.95767139032525905</v>
      </c>
      <c r="Q59" s="4">
        <v>0.1</v>
      </c>
      <c r="R59" s="2">
        <f t="shared" ref="R59:R78" si="68">Y7-AM7</f>
        <v>0.21391415703074568</v>
      </c>
      <c r="S59" s="2">
        <f>AM36-Y36</f>
        <v>-0.73054624401848578</v>
      </c>
    </row>
    <row r="60" spans="1:42" x14ac:dyDescent="0.25">
      <c r="A60" s="4">
        <v>5.4</v>
      </c>
      <c r="B60" s="2">
        <v>9.0921294044325706E-11</v>
      </c>
      <c r="C60" s="2">
        <v>1.93287236281312E-8</v>
      </c>
      <c r="D60" s="2">
        <v>4.2786833699415596E-6</v>
      </c>
      <c r="E60" s="2">
        <v>3.2736293657019199E-4</v>
      </c>
      <c r="F60" s="2">
        <v>8.5892499325307698E-3</v>
      </c>
      <c r="G60" s="2">
        <v>0.18646865039306099</v>
      </c>
      <c r="H60" s="2">
        <v>0.85843777842373004</v>
      </c>
      <c r="I60" s="2">
        <v>0.96014632513702503</v>
      </c>
      <c r="J60" s="2">
        <v>0.96014632513702503</v>
      </c>
      <c r="K60" s="2">
        <v>0.96014632513702503</v>
      </c>
      <c r="Q60" s="4">
        <v>0.2</v>
      </c>
      <c r="R60" s="2">
        <f t="shared" si="68"/>
        <v>0.17768287516907399</v>
      </c>
      <c r="S60" s="2">
        <f t="shared" ref="S60:S71" si="69">AM37-Y37</f>
        <v>-0.71213961409968807</v>
      </c>
    </row>
    <row r="61" spans="1:42" x14ac:dyDescent="0.25">
      <c r="A61" s="4">
        <v>5.5</v>
      </c>
      <c r="B61" s="2">
        <v>6.38994063281289E-11</v>
      </c>
      <c r="C61" s="2">
        <v>1.3862576843708701E-8</v>
      </c>
      <c r="D61" s="2">
        <v>3.3902761748883802E-6</v>
      </c>
      <c r="E61" s="2">
        <v>2.8082655136071899E-4</v>
      </c>
      <c r="F61" s="2">
        <v>7.8195217843883991E-3</v>
      </c>
      <c r="G61" s="2">
        <v>0.18107654777476001</v>
      </c>
      <c r="H61" s="2">
        <v>0.86118175739519698</v>
      </c>
      <c r="I61" s="2">
        <v>0.96247878147878096</v>
      </c>
      <c r="J61" s="2">
        <v>0.96247878147878096</v>
      </c>
      <c r="K61" s="2">
        <v>0.96247878147878096</v>
      </c>
      <c r="Q61" s="4">
        <v>0.3</v>
      </c>
      <c r="R61" s="2">
        <f t="shared" si="68"/>
        <v>0.14261599773764022</v>
      </c>
      <c r="S61" s="2">
        <f t="shared" si="69"/>
        <v>-0.69505705859470268</v>
      </c>
    </row>
    <row r="62" spans="1:42" x14ac:dyDescent="0.25">
      <c r="A62" s="4">
        <v>5.6</v>
      </c>
      <c r="B62" s="2">
        <v>4.4012889051289701E-11</v>
      </c>
      <c r="C62" s="2">
        <v>9.9419122476796905E-9</v>
      </c>
      <c r="D62" s="2">
        <v>2.6865880859191799E-6</v>
      </c>
      <c r="E62" s="2">
        <v>2.4093163100491699E-4</v>
      </c>
      <c r="F62" s="2">
        <v>7.1193633581781201E-3</v>
      </c>
      <c r="G62" s="2">
        <v>0.17583453993708301</v>
      </c>
      <c r="H62" s="2">
        <v>0.86390814696166496</v>
      </c>
      <c r="I62" s="2">
        <v>0.96467650875713995</v>
      </c>
      <c r="J62" s="2">
        <v>0.96467650875713895</v>
      </c>
      <c r="K62" s="2">
        <v>0.96467650875713995</v>
      </c>
      <c r="Q62" s="4">
        <v>0.4</v>
      </c>
      <c r="R62" s="2">
        <f t="shared" si="68"/>
        <v>0.10994956950266488</v>
      </c>
      <c r="S62" s="2">
        <f t="shared" si="69"/>
        <v>-0.67946227493423894</v>
      </c>
    </row>
    <row r="63" spans="1:42" x14ac:dyDescent="0.25">
      <c r="A63" s="4">
        <v>5.7</v>
      </c>
      <c r="B63" s="2">
        <v>3.1112910338353902E-11</v>
      </c>
      <c r="C63" s="2">
        <v>7.1313640146788797E-9</v>
      </c>
      <c r="D63" s="2">
        <v>2.1291604396979099E-6</v>
      </c>
      <c r="E63" s="2">
        <v>2.06726730495289E-4</v>
      </c>
      <c r="F63" s="2">
        <v>6.4824706800427996E-3</v>
      </c>
      <c r="G63" s="2">
        <v>0.17073970111449099</v>
      </c>
      <c r="H63" s="2">
        <v>0.866615811991026</v>
      </c>
      <c r="I63" s="2">
        <v>0.96674690803621899</v>
      </c>
      <c r="J63" s="2">
        <v>0.96674690803621899</v>
      </c>
      <c r="K63" s="2">
        <v>0.96674690803621899</v>
      </c>
      <c r="Q63" s="4">
        <v>0.5</v>
      </c>
      <c r="R63" s="2">
        <f t="shared" si="68"/>
        <v>8.0527305448183206E-2</v>
      </c>
      <c r="S63" s="2">
        <f t="shared" si="69"/>
        <v>-0.66534838689196985</v>
      </c>
    </row>
    <row r="64" spans="1:42" x14ac:dyDescent="0.25">
      <c r="A64" s="4">
        <v>5.8</v>
      </c>
      <c r="B64" s="2">
        <v>2.2744149716953E-11</v>
      </c>
      <c r="C64" s="2">
        <v>5.1164129757326403E-9</v>
      </c>
      <c r="D64" s="2">
        <v>1.68755014537598E-6</v>
      </c>
      <c r="E64" s="2">
        <v>1.77397108089987E-4</v>
      </c>
      <c r="F64" s="2">
        <v>5.9031026017994101E-3</v>
      </c>
      <c r="G64" s="2">
        <v>0.16578895501297</v>
      </c>
      <c r="H64" s="2">
        <v>0.86930356112261098</v>
      </c>
      <c r="I64" s="2">
        <v>0.96869704013329305</v>
      </c>
      <c r="J64" s="2">
        <v>0.96869704013329305</v>
      </c>
      <c r="K64" s="2">
        <v>0.96869704013329305</v>
      </c>
      <c r="Q64" s="4">
        <v>0.6</v>
      </c>
      <c r="R64" s="2">
        <f t="shared" si="68"/>
        <v>5.465862611568717E-2</v>
      </c>
      <c r="S64" s="2">
        <f t="shared" si="69"/>
        <v>-0.65255045683191604</v>
      </c>
    </row>
    <row r="65" spans="1:19" x14ac:dyDescent="0.25">
      <c r="A65" s="4">
        <v>5.9</v>
      </c>
      <c r="B65" s="2">
        <v>1.7314459142742001E-11</v>
      </c>
      <c r="C65" s="2">
        <v>3.6717051233701999E-9</v>
      </c>
      <c r="D65" s="2">
        <v>1.3376594353827899E-6</v>
      </c>
      <c r="E65" s="2">
        <v>1.52245072684543E-4</v>
      </c>
      <c r="F65" s="2">
        <v>5.3760335884193797E-3</v>
      </c>
      <c r="G65" s="2">
        <v>0.16097911281381599</v>
      </c>
      <c r="H65" s="2">
        <v>0.87197017047322101</v>
      </c>
      <c r="I65" s="2">
        <v>0.97053362974242596</v>
      </c>
      <c r="J65" s="2">
        <v>0.97053362974242496</v>
      </c>
      <c r="K65" s="2">
        <v>0.97053362974242596</v>
      </c>
      <c r="Q65" s="4">
        <v>0.7</v>
      </c>
      <c r="R65" s="2">
        <f t="shared" si="68"/>
        <v>3.2194543776830287E-2</v>
      </c>
      <c r="S65" s="2">
        <f t="shared" si="69"/>
        <v>-0.64081170060712012</v>
      </c>
    </row>
    <row r="66" spans="1:19" x14ac:dyDescent="0.25">
      <c r="A66" s="4">
        <v>6</v>
      </c>
      <c r="B66" s="2">
        <v>2.1067271796583799E-11</v>
      </c>
      <c r="C66" s="2">
        <v>2.6430343478273E-9</v>
      </c>
      <c r="D66" s="2">
        <v>1.06041892674363E-6</v>
      </c>
      <c r="E66" s="2">
        <v>1.3067315058757199E-4</v>
      </c>
      <c r="F66" s="2">
        <v>4.8965097288343803E-3</v>
      </c>
      <c r="G66" s="2">
        <v>0.15630690648640799</v>
      </c>
      <c r="H66" s="2">
        <v>0.87461440412565805</v>
      </c>
      <c r="I66" s="2">
        <v>0.97226307155765002</v>
      </c>
      <c r="J66" s="2">
        <v>0.97226307155765002</v>
      </c>
      <c r="K66" s="2">
        <v>0.97226307155765002</v>
      </c>
      <c r="Q66" s="4">
        <v>0.8</v>
      </c>
      <c r="R66" s="2">
        <f t="shared" si="68"/>
        <v>1.2714262976573742E-2</v>
      </c>
      <c r="S66" s="2">
        <f t="shared" si="69"/>
        <v>-0.62985720315167715</v>
      </c>
    </row>
    <row r="67" spans="1:19" x14ac:dyDescent="0.25">
      <c r="A67" s="4">
        <v>6.1</v>
      </c>
      <c r="B67" s="2">
        <v>1.8781003628387801E-11</v>
      </c>
      <c r="C67" s="2">
        <v>1.9001238351961399E-9</v>
      </c>
      <c r="D67" s="2">
        <v>8.4071073829645004E-7</v>
      </c>
      <c r="E67" s="2">
        <v>1.1216961203085901E-4</v>
      </c>
      <c r="F67" s="2">
        <v>4.4602072316898399E-3</v>
      </c>
      <c r="G67" s="2">
        <v>0.15176900407452101</v>
      </c>
      <c r="H67" s="2">
        <v>0.877235024131782</v>
      </c>
      <c r="I67" s="2">
        <v>0.97389144276527295</v>
      </c>
      <c r="J67" s="2">
        <v>0.97389144276527295</v>
      </c>
      <c r="K67" s="2">
        <v>0.97389144276527295</v>
      </c>
      <c r="Q67" s="4">
        <v>0.9</v>
      </c>
      <c r="R67" s="2">
        <f t="shared" si="68"/>
        <v>-4.2986509102593828E-3</v>
      </c>
      <c r="S67" s="2">
        <f t="shared" si="69"/>
        <v>-0.61944352286470039</v>
      </c>
    </row>
    <row r="68" spans="1:19" x14ac:dyDescent="0.25">
      <c r="A68" s="4">
        <v>6.2</v>
      </c>
      <c r="B68" s="2">
        <v>1.7297241053910099E-11</v>
      </c>
      <c r="C68" s="2">
        <v>1.3673085814271E-9</v>
      </c>
      <c r="D68" s="2">
        <v>6.6658365860394795E-7</v>
      </c>
      <c r="E68" s="2">
        <v>9.6296196521721003E-5</v>
      </c>
      <c r="F68" s="2">
        <v>4.0631955770469904E-3</v>
      </c>
      <c r="G68" s="2">
        <v>0.14736205023447399</v>
      </c>
      <c r="H68" s="2">
        <v>0.879830814302206</v>
      </c>
      <c r="I68" s="2">
        <v>0.97542450637631894</v>
      </c>
      <c r="J68" s="2">
        <v>0.97542450637631894</v>
      </c>
      <c r="K68" s="2">
        <v>0.97542450637631894</v>
      </c>
      <c r="Q68" s="4">
        <v>1</v>
      </c>
      <c r="R68" s="2">
        <f t="shared" si="68"/>
        <v>-1.9343494782289028E-2</v>
      </c>
      <c r="S68" s="2">
        <f t="shared" si="69"/>
        <v>-0.6093796453977518</v>
      </c>
    </row>
    <row r="69" spans="1:19" x14ac:dyDescent="0.25">
      <c r="A69" s="4">
        <v>6.3</v>
      </c>
      <c r="B69" s="2">
        <v>1.6334206905553899E-11</v>
      </c>
      <c r="C69" s="2">
        <v>9.8513789733536993E-10</v>
      </c>
      <c r="D69" s="2">
        <v>5.2856813527647297E-7</v>
      </c>
      <c r="E69" s="2">
        <v>8.2677490948873902E-5</v>
      </c>
      <c r="F69" s="2">
        <v>3.7019020618848401E-3</v>
      </c>
      <c r="G69" s="2">
        <v>0.14308267410893499</v>
      </c>
      <c r="H69" s="2">
        <v>0.88240058529117704</v>
      </c>
      <c r="I69" s="2">
        <v>0.97686772587113402</v>
      </c>
      <c r="J69" s="2">
        <v>0.97686772587113402</v>
      </c>
      <c r="K69" s="2">
        <v>0.97686772587113402</v>
      </c>
      <c r="Q69" s="4">
        <v>1.1000000000000001</v>
      </c>
      <c r="R69" s="2">
        <f t="shared" si="68"/>
        <v>-3.2849949590601391E-2</v>
      </c>
      <c r="S69" s="2">
        <f t="shared" si="69"/>
        <v>-0.59952859120703206</v>
      </c>
    </row>
    <row r="70" spans="1:19" x14ac:dyDescent="0.25">
      <c r="A70" s="4">
        <v>6.4</v>
      </c>
      <c r="B70" s="2">
        <v>1.5709094241242399E-11</v>
      </c>
      <c r="C70" s="2">
        <v>7.1099436157302096E-10</v>
      </c>
      <c r="D70" s="2">
        <v>4.19164807016019E-7</v>
      </c>
      <c r="E70" s="2">
        <v>7.0991895234600398E-5</v>
      </c>
      <c r="F70" s="2">
        <v>3.3730799883116302E-3</v>
      </c>
      <c r="G70" s="2">
        <v>0.138927509382471</v>
      </c>
      <c r="H70" s="2">
        <v>0.88494318624971302</v>
      </c>
      <c r="I70" s="2">
        <v>0.97822627503579496</v>
      </c>
      <c r="J70" s="2">
        <v>0.97822627503579496</v>
      </c>
      <c r="K70" s="2">
        <v>0.97822627503579496</v>
      </c>
      <c r="Q70" s="4">
        <v>1.2</v>
      </c>
      <c r="R70" s="2">
        <f t="shared" si="68"/>
        <v>-4.5164064537840609E-2</v>
      </c>
      <c r="S70" s="2">
        <f t="shared" si="69"/>
        <v>-0.58979992329197728</v>
      </c>
    </row>
    <row r="71" spans="1:19" x14ac:dyDescent="0.25">
      <c r="A71" s="4">
        <v>6.5</v>
      </c>
      <c r="B71" s="2">
        <v>1.5303292907236699E-11</v>
      </c>
      <c r="C71" s="2">
        <v>5.1432449133555598E-10</v>
      </c>
      <c r="D71" s="2">
        <v>3.3243398900126699E-7</v>
      </c>
      <c r="E71" s="2">
        <v>6.0963879400878397E-5</v>
      </c>
      <c r="F71" s="2">
        <v>3.07377933769296E-3</v>
      </c>
      <c r="G71" s="2">
        <v>0.13489320867941301</v>
      </c>
      <c r="H71" s="2">
        <v>0.88745751300084297</v>
      </c>
      <c r="I71" s="2">
        <v>0.97950504929895099</v>
      </c>
      <c r="J71" s="2">
        <v>0.97950504929895099</v>
      </c>
      <c r="K71" s="2">
        <v>0.97950504929895199</v>
      </c>
      <c r="Q71" s="4">
        <v>1.3</v>
      </c>
      <c r="R71" s="2">
        <f t="shared" si="68"/>
        <v>-5.6553347347009897E-2</v>
      </c>
      <c r="S71" s="2">
        <f t="shared" si="69"/>
        <v>-0.5801396961069516</v>
      </c>
    </row>
    <row r="72" spans="1:19" x14ac:dyDescent="0.25">
      <c r="A72" s="4">
        <v>6.6</v>
      </c>
      <c r="B72" s="2">
        <v>2.95917532094143E-11</v>
      </c>
      <c r="C72" s="2">
        <v>3.8777349854546599E-10</v>
      </c>
      <c r="D72" s="2">
        <v>2.6368538194926302E-7</v>
      </c>
      <c r="E72" s="2">
        <v>5.23573743719554E-5</v>
      </c>
      <c r="F72" s="2">
        <v>2.8013200392312601E-3</v>
      </c>
      <c r="G72" s="2">
        <v>0.13097645830228399</v>
      </c>
      <c r="H72" s="2">
        <v>0.88994251595664098</v>
      </c>
      <c r="I72" s="2">
        <v>0.98070867647469395</v>
      </c>
      <c r="J72" s="2">
        <v>0.98070867647469395</v>
      </c>
      <c r="K72" s="2">
        <v>0.98070867647469395</v>
      </c>
      <c r="Q72" s="4">
        <v>1.4</v>
      </c>
      <c r="R72" s="2">
        <f t="shared" si="68"/>
        <v>-6.7219040084014914E-2</v>
      </c>
      <c r="S72" s="2">
        <f>AM49-Y49</f>
        <v>-0.57052094843333645</v>
      </c>
    </row>
    <row r="73" spans="1:19" x14ac:dyDescent="0.25">
      <c r="A73" s="4">
        <v>6.7</v>
      </c>
      <c r="B73" s="2">
        <v>2.9420698074048403E-11</v>
      </c>
      <c r="C73" s="2">
        <v>2.8652892850396102E-10</v>
      </c>
      <c r="D73" s="2">
        <v>2.0916270934520101E-7</v>
      </c>
      <c r="E73" s="2">
        <v>4.4970033127813397E-5</v>
      </c>
      <c r="F73" s="2">
        <v>2.55326698531719E-3</v>
      </c>
      <c r="G73" s="2">
        <v>0.127173977590325</v>
      </c>
      <c r="H73" s="2">
        <v>0.89239720007650902</v>
      </c>
      <c r="I73" s="2">
        <v>0.98184153178775102</v>
      </c>
      <c r="J73" s="2">
        <v>0.98184153178775102</v>
      </c>
      <c r="K73" s="2">
        <v>0.98184153178775202</v>
      </c>
      <c r="Q73" s="4">
        <v>1.5</v>
      </c>
      <c r="R73" s="2">
        <f t="shared" si="68"/>
        <v>-7.730952016772541E-2</v>
      </c>
      <c r="S73" s="2">
        <f>AM50-Y50</f>
        <v>-0.56093586959435804</v>
      </c>
    </row>
    <row r="74" spans="1:19" x14ac:dyDescent="0.25">
      <c r="A74" s="4">
        <v>6.8</v>
      </c>
      <c r="B74" s="2">
        <v>2.9309626805881401E-11</v>
      </c>
      <c r="C74" s="2">
        <v>2.1387752513639901E-10</v>
      </c>
      <c r="D74" s="2">
        <v>1.6592763767507799E-7</v>
      </c>
      <c r="E74" s="2">
        <v>3.8628481498135298E-5</v>
      </c>
      <c r="F74" s="2">
        <v>2.3274083479275999E-3</v>
      </c>
      <c r="G74" s="2">
        <v>0.12348254373076099</v>
      </c>
      <c r="H74" s="2">
        <v>0.89482063709084303</v>
      </c>
      <c r="I74" s="2">
        <v>0.98290774429490901</v>
      </c>
      <c r="J74" s="2">
        <v>0.98290774429490901</v>
      </c>
      <c r="K74" s="2">
        <v>0.98290774429490901</v>
      </c>
      <c r="Q74" s="4">
        <v>1.6</v>
      </c>
      <c r="R74" s="2">
        <f t="shared" si="68"/>
        <v>-8.6932380828478983E-2</v>
      </c>
      <c r="S74" s="2">
        <f t="shared" ref="S74:S78" si="70">AM51-Y51</f>
        <v>-0.55138971298099726</v>
      </c>
    </row>
    <row r="75" spans="1:19" x14ac:dyDescent="0.25">
      <c r="A75" s="4">
        <v>6.9</v>
      </c>
      <c r="B75" s="2">
        <v>2.9237499077226401E-11</v>
      </c>
      <c r="C75" s="2">
        <v>1.6173982282384799E-10</v>
      </c>
      <c r="D75" s="2">
        <v>1.3164042813137801E-7</v>
      </c>
      <c r="E75" s="2">
        <v>3.3184095911818397E-5</v>
      </c>
      <c r="F75" s="2">
        <v>2.1217346858855902E-3</v>
      </c>
      <c r="G75" s="2">
        <v>0.119898987254066</v>
      </c>
      <c r="H75" s="2">
        <v>0.89721196284442695</v>
      </c>
      <c r="I75" s="2">
        <v>0.98391121196740905</v>
      </c>
      <c r="J75" s="2">
        <v>0.98391121196740905</v>
      </c>
      <c r="K75" s="2">
        <v>0.98391121196740905</v>
      </c>
      <c r="Q75" s="4">
        <v>1.7</v>
      </c>
      <c r="R75" s="2">
        <f t="shared" si="68"/>
        <v>-9.616437657207122E-2</v>
      </c>
      <c r="S75" s="2">
        <f t="shared" si="70"/>
        <v>-0.54189627443602983</v>
      </c>
    </row>
    <row r="76" spans="1:19" x14ac:dyDescent="0.25">
      <c r="A76" s="4">
        <v>7</v>
      </c>
      <c r="B76" s="2">
        <v>2.9190656941479598E-11</v>
      </c>
      <c r="C76" s="2">
        <v>1.2432063264981101E-10</v>
      </c>
      <c r="D76" s="2">
        <v>1.0444699546170899E-7</v>
      </c>
      <c r="E76" s="2">
        <v>2.85094667960119E-5</v>
      </c>
      <c r="F76" s="2">
        <v>1.93442048504951E-3</v>
      </c>
      <c r="G76" s="2">
        <v>0.11642020033757899</v>
      </c>
      <c r="H76" s="2">
        <v>0.89957038078346097</v>
      </c>
      <c r="I76" s="2">
        <v>0.98485561207772898</v>
      </c>
      <c r="J76" s="2">
        <v>0.98485561207772898</v>
      </c>
      <c r="K76" s="2">
        <v>0.98485561207772898</v>
      </c>
      <c r="Q76" s="4">
        <v>1.8</v>
      </c>
      <c r="R76" s="2">
        <f t="shared" si="68"/>
        <v>-0.10505930607505132</v>
      </c>
      <c r="S76" s="2">
        <f t="shared" si="70"/>
        <v>-0.53247456320166453</v>
      </c>
    </row>
    <row r="77" spans="1:19" x14ac:dyDescent="0.25">
      <c r="A77" s="4">
        <v>7.1</v>
      </c>
      <c r="B77" s="2">
        <v>2.91602338040398E-11</v>
      </c>
      <c r="C77" s="2">
        <v>9.7462830278154406E-11</v>
      </c>
      <c r="D77" s="2">
        <v>8.2877954000960404E-8</v>
      </c>
      <c r="E77" s="2">
        <v>2.4495356600033998E-5</v>
      </c>
      <c r="F77" s="2">
        <v>1.7638072465248999E-3</v>
      </c>
      <c r="G77" s="2">
        <v>0.113043141039454</v>
      </c>
      <c r="H77" s="2">
        <v>0.90189516317221496</v>
      </c>
      <c r="I77" s="2">
        <v>0.985744412252336</v>
      </c>
      <c r="J77" s="2">
        <v>0.985744412252336</v>
      </c>
      <c r="K77" s="2">
        <v>0.985744412252336</v>
      </c>
      <c r="Q77" s="4">
        <v>1.9</v>
      </c>
      <c r="R77" s="2">
        <f t="shared" si="68"/>
        <v>-0.11365406700239777</v>
      </c>
      <c r="S77" s="2">
        <f t="shared" si="70"/>
        <v>-0.52314642144006296</v>
      </c>
    </row>
    <row r="78" spans="1:19" x14ac:dyDescent="0.25">
      <c r="A78" s="4">
        <v>7.2</v>
      </c>
      <c r="B78" s="2">
        <v>2.9140473066630197E-11</v>
      </c>
      <c r="C78" s="2">
        <v>7.8184069437421598E-11</v>
      </c>
      <c r="D78" s="2">
        <v>6.5768681526529794E-8</v>
      </c>
      <c r="E78" s="2">
        <v>2.1048095949005599E-5</v>
      </c>
      <c r="F78" s="2">
        <v>1.60838810867503E-3</v>
      </c>
      <c r="G78" s="2">
        <v>0.109764836515735</v>
      </c>
      <c r="H78" s="2">
        <v>0.90418565160226805</v>
      </c>
      <c r="I78" s="2">
        <v>0.98658088121966403</v>
      </c>
      <c r="J78" s="2">
        <v>0.98658088121966403</v>
      </c>
      <c r="K78" s="2">
        <v>0.98658088121966403</v>
      </c>
      <c r="Q78" s="4">
        <v>2</v>
      </c>
      <c r="R78" s="2">
        <f t="shared" si="68"/>
        <v>-0.12197328374007732</v>
      </c>
      <c r="S78" s="2">
        <f t="shared" si="70"/>
        <v>-0.5139348042216767</v>
      </c>
    </row>
    <row r="79" spans="1:19" x14ac:dyDescent="0.25">
      <c r="A79" s="4">
        <v>7.3</v>
      </c>
      <c r="B79" s="2">
        <v>5.8231467425760604E-11</v>
      </c>
      <c r="C79" s="2">
        <v>9.3448439335850097E-11</v>
      </c>
      <c r="D79" s="2">
        <v>5.2225126688003901E-8</v>
      </c>
      <c r="E79" s="2">
        <v>1.80873849927583E-5</v>
      </c>
      <c r="F79" s="2">
        <v>1.46679396980239E-3</v>
      </c>
      <c r="G79" s="2">
        <v>0.10658238792897901</v>
      </c>
      <c r="H79" s="2">
        <v>0.90644125789329899</v>
      </c>
      <c r="I79" s="2">
        <v>0.98736809852673002</v>
      </c>
      <c r="J79" s="2">
        <v>0.98736809852673002</v>
      </c>
      <c r="K79" s="2">
        <v>0.98736809852673102</v>
      </c>
      <c r="Q79" s="1"/>
      <c r="R79" s="9"/>
    </row>
    <row r="80" spans="1:19" x14ac:dyDescent="0.25">
      <c r="A80" s="4">
        <v>7.4</v>
      </c>
      <c r="B80" s="2">
        <v>5.8223128832705394E-11</v>
      </c>
      <c r="C80" s="2">
        <v>8.3512935950597794E-11</v>
      </c>
      <c r="D80" s="2">
        <v>4.1457241905563903E-8</v>
      </c>
      <c r="E80" s="2">
        <v>1.5544263285187101E-5</v>
      </c>
      <c r="F80" s="2">
        <v>1.3377803953108999E-3</v>
      </c>
      <c r="G80" s="2">
        <v>0.10349296158516599</v>
      </c>
      <c r="H80" s="2">
        <v>0.90866145936031295</v>
      </c>
      <c r="I80" s="2">
        <v>0.98810896740653398</v>
      </c>
      <c r="J80" s="2">
        <v>0.98810896740653398</v>
      </c>
      <c r="K80" s="2">
        <v>0.98810896740653398</v>
      </c>
      <c r="Q80" s="1"/>
      <c r="R80" s="9"/>
    </row>
    <row r="81" spans="1:18" x14ac:dyDescent="0.25">
      <c r="A81" s="4">
        <v>7.5</v>
      </c>
      <c r="B81" s="2">
        <v>5.8217711554780095E-11</v>
      </c>
      <c r="C81" s="2">
        <v>7.6379646698941097E-11</v>
      </c>
      <c r="D81" s="2">
        <v>3.2913927637021298E-8</v>
      </c>
      <c r="E81" s="2">
        <v>1.3359658656963801E-5</v>
      </c>
      <c r="F81" s="2">
        <v>1.2202167027154599E-3</v>
      </c>
      <c r="G81" s="2">
        <v>0.10049380588135</v>
      </c>
      <c r="H81" s="2">
        <v>0.910845804099776</v>
      </c>
      <c r="I81" s="2">
        <v>0.98880622008592201</v>
      </c>
      <c r="J81" s="2">
        <v>0.98880622008592201</v>
      </c>
      <c r="K81" s="2">
        <v>0.98880622008592201</v>
      </c>
      <c r="Q81" s="1"/>
      <c r="R81" s="9"/>
    </row>
    <row r="82" spans="1:18" x14ac:dyDescent="0.25">
      <c r="A82" s="4">
        <v>7.6</v>
      </c>
      <c r="B82" s="2">
        <v>5.8214191924216195E-11</v>
      </c>
      <c r="C82" s="2">
        <v>7.1257899782389005E-11</v>
      </c>
      <c r="D82" s="2">
        <v>2.6135140719239899E-8</v>
      </c>
      <c r="E82" s="2">
        <v>1.14828656972701E-5</v>
      </c>
      <c r="F82" s="2">
        <v>1.1130750833923001E-3</v>
      </c>
      <c r="G82" s="2">
        <v>9.7582240841063497E-2</v>
      </c>
      <c r="H82" s="2">
        <v>0.91299390519835599</v>
      </c>
      <c r="I82" s="2">
        <v>0.98946243001713396</v>
      </c>
      <c r="J82" s="2">
        <v>0.98946243001713396</v>
      </c>
      <c r="K82" s="2">
        <v>0.98946243001713396</v>
      </c>
      <c r="Q82" s="1"/>
      <c r="R82" s="9"/>
    </row>
    <row r="83" spans="1:18" x14ac:dyDescent="0.25">
      <c r="A83" s="4">
        <v>7.7</v>
      </c>
      <c r="B83" s="2">
        <v>5.8211905063947E-11</v>
      </c>
      <c r="C83" s="2">
        <v>6.7580222102389295E-11</v>
      </c>
      <c r="D83" s="2">
        <v>2.075608391309E-8</v>
      </c>
      <c r="E83" s="2">
        <v>9.8703778950160508E-6</v>
      </c>
      <c r="F83" s="2">
        <v>1.01542121565507E-3</v>
      </c>
      <c r="G83" s="2">
        <v>9.4755660855326898E-2</v>
      </c>
      <c r="H83" s="2">
        <v>0.91510544011930794</v>
      </c>
      <c r="I83" s="2">
        <v>0.99008001996891604</v>
      </c>
      <c r="J83" s="2">
        <v>0.99008001996891604</v>
      </c>
      <c r="K83" s="2">
        <v>0.99008001996891604</v>
      </c>
      <c r="Q83" s="1"/>
      <c r="R83" s="9"/>
    </row>
    <row r="84" spans="1:18" x14ac:dyDescent="0.25">
      <c r="A84" s="4">
        <v>7.8</v>
      </c>
      <c r="B84" s="2">
        <v>5.8210419101838394E-11</v>
      </c>
      <c r="C84" s="2">
        <v>6.4939300906280205E-11</v>
      </c>
      <c r="D84" s="2">
        <v>1.6487461270210699E-8</v>
      </c>
      <c r="E84" s="2">
        <v>8.4848610460547507E-6</v>
      </c>
      <c r="F84" s="2">
        <v>9.2640565130313701E-4</v>
      </c>
      <c r="G84" s="2">
        <v>9.2011534264672803E-2</v>
      </c>
      <c r="H84" s="2">
        <v>0.91718014871268905</v>
      </c>
      <c r="I84" s="2">
        <v>0.99066127047859198</v>
      </c>
      <c r="J84" s="2">
        <v>0.99066127047859198</v>
      </c>
      <c r="K84" s="2">
        <v>0.99066127047859198</v>
      </c>
      <c r="Q84" s="1"/>
      <c r="R84" s="9"/>
    </row>
    <row r="85" spans="1:18" x14ac:dyDescent="0.25">
      <c r="A85" s="4">
        <v>7.9</v>
      </c>
      <c r="B85" s="2">
        <v>5.8209453494884802E-11</v>
      </c>
      <c r="C85" s="2">
        <v>6.3042759092550298E-11</v>
      </c>
      <c r="D85" s="2">
        <v>1.3099832364769901E-8</v>
      </c>
      <c r="E85" s="2">
        <v>7.2942737713613599E-6</v>
      </c>
      <c r="F85" s="2">
        <v>8.4525600179528198E-4</v>
      </c>
      <c r="G85" s="2">
        <v>8.9347402626702196E-2</v>
      </c>
      <c r="H85" s="2">
        <v>0.91921783102385402</v>
      </c>
      <c r="I85" s="2">
        <v>0.99120832790370705</v>
      </c>
      <c r="J85" s="2">
        <v>0.99120832790370705</v>
      </c>
      <c r="K85" s="2">
        <v>0.99120832790370705</v>
      </c>
      <c r="Q85" s="1"/>
      <c r="R85" s="9"/>
    </row>
    <row r="86" spans="1:18" x14ac:dyDescent="0.25">
      <c r="A86" s="4">
        <v>8</v>
      </c>
      <c r="B86" s="2">
        <v>5.8208825990765904E-11</v>
      </c>
      <c r="C86" s="2">
        <v>6.1680707391783694E-11</v>
      </c>
      <c r="D86" s="2">
        <v>1.0411213192664499E-8</v>
      </c>
      <c r="E86" s="2">
        <v>6.2711139591724003E-6</v>
      </c>
      <c r="F86" s="2">
        <v>7.7126985043400001E-4</v>
      </c>
      <c r="G86" s="2">
        <v>8.6760879725756995E-2</v>
      </c>
      <c r="H86" s="2">
        <v>0.92121834494386701</v>
      </c>
      <c r="I86" s="2">
        <v>0.99172321207921299</v>
      </c>
      <c r="J86" s="2">
        <v>0.99172321207921199</v>
      </c>
      <c r="K86" s="2">
        <v>0.99172321207921299</v>
      </c>
      <c r="Q86" s="1"/>
      <c r="R86" s="9"/>
    </row>
    <row r="87" spans="1:18" x14ac:dyDescent="0.25">
      <c r="A87" s="4">
        <v>8.1</v>
      </c>
      <c r="B87" s="2">
        <v>5.8208418183135697E-11</v>
      </c>
      <c r="C87" s="2">
        <v>6.0702461660057106E-11</v>
      </c>
      <c r="D87" s="2">
        <v>8.2772490072121003E-9</v>
      </c>
      <c r="E87" s="2">
        <v>5.3917730095070699E-6</v>
      </c>
      <c r="F87" s="2">
        <v>7.0380832340022597E-4</v>
      </c>
      <c r="G87" s="2">
        <v>8.4249650373503904E-2</v>
      </c>
      <c r="H87" s="2">
        <v>0.92318160374015001</v>
      </c>
      <c r="I87" s="2">
        <v>0.99220782358860704</v>
      </c>
      <c r="J87" s="2">
        <v>0.99220782358860704</v>
      </c>
      <c r="K87" s="2">
        <v>0.99220782358860704</v>
      </c>
      <c r="Q87" s="1"/>
      <c r="R87" s="9"/>
    </row>
    <row r="88" spans="1:18" x14ac:dyDescent="0.25">
      <c r="A88" s="4">
        <v>8.1999999999999993</v>
      </c>
      <c r="B88" s="2">
        <v>1.16415814054067E-10</v>
      </c>
      <c r="C88" s="2">
        <v>1.1820749635441799E-10</v>
      </c>
      <c r="D88" s="2">
        <v>6.6416336758892501E-9</v>
      </c>
      <c r="E88" s="2">
        <v>4.6360412373765101E-6</v>
      </c>
      <c r="F88" s="2">
        <v>6.4229036712059901E-4</v>
      </c>
      <c r="G88" s="2">
        <v>8.1811471624558194E-2</v>
      </c>
      <c r="H88" s="2">
        <v>0.92510757413003597</v>
      </c>
      <c r="I88" s="2">
        <v>0.99266395009192299</v>
      </c>
      <c r="J88" s="2">
        <v>0.99266395009192299</v>
      </c>
      <c r="K88" s="2">
        <v>0.99266395009192299</v>
      </c>
      <c r="Q88" s="1"/>
      <c r="R88" s="9"/>
    </row>
    <row r="89" spans="1:18" x14ac:dyDescent="0.25">
      <c r="A89" s="4">
        <v>8.3000000000000007</v>
      </c>
      <c r="B89" s="2">
        <v>1.1641564178914001E-10</v>
      </c>
      <c r="C89" s="2">
        <v>1.17702808909505E-10</v>
      </c>
      <c r="D89" s="2">
        <v>5.2970990239465102E-9</v>
      </c>
      <c r="E89" s="2">
        <v>3.9863979506784497E-6</v>
      </c>
      <c r="F89" s="2">
        <v>5.8618702006225996E-4</v>
      </c>
      <c r="G89" s="2">
        <v>7.9444160810041201E-2</v>
      </c>
      <c r="H89" s="2">
        <v>0.92699627107910398</v>
      </c>
      <c r="I89" s="2">
        <v>0.99309327516948598</v>
      </c>
      <c r="J89" s="2">
        <v>0.99309327516948598</v>
      </c>
      <c r="K89" s="2">
        <v>0.99309327516948598</v>
      </c>
      <c r="Q89" s="1"/>
      <c r="R89" s="9"/>
    </row>
    <row r="90" spans="1:18" x14ac:dyDescent="0.25">
      <c r="A90" s="4">
        <v>8.4</v>
      </c>
      <c r="B90" s="2">
        <v>1.16415529820165E-10</v>
      </c>
      <c r="C90" s="2">
        <v>1.1734028160438699E-10</v>
      </c>
      <c r="D90" s="2">
        <v>4.2297731741740897E-9</v>
      </c>
      <c r="E90" s="2">
        <v>3.42795812175856E-6</v>
      </c>
      <c r="F90" s="2">
        <v>5.3501727997500904E-4</v>
      </c>
      <c r="G90" s="2">
        <v>7.71456098692931E-2</v>
      </c>
      <c r="H90" s="2">
        <v>0.92884775915663698</v>
      </c>
      <c r="I90" s="2">
        <v>0.99349738096499396</v>
      </c>
      <c r="J90" s="2">
        <v>0.99349738096499396</v>
      </c>
      <c r="K90" s="2">
        <v>0.99349738096499396</v>
      </c>
      <c r="Q90" s="1"/>
      <c r="R90" s="9"/>
    </row>
    <row r="91" spans="1:18" x14ac:dyDescent="0.25">
      <c r="A91" s="4">
        <v>8.5</v>
      </c>
      <c r="B91" s="2">
        <v>1.16415457039265E-10</v>
      </c>
      <c r="C91" s="2">
        <v>1.17079859171551E-10</v>
      </c>
      <c r="D91" s="2">
        <v>3.3824627456970602E-9</v>
      </c>
      <c r="E91" s="2">
        <v>2.9478879646243401E-6</v>
      </c>
      <c r="F91" s="2">
        <v>4.8834330301823303E-4</v>
      </c>
      <c r="G91" s="2">
        <v>7.4913772901730999E-2</v>
      </c>
      <c r="H91" s="2">
        <v>0.93066214713209405</v>
      </c>
      <c r="I91" s="2">
        <v>0.993877756434832</v>
      </c>
      <c r="J91" s="2">
        <v>0.993877756434832</v>
      </c>
      <c r="K91" s="2">
        <v>0.993877756434832</v>
      </c>
      <c r="Q91" s="1"/>
      <c r="R91" s="9"/>
    </row>
    <row r="92" spans="1:18" x14ac:dyDescent="0.25">
      <c r="A92" s="4">
        <v>8.6</v>
      </c>
      <c r="B92" s="2">
        <v>1.1641540972902199E-10</v>
      </c>
      <c r="C92" s="2">
        <v>1.1689277603983001E-10</v>
      </c>
      <c r="D92" s="2">
        <v>2.7097840700087398E-9</v>
      </c>
      <c r="E92" s="2">
        <v>2.53516482687854E-6</v>
      </c>
      <c r="F92" s="2">
        <v>4.4576656840486999E-4</v>
      </c>
      <c r="G92" s="2">
        <v>7.2746667182693195E-2</v>
      </c>
      <c r="H92" s="2">
        <v>0.93243958604003596</v>
      </c>
      <c r="I92" s="2">
        <v>0.99423580225174601</v>
      </c>
      <c r="J92" s="2">
        <v>0.99423580225174601</v>
      </c>
      <c r="K92" s="2">
        <v>0.99423580225174601</v>
      </c>
      <c r="Q92" s="1"/>
      <c r="R92" s="9"/>
    </row>
    <row r="93" spans="1:18" x14ac:dyDescent="0.25">
      <c r="A93" s="4">
        <v>8.6999999999999993</v>
      </c>
      <c r="B93" s="2">
        <v>1.16415378974419E-10</v>
      </c>
      <c r="C93" s="2">
        <v>1.1675837315496901E-10</v>
      </c>
      <c r="D93" s="2">
        <v>2.1757223257914199E-9</v>
      </c>
      <c r="E93" s="2">
        <v>2.18032069768199E-6</v>
      </c>
      <c r="F93" s="2">
        <v>4.0692429546975697E-4</v>
      </c>
      <c r="G93" s="2">
        <v>7.06423714102795E-2</v>
      </c>
      <c r="H93" s="2">
        <v>0.93418026656028896</v>
      </c>
      <c r="I93" s="2">
        <v>0.99457283601390301</v>
      </c>
      <c r="J93" s="2">
        <v>0.99457283601390301</v>
      </c>
      <c r="K93" s="2">
        <v>0.99457283601390301</v>
      </c>
      <c r="Q93" s="1"/>
      <c r="R93" s="9"/>
    </row>
    <row r="94" spans="1:18" x14ac:dyDescent="0.25">
      <c r="A94" s="4">
        <v>8.8000000000000007</v>
      </c>
      <c r="B94" s="2">
        <v>1.16415358981257E-10</v>
      </c>
      <c r="C94" s="2">
        <v>1.1666181266836899E-10</v>
      </c>
      <c r="D94" s="2">
        <v>1.75169570654213E-9</v>
      </c>
      <c r="E94" s="2">
        <v>1.8752221925425101E-6</v>
      </c>
      <c r="F94" s="2">
        <v>3.7148619230373698E-4</v>
      </c>
      <c r="G94" s="2">
        <v>6.8599023936097306E-2</v>
      </c>
      <c r="H94" s="2">
        <v>0.93588441643676201</v>
      </c>
      <c r="I94" s="2">
        <v>0.99489009715862697</v>
      </c>
      <c r="J94" s="2">
        <v>0.99489009715862697</v>
      </c>
      <c r="K94" s="2">
        <v>0.99489009715862697</v>
      </c>
      <c r="Q94" s="1"/>
      <c r="R94" s="9"/>
    </row>
    <row r="95" spans="1:18" x14ac:dyDescent="0.25">
      <c r="A95" s="4">
        <v>8.9</v>
      </c>
      <c r="B95" s="2">
        <v>1.1641534598350001E-10</v>
      </c>
      <c r="C95" s="2">
        <v>1.1659243712478E-10</v>
      </c>
      <c r="D95" s="2">
        <v>1.4150199973235601E-9</v>
      </c>
      <c r="E95" s="2">
        <v>1.61288180224534E-6</v>
      </c>
      <c r="F95" s="2">
        <v>3.3915150486751899E-4</v>
      </c>
      <c r="G95" s="2">
        <v>6.6614820993203705E-2</v>
      </c>
      <c r="H95" s="2">
        <v>0.93755229794635897</v>
      </c>
      <c r="I95" s="2">
        <v>0.99518875159498699</v>
      </c>
      <c r="J95" s="2">
        <v>0.99518875159498699</v>
      </c>
      <c r="K95" s="2">
        <v>0.99518875159498699</v>
      </c>
      <c r="Q95" s="1"/>
      <c r="R95" s="9"/>
    </row>
    <row r="96" spans="1:18" x14ac:dyDescent="0.25">
      <c r="A96" s="4">
        <v>9</v>
      </c>
      <c r="B96" s="2">
        <v>1.1641533753323701E-10</v>
      </c>
      <c r="C96" s="2">
        <v>1.16542591312155E-10</v>
      </c>
      <c r="D96" s="2">
        <v>1.14769064091797E-9</v>
      </c>
      <c r="E96" s="2">
        <v>1.3872959421528199E-6</v>
      </c>
      <c r="F96" s="2">
        <v>3.0964633842268702E-4</v>
      </c>
      <c r="G96" s="2">
        <v>6.4688014932258106E-2</v>
      </c>
      <c r="H96" s="2">
        <v>0.93918420542741399</v>
      </c>
      <c r="I96" s="2">
        <v>0.99546989606917902</v>
      </c>
      <c r="J96" s="2">
        <v>0.99546989606917902</v>
      </c>
      <c r="K96" s="2">
        <v>0.99546989606917902</v>
      </c>
      <c r="Q96" s="1"/>
      <c r="R96" s="9"/>
    </row>
    <row r="97" spans="1:42" x14ac:dyDescent="0.25">
      <c r="A97" s="4">
        <v>9.1</v>
      </c>
      <c r="B97" s="2">
        <v>1.1641533203926801E-10</v>
      </c>
      <c r="C97" s="2">
        <v>1.1650677626335499E-10</v>
      </c>
      <c r="D97" s="2">
        <v>9.3541656833368197E-10</v>
      </c>
      <c r="E97" s="2">
        <v>1.1933059788193701E-6</v>
      </c>
      <c r="F97" s="2">
        <v>2.8272122577207702E-4</v>
      </c>
      <c r="G97" s="2">
        <v>6.2816912474960199E-2</v>
      </c>
      <c r="H97" s="2">
        <v>0.94078046287541806</v>
      </c>
      <c r="I97" s="2">
        <v>0.99573456227638002</v>
      </c>
      <c r="J97" s="2">
        <v>0.99573456227638002</v>
      </c>
      <c r="K97" s="2">
        <v>0.99573456227638002</v>
      </c>
      <c r="Q97" s="1"/>
      <c r="R97" s="9"/>
    </row>
    <row r="98" spans="1:42" x14ac:dyDescent="0.25">
      <c r="A98" s="4">
        <v>9.1999999999999993</v>
      </c>
      <c r="B98" s="2">
        <v>1.16415328467235E-10</v>
      </c>
      <c r="C98" s="2">
        <v>1.16481041730873E-10</v>
      </c>
      <c r="D98" s="2">
        <v>7.66853692404896E-10</v>
      </c>
      <c r="E98" s="2">
        <v>1.0264789590945399E-6</v>
      </c>
      <c r="F98" s="2">
        <v>2.5814891921030302E-4</v>
      </c>
      <c r="G98" s="2">
        <v>6.0999872992144398E-2</v>
      </c>
      <c r="H98" s="2">
        <v>0.94234142161226497</v>
      </c>
      <c r="I98" s="2">
        <v>0.99598372073234698</v>
      </c>
      <c r="J98" s="2">
        <v>0.99598372073234698</v>
      </c>
      <c r="K98" s="2">
        <v>0.99598372073234698</v>
      </c>
      <c r="Q98" s="1"/>
      <c r="R98" s="9"/>
    </row>
    <row r="99" spans="1:42" x14ac:dyDescent="0.25">
      <c r="A99" s="4">
        <v>9.3000000000000007</v>
      </c>
      <c r="B99" s="2">
        <v>1.1641532614472401E-10</v>
      </c>
      <c r="C99" s="2">
        <v>1.1646254988784099E-10</v>
      </c>
      <c r="D99" s="2">
        <v>6.3299675891816401E-10</v>
      </c>
      <c r="E99" s="2">
        <v>8.8300523605727297E-7</v>
      </c>
      <c r="F99" s="2">
        <v>2.3572238526860099E-4</v>
      </c>
      <c r="G99" s="2">
        <v>5.9235306812470301E-2</v>
      </c>
      <c r="H99" s="2">
        <v>0.94386745803394001</v>
      </c>
      <c r="I99" s="2">
        <v>0.99621828441762905</v>
      </c>
      <c r="J99" s="2">
        <v>0.99621828441762905</v>
      </c>
      <c r="K99" s="2">
        <v>0.99621828441762905</v>
      </c>
      <c r="Q99" s="1"/>
      <c r="R99" s="9"/>
    </row>
    <row r="100" spans="1:42" x14ac:dyDescent="0.25">
      <c r="A100" s="4">
        <v>9.4</v>
      </c>
      <c r="B100" s="2">
        <v>1.1641532463460199E-10</v>
      </c>
      <c r="C100" s="2">
        <v>1.1644926197928401E-10</v>
      </c>
      <c r="D100" s="2">
        <v>5.2669680529415399E-10</v>
      </c>
      <c r="E100" s="2">
        <v>7.5961058769489998E-7</v>
      </c>
      <c r="F100" s="2">
        <v>2.1525298331676599E-4</v>
      </c>
      <c r="G100" s="2">
        <v>5.75216735664099E-2</v>
      </c>
      <c r="H100" s="2">
        <v>0.94535897144039505</v>
      </c>
      <c r="I100" s="2">
        <v>0.99643911220681203</v>
      </c>
      <c r="J100" s="2">
        <v>0.99643911220681203</v>
      </c>
      <c r="K100" s="2">
        <v>0.99643911220681303</v>
      </c>
      <c r="Q100" s="1"/>
      <c r="R100" s="9"/>
    </row>
    <row r="101" spans="1:42" x14ac:dyDescent="0.25">
      <c r="A101" s="4">
        <v>9.5</v>
      </c>
      <c r="B101" s="2">
        <v>1.16415323652679E-10</v>
      </c>
      <c r="C101" s="2">
        <v>1.1643971326399999E-10</v>
      </c>
      <c r="D101" s="2">
        <v>4.4227825789723999E-10</v>
      </c>
      <c r="E101" s="2">
        <v>6.5348076801181196E-7</v>
      </c>
      <c r="F101" s="2">
        <v>1.9656881087658701E-4</v>
      </c>
      <c r="G101" s="2">
        <v>5.5857480569163398E-2</v>
      </c>
      <c r="H101" s="2">
        <v>0.94681638195031204</v>
      </c>
      <c r="I101" s="2">
        <v>0.99664701209469797</v>
      </c>
      <c r="J101" s="2">
        <v>0.99664701209469797</v>
      </c>
      <c r="K101" s="2">
        <v>0.99664701209469797</v>
      </c>
      <c r="Q101" s="1"/>
      <c r="R101" s="9"/>
    </row>
    <row r="102" spans="1:42" x14ac:dyDescent="0.25">
      <c r="A102" s="4">
        <v>9.6</v>
      </c>
      <c r="B102" s="2">
        <v>1.16415323014188E-10</v>
      </c>
      <c r="C102" s="2">
        <v>1.16432851361744E-10</v>
      </c>
      <c r="D102" s="2">
        <v>3.75235074164473E-10</v>
      </c>
      <c r="E102" s="2">
        <v>5.6219672459096702E-7</v>
      </c>
      <c r="F102" s="2">
        <v>1.7951320012310899E-4</v>
      </c>
      <c r="G102" s="2">
        <v>5.42412812452586E-2</v>
      </c>
      <c r="H102" s="2">
        <v>0.94824012850261497</v>
      </c>
      <c r="I102" s="2">
        <v>0.99684274423083696</v>
      </c>
      <c r="J102" s="2">
        <v>0.99684274423083696</v>
      </c>
      <c r="K102" s="2">
        <v>0.99684274423083696</v>
      </c>
      <c r="Q102" s="1"/>
      <c r="R102" s="9"/>
    </row>
    <row r="103" spans="1:42" x14ac:dyDescent="0.25">
      <c r="A103" s="4">
        <v>9.6999999999999993</v>
      </c>
      <c r="B103" s="2">
        <v>2.3283064442593902E-10</v>
      </c>
      <c r="C103" s="2">
        <v>2.32843241973393E-10</v>
      </c>
      <c r="D103" s="2">
        <v>4.3840507295452402E-10</v>
      </c>
      <c r="E103" s="2">
        <v>4.8379562296677199E-7</v>
      </c>
      <c r="F103" s="2">
        <v>1.6394350240594801E-4</v>
      </c>
      <c r="G103" s="2">
        <v>5.2671676130948503E-2</v>
      </c>
      <c r="H103" s="2">
        <v>0.94963066705100796</v>
      </c>
      <c r="I103" s="2">
        <v>0.997027023363807</v>
      </c>
      <c r="J103" s="2">
        <v>0.997027023363807</v>
      </c>
      <c r="K103" s="2">
        <v>0.997027023363807</v>
      </c>
      <c r="Q103" s="1"/>
      <c r="R103" s="9"/>
    </row>
    <row r="104" spans="1:42" x14ac:dyDescent="0.25">
      <c r="A104" s="4">
        <v>9.8000000000000007</v>
      </c>
      <c r="B104" s="2">
        <v>2.3283064415595399E-10</v>
      </c>
      <c r="C104" s="2">
        <v>2.3283969812233501E-10</v>
      </c>
      <c r="D104" s="2">
        <v>3.9611661838677598E-10</v>
      </c>
      <c r="E104" s="2">
        <v>4.1625643213978598E-7</v>
      </c>
      <c r="F104" s="2">
        <v>1.49729240956403E-4</v>
      </c>
      <c r="G104" s="2">
        <v>5.11473011700865E-2</v>
      </c>
      <c r="H104" s="2">
        <v>0.95098846829291495</v>
      </c>
      <c r="I104" s="2">
        <v>0.997200523182599</v>
      </c>
      <c r="J104" s="2">
        <v>0.997200523182598</v>
      </c>
      <c r="K104" s="2">
        <v>0.997200523182598</v>
      </c>
      <c r="Q104" s="1"/>
      <c r="R104" s="9"/>
    </row>
    <row r="105" spans="1:42" x14ac:dyDescent="0.25">
      <c r="A105" s="4">
        <v>9.9</v>
      </c>
      <c r="B105" s="2">
        <v>2.3283064398038697E-10</v>
      </c>
      <c r="C105" s="2">
        <v>2.3283715126007102E-10</v>
      </c>
      <c r="D105" s="2">
        <v>3.6252964589761402E-10</v>
      </c>
      <c r="E105" s="2">
        <v>3.58158884358712E-7</v>
      </c>
      <c r="F105" s="2">
        <v>1.3675189260814401E-4</v>
      </c>
      <c r="G105" s="2">
        <v>4.9666841725684703E-2</v>
      </c>
      <c r="H105" s="2">
        <v>0.95231401665194404</v>
      </c>
      <c r="I105" s="2">
        <v>0.99736387632137302</v>
      </c>
      <c r="J105" s="2">
        <v>0.99736387632137302</v>
      </c>
      <c r="K105" s="2">
        <v>0.99736387632137302</v>
      </c>
      <c r="Q105" s="1"/>
      <c r="R105" s="9"/>
    </row>
    <row r="106" spans="1:42" s="9" customFormat="1" x14ac:dyDescent="0.25">
      <c r="A106" s="4">
        <v>10</v>
      </c>
      <c r="B106" s="2">
        <v>2.3283064386621501E-10</v>
      </c>
      <c r="C106" s="2">
        <v>2.3283532086628199E-10</v>
      </c>
      <c r="D106" s="2">
        <v>3.35853102857647E-10</v>
      </c>
      <c r="E106" s="2">
        <v>3.0818154005499502E-7</v>
      </c>
      <c r="F106" s="2">
        <v>1.2490325197350599E-4</v>
      </c>
      <c r="G106" s="2">
        <v>4.82290207954401E-2</v>
      </c>
      <c r="H106" s="2">
        <v>0.95360780812107604</v>
      </c>
      <c r="I106" s="2">
        <v>0.99751767843220895</v>
      </c>
      <c r="J106" s="2">
        <v>0.99751767843220895</v>
      </c>
      <c r="K106" s="2">
        <v>0.99751767843220895</v>
      </c>
      <c r="O106" s="2"/>
      <c r="P106" s="2"/>
      <c r="Q106" s="1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s="9" customFormat="1" x14ac:dyDescent="0.25">
      <c r="B107" s="2">
        <v>2.3283064379196702E-10</v>
      </c>
      <c r="C107" s="2">
        <v>2.3283400536221202E-10</v>
      </c>
      <c r="D107" s="2">
        <v>3.1466474150352499E-10</v>
      </c>
      <c r="E107" s="2">
        <v>2.6518818719706698E-7</v>
      </c>
      <c r="F107" s="2">
        <v>1.14084650603387E-4</v>
      </c>
      <c r="G107" s="2">
        <v>4.6832600283692898E-2</v>
      </c>
      <c r="H107" s="2">
        <v>0.95487034883755195</v>
      </c>
      <c r="I107" s="2">
        <v>0.99766248998374296</v>
      </c>
      <c r="J107" s="2">
        <v>0.99766248998374296</v>
      </c>
      <c r="K107" s="2">
        <v>0.99766248998374296</v>
      </c>
      <c r="O107" s="2"/>
      <c r="P107" s="2"/>
      <c r="Q107" s="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s="9" customFormat="1" x14ac:dyDescent="0.25">
      <c r="B108" s="2">
        <v>2.32830643743682E-10</v>
      </c>
      <c r="C108" s="2">
        <v>2.32833059891719E-10</v>
      </c>
      <c r="D108" s="2">
        <v>2.9783514011201301E-10</v>
      </c>
      <c r="E108" s="2">
        <v>2.2820182717152801E-7</v>
      </c>
      <c r="F108" s="2">
        <v>1.0420610774223E-4</v>
      </c>
      <c r="G108" s="2">
        <v>4.5476379698641198E-2</v>
      </c>
      <c r="H108" s="2">
        <v>0.95610215360658402</v>
      </c>
      <c r="I108" s="2">
        <v>0.99779883835708805</v>
      </c>
      <c r="J108" s="2">
        <v>0.99779883835708805</v>
      </c>
      <c r="K108" s="2">
        <v>0.99779883835708805</v>
      </c>
      <c r="O108" s="2"/>
      <c r="P108" s="2"/>
      <c r="Q108" s="1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s="9" customFormat="1" x14ac:dyDescent="0.25">
      <c r="B109" s="2">
        <v>2.3283064371228001E-10</v>
      </c>
      <c r="C109" s="2">
        <v>2.3283238035733299E-10</v>
      </c>
      <c r="D109" s="2">
        <v>2.8446738577244802E-10</v>
      </c>
      <c r="E109" s="2">
        <v>1.9638232322696499E-7</v>
      </c>
      <c r="F109" s="2">
        <v>9.5185557736109105E-5</v>
      </c>
      <c r="G109" s="2">
        <v>4.4159194894828301E-2</v>
      </c>
      <c r="H109" s="2">
        <v>0.95730374450802902</v>
      </c>
      <c r="I109" s="2">
        <v>0.99792721981593302</v>
      </c>
      <c r="J109" s="2">
        <v>0.99792721981593302</v>
      </c>
      <c r="K109" s="2">
        <v>0.99792721981593302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s="9" customFormat="1" x14ac:dyDescent="0.25">
      <c r="B110" s="2">
        <v>2.32830643691858E-10</v>
      </c>
      <c r="C110" s="2">
        <v>2.3283189195003099E-10</v>
      </c>
      <c r="D110" s="2">
        <v>2.7384918823386801E-10</v>
      </c>
      <c r="E110" s="2">
        <v>1.69007194228587E-7</v>
      </c>
      <c r="F110" s="2">
        <v>8.6948147058397898E-5</v>
      </c>
      <c r="G110" s="2">
        <v>4.2879916860105498E-2</v>
      </c>
      <c r="H110" s="2">
        <v>0.95847564958404796</v>
      </c>
      <c r="I110" s="2">
        <v>0.99804810135833899</v>
      </c>
      <c r="J110" s="2">
        <v>0.99804810135833899</v>
      </c>
      <c r="K110" s="2">
        <v>0.99804810135833899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s="9" customFormat="1" x14ac:dyDescent="0.25">
      <c r="B111" s="2">
        <v>2.32830643678577E-10</v>
      </c>
      <c r="C111" s="2">
        <v>2.3283154090752601E-10</v>
      </c>
      <c r="D111" s="2">
        <v>2.6541486119426399E-10</v>
      </c>
      <c r="E111" s="2">
        <v>1.4545510979935701E-7</v>
      </c>
      <c r="F111" s="2">
        <v>7.9425594575605404E-5</v>
      </c>
      <c r="G111" s="2">
        <v>4.1637450546132403E-2</v>
      </c>
      <c r="H111" s="2">
        <v>0.95961840160552403</v>
      </c>
      <c r="I111" s="2">
        <v>0.99816192245731294</v>
      </c>
      <c r="J111" s="2">
        <v>0.99816192245731294</v>
      </c>
      <c r="K111" s="2">
        <v>0.99816192245731294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s="9" customFormat="1" x14ac:dyDescent="0.25">
      <c r="B112" s="2">
        <v>2.3283064366993901E-10</v>
      </c>
      <c r="C112" s="2">
        <v>2.3283128859214498E-10</v>
      </c>
      <c r="D112" s="2">
        <v>2.5871513649353498E-10</v>
      </c>
      <c r="E112" s="2">
        <v>1.25191705808106E-7</v>
      </c>
      <c r="F112" s="2">
        <v>7.2555609271340898E-5</v>
      </c>
      <c r="G112" s="2">
        <v>4.0430733741371502E-2</v>
      </c>
      <c r="H112" s="2">
        <v>0.96073253691487404</v>
      </c>
      <c r="I112" s="2">
        <v>0.99826909669684605</v>
      </c>
      <c r="J112" s="2">
        <v>0.99826909669684605</v>
      </c>
      <c r="K112" s="2">
        <v>0.99826909669684605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2:42" s="9" customFormat="1" x14ac:dyDescent="0.25">
      <c r="B113" s="2">
        <v>2.32830643664321E-10</v>
      </c>
      <c r="C113" s="2">
        <v>2.3283110723534598E-10</v>
      </c>
      <c r="D113" s="2">
        <v>2.53393196471712E-10</v>
      </c>
      <c r="E113" s="2">
        <v>1.07757393102252E-7</v>
      </c>
      <c r="F113" s="2">
        <v>6.6281360185081601E-5</v>
      </c>
      <c r="G113" s="2">
        <v>3.92587359853988E-2</v>
      </c>
      <c r="H113" s="2">
        <v>0.96181859434277095</v>
      </c>
      <c r="I113" s="2">
        <v>0.99837001330971598</v>
      </c>
      <c r="J113" s="2">
        <v>0.99837001330971598</v>
      </c>
      <c r="K113" s="2">
        <v>0.99837001330971598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2:42" s="9" customFormat="1" x14ac:dyDescent="0.25">
      <c r="B114" s="2">
        <v>2.3283064366066699E-10</v>
      </c>
      <c r="C114" s="2">
        <v>2.32830976879742E-10</v>
      </c>
      <c r="D114" s="2">
        <v>2.4916564286012797E-10</v>
      </c>
      <c r="E114" s="2">
        <v>9.27568786521766E-8</v>
      </c>
      <c r="F114" s="2">
        <v>6.0550993810001701E-5</v>
      </c>
      <c r="G114" s="2">
        <v>3.8120457523324103E-2</v>
      </c>
      <c r="H114" s="2">
        <v>0.96287711419618605</v>
      </c>
      <c r="I114" s="2">
        <v>0.99846503862298897</v>
      </c>
      <c r="J114" s="2">
        <v>0.99846503862298897</v>
      </c>
      <c r="K114" s="2">
        <v>0.99846503862298897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2:42" s="9" customFormat="1" x14ac:dyDescent="0.25">
      <c r="B115" s="2">
        <v>2.3283064365829101E-10</v>
      </c>
      <c r="C115" s="2">
        <v>2.3283088318159601E-10</v>
      </c>
      <c r="D115" s="2">
        <v>2.4580738490633502E-10</v>
      </c>
      <c r="E115" s="2">
        <v>7.9850157971498699E-8</v>
      </c>
      <c r="F115" s="2">
        <v>5.5317194635415497E-5</v>
      </c>
      <c r="G115" s="2">
        <v>3.7014928299041398E-2</v>
      </c>
      <c r="H115" s="2">
        <v>0.96390863731507903</v>
      </c>
      <c r="I115" s="2">
        <v>0.99855451741677204</v>
      </c>
      <c r="J115" s="2">
        <v>0.99855451741677204</v>
      </c>
      <c r="K115" s="2">
        <v>0.99855451741677204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2:42" s="9" customFormat="1" x14ac:dyDescent="0.25">
      <c r="B116" s="2">
        <v>2.3283064365674501E-10</v>
      </c>
      <c r="C116" s="2">
        <v>2.3283081583162901E-10</v>
      </c>
      <c r="D116" s="2">
        <v>2.43139639206305E-10</v>
      </c>
      <c r="E116" s="2">
        <v>6.8744771740702401E-8</v>
      </c>
      <c r="F116" s="2">
        <v>5.0536784918916903E-5</v>
      </c>
      <c r="G116" s="2">
        <v>3.5941206985995601E-2</v>
      </c>
      <c r="H116" s="2">
        <v>0.96491370419508005</v>
      </c>
      <c r="I116" s="2">
        <v>0.99863877420150604</v>
      </c>
      <c r="J116" s="2">
        <v>0.99863877420150504</v>
      </c>
      <c r="K116" s="2">
        <v>0.99863877420150604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42" s="9" customFormat="1" x14ac:dyDescent="0.25">
      <c r="B117" s="2">
        <v>2.3283064365573999E-10</v>
      </c>
      <c r="C117" s="2">
        <v>2.3283076742012301E-10</v>
      </c>
      <c r="D117" s="2">
        <v>2.4102040020158602E-10</v>
      </c>
      <c r="E117" s="2">
        <v>5.9189148794231397E-8</v>
      </c>
      <c r="F117" s="2">
        <v>4.6170360135082698E-5</v>
      </c>
      <c r="G117" s="2">
        <v>3.4898380054159198E-2</v>
      </c>
      <c r="H117" s="2">
        <v>0.96589285417340398</v>
      </c>
      <c r="I117" s="2">
        <v>0.99871811441868796</v>
      </c>
      <c r="J117" s="2">
        <v>0.99871811441868796</v>
      </c>
      <c r="K117" s="2">
        <v>0.99871811441868796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42" s="9" customFormat="1" x14ac:dyDescent="0.25">
      <c r="B118" s="2">
        <v>2.32830643655086E-10</v>
      </c>
      <c r="C118" s="2">
        <v>2.32830732621318E-10</v>
      </c>
      <c r="D118" s="2">
        <v>2.3933687243554402E-10</v>
      </c>
      <c r="E118" s="2">
        <v>5.0966882721494801E-8</v>
      </c>
      <c r="F118" s="2">
        <v>4.2181956875240998E-5</v>
      </c>
      <c r="G118" s="2">
        <v>3.3885560871892803E-2</v>
      </c>
      <c r="H118" s="2">
        <v>0.96684662467530003</v>
      </c>
      <c r="I118" s="2">
        <v>0.99879282556969895</v>
      </c>
      <c r="J118" s="2">
        <v>0.99879282556969895</v>
      </c>
      <c r="K118" s="2">
        <v>0.99879282556969995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42" s="9" customFormat="1" x14ac:dyDescent="0.25">
      <c r="B119" s="2">
        <v>2.3283064365466098E-10</v>
      </c>
      <c r="C119" s="2">
        <v>2.3283070760725003E-10</v>
      </c>
      <c r="D119" s="2">
        <v>2.3799946054388498E-10</v>
      </c>
      <c r="E119" s="2">
        <v>4.3891810869929101E-8</v>
      </c>
      <c r="F119" s="2">
        <v>3.8538750269657297E-5</v>
      </c>
      <c r="G119" s="2">
        <v>3.2901888841366099E-2</v>
      </c>
      <c r="H119" s="2">
        <v>0.96777555051831299</v>
      </c>
      <c r="I119" s="2">
        <v>0.99886317827706295</v>
      </c>
      <c r="J119" s="2">
        <v>0.99886317827706295</v>
      </c>
      <c r="K119" s="2">
        <v>0.99886317827706295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42" s="9" customFormat="1" x14ac:dyDescent="0.25">
      <c r="B120" s="2">
        <v>2.3283064365438398E-10</v>
      </c>
      <c r="C120" s="2">
        <v>2.3283068962647701E-10</v>
      </c>
      <c r="D120" s="2">
        <v>2.3693699620657999E-10</v>
      </c>
      <c r="E120" s="2">
        <v>3.7803783028509302E-8</v>
      </c>
      <c r="F120" s="2">
        <v>3.5210778272389199E-5</v>
      </c>
      <c r="G120" s="2">
        <v>3.1946528566251797E-2</v>
      </c>
      <c r="H120" s="2">
        <v>0.96868016327167805</v>
      </c>
      <c r="I120" s="2">
        <v>0.99892942728224798</v>
      </c>
      <c r="J120" s="2">
        <v>0.99892942728224798</v>
      </c>
      <c r="K120" s="2">
        <v>0.99892942728224798</v>
      </c>
    </row>
    <row r="121" spans="2:42" s="9" customFormat="1" x14ac:dyDescent="0.25">
      <c r="B121" s="2">
        <v>2.3283064365420402E-10</v>
      </c>
      <c r="C121" s="2">
        <v>2.3283067670131202E-10</v>
      </c>
      <c r="D121" s="2">
        <v>2.3609294737517499E-10</v>
      </c>
      <c r="E121" s="2">
        <v>3.2565022946010297E-8</v>
      </c>
      <c r="F121" s="2">
        <v>3.2170690392823401E-5</v>
      </c>
      <c r="G121" s="2">
        <v>3.1018669050401099E-2</v>
      </c>
      <c r="H121" s="2">
        <v>0.96956099066819901</v>
      </c>
      <c r="I121" s="2">
        <v>0.99899181238385004</v>
      </c>
      <c r="J121" s="2">
        <v>0.99899181238385004</v>
      </c>
      <c r="K121" s="2">
        <v>0.99899181238385004</v>
      </c>
    </row>
    <row r="122" spans="2:42" s="9" customFormat="1" x14ac:dyDescent="0.25">
      <c r="B122" s="2">
        <v>2.3283064365408702E-10</v>
      </c>
      <c r="C122" s="2">
        <v>2.3283066741020498E-10</v>
      </c>
      <c r="D122" s="2">
        <v>2.3542240755283799E-10</v>
      </c>
      <c r="E122" s="2">
        <v>2.80569994710125E-8</v>
      </c>
      <c r="F122" s="2">
        <v>2.9393518678843498E-5</v>
      </c>
      <c r="G122" s="2">
        <v>3.0117522926265999E-2</v>
      </c>
      <c r="H122" s="2">
        <v>0.97041855606599303</v>
      </c>
      <c r="I122" s="2">
        <v>0.99905055931976405</v>
      </c>
      <c r="J122" s="2">
        <v>0.99905055931976405</v>
      </c>
      <c r="K122" s="2">
        <v>0.99905055931976405</v>
      </c>
    </row>
    <row r="123" spans="2:42" s="9" customFormat="1" x14ac:dyDescent="0.25">
      <c r="B123" s="2">
        <v>2.3283064365401103E-10</v>
      </c>
      <c r="C123" s="2">
        <v>2.3283066073134802E-10</v>
      </c>
      <c r="D123" s="2">
        <v>2.3488970455476102E-10</v>
      </c>
      <c r="E123" s="2">
        <v>2.41777358083078E-8</v>
      </c>
      <c r="F123" s="2">
        <v>2.6856468956913001E-5</v>
      </c>
      <c r="G123" s="2">
        <v>2.92423257118356E-2</v>
      </c>
      <c r="H123" s="2">
        <v>0.97125337795757405</v>
      </c>
      <c r="I123" s="2">
        <v>0.99910588059674299</v>
      </c>
      <c r="J123" s="2">
        <v>0.99910588059674299</v>
      </c>
      <c r="K123" s="2">
        <v>0.99910588059674299</v>
      </c>
    </row>
    <row r="124" spans="2:42" s="9" customFormat="1" x14ac:dyDescent="0.25">
      <c r="B124" s="2">
        <v>2.3283064365396201E-10</v>
      </c>
      <c r="C124" s="2">
        <v>2.32830655930258E-10</v>
      </c>
      <c r="D124" s="2">
        <v>2.34466501243948E-10</v>
      </c>
      <c r="E124" s="2">
        <v>2.0839495441980999E-8</v>
      </c>
      <c r="F124" s="2">
        <v>2.45387305160302E-5</v>
      </c>
      <c r="G124" s="2">
        <v>2.8392335094916999E-2</v>
      </c>
      <c r="H124" s="2">
        <v>0.972065969523768</v>
      </c>
      <c r="I124" s="2">
        <v>0.99915797627050895</v>
      </c>
      <c r="J124" s="2">
        <v>0.99915797627050895</v>
      </c>
      <c r="K124" s="2">
        <v>0.99915797627050895</v>
      </c>
    </row>
    <row r="125" spans="2:42" s="9" customFormat="1" x14ac:dyDescent="0.25">
      <c r="B125" s="2">
        <v>2.3283064365393001E-10</v>
      </c>
      <c r="C125" s="2">
        <v>2.3283065247897402E-10</v>
      </c>
      <c r="D125" s="2">
        <v>2.3413028699159302E-10</v>
      </c>
      <c r="E125" s="2">
        <v>1.7966791912856699E-8</v>
      </c>
      <c r="F125" s="2">
        <v>2.2421302587330301E-5</v>
      </c>
      <c r="G125" s="2">
        <v>2.75668302436008E-2</v>
      </c>
      <c r="H125" s="2">
        <v>0.97285683823004798</v>
      </c>
      <c r="I125" s="2">
        <v>0.99920703467942296</v>
      </c>
      <c r="J125" s="2">
        <v>0.99920703467942296</v>
      </c>
      <c r="K125" s="2">
        <v>0.99920703467942396</v>
      </c>
    </row>
    <row r="126" spans="2:42" s="9" customFormat="1" x14ac:dyDescent="0.25">
      <c r="B126" s="2">
        <v>2.3283064365390902E-10</v>
      </c>
      <c r="C126" s="2">
        <v>2.3283064999798898E-10</v>
      </c>
      <c r="D126" s="2">
        <v>2.3386317945697599E-10</v>
      </c>
      <c r="E126" s="2">
        <v>1.5494677058055701E-8</v>
      </c>
      <c r="F126" s="2">
        <v>2.0486836120643001E-5</v>
      </c>
      <c r="G126" s="2">
        <v>2.6765111141823301E-2</v>
      </c>
      <c r="H126" s="2">
        <v>0.97362648546293096</v>
      </c>
      <c r="I126" s="2">
        <v>0.99925323313450998</v>
      </c>
      <c r="J126" s="2">
        <v>0.99925323313450998</v>
      </c>
      <c r="K126" s="2">
        <v>0.99925323313450998</v>
      </c>
    </row>
    <row r="127" spans="2:42" s="9" customFormat="1" x14ac:dyDescent="0.25">
      <c r="B127" s="2">
        <v>2.3283064365389501E-10</v>
      </c>
      <c r="C127" s="2">
        <v>2.3283064821450098E-10</v>
      </c>
      <c r="D127" s="2">
        <v>2.3365097283382301E-10</v>
      </c>
      <c r="E127" s="2">
        <v>1.3367268695191699E-8</v>
      </c>
      <c r="F127" s="2">
        <v>1.8719489495019701E-5</v>
      </c>
      <c r="G127" s="2">
        <v>2.5986497948937901E-2</v>
      </c>
      <c r="H127" s="2">
        <v>0.97437540620416996</v>
      </c>
      <c r="I127" s="2">
        <v>0.99929673856846402</v>
      </c>
      <c r="J127" s="2">
        <v>0.99929673856846402</v>
      </c>
      <c r="K127" s="2">
        <v>0.99929673856846402</v>
      </c>
    </row>
    <row r="128" spans="2:42" s="9" customFormat="1" x14ac:dyDescent="0.25">
      <c r="B128" s="2">
        <v>2.3283064365388602E-10</v>
      </c>
      <c r="C128" s="2">
        <v>2.3283064693241002E-10</v>
      </c>
      <c r="D128" s="2">
        <v>2.3348238185322998E-10</v>
      </c>
      <c r="E128" s="2">
        <v>1.1536484211034701E-8</v>
      </c>
      <c r="F128" s="2">
        <v>1.7104796923440901E-5</v>
      </c>
      <c r="G128" s="2">
        <v>2.52303303822944E-2</v>
      </c>
      <c r="H128" s="2">
        <v>0.97510408874052601</v>
      </c>
      <c r="I128" s="2">
        <v>0.999337708146121</v>
      </c>
      <c r="J128" s="2">
        <v>0.999337708146121</v>
      </c>
      <c r="K128" s="2">
        <v>0.999337708146121</v>
      </c>
    </row>
    <row r="129" spans="2:11" s="9" customFormat="1" x14ac:dyDescent="0.25">
      <c r="B129" s="2">
        <v>2.3283064365388002E-10</v>
      </c>
      <c r="C129" s="2">
        <v>2.3283064601075199E-10</v>
      </c>
      <c r="D129" s="2">
        <v>2.3334844127003601E-10</v>
      </c>
      <c r="E129" s="2">
        <v>9.9609512209980394E-9</v>
      </c>
      <c r="F129" s="2">
        <v>1.56295484237717E-5</v>
      </c>
      <c r="G129" s="2">
        <v>2.4495967121816401E-2</v>
      </c>
      <c r="H129" s="2">
        <v>0.97581301440701096</v>
      </c>
      <c r="I129" s="2">
        <v>0.99937628983870996</v>
      </c>
      <c r="J129" s="2">
        <v>0.99937628983870996</v>
      </c>
      <c r="K129" s="2">
        <v>0.99937628983870996</v>
      </c>
    </row>
    <row r="130" spans="2:11" s="9" customFormat="1" x14ac:dyDescent="0.25">
      <c r="B130" s="2">
        <v>2.3283064365387702E-10</v>
      </c>
      <c r="C130" s="2">
        <v>2.3283064534819598E-10</v>
      </c>
      <c r="D130" s="2">
        <v>2.33242028847428E-10</v>
      </c>
      <c r="E130" s="2">
        <v>8.6050705103791092E-9</v>
      </c>
      <c r="F130" s="2">
        <v>1.42816803295985E-5</v>
      </c>
      <c r="G130" s="2">
        <v>2.3782785235658299E-2</v>
      </c>
      <c r="H130" s="2">
        <v>0.97650265736156305</v>
      </c>
      <c r="I130" s="2">
        <v>0.99941262296405697</v>
      </c>
      <c r="J130" s="2">
        <v>0.99941262296405697</v>
      </c>
      <c r="K130" s="2">
        <v>0.99941262296405697</v>
      </c>
    </row>
    <row r="131" spans="2:11" s="9" customFormat="1" x14ac:dyDescent="0.25">
      <c r="B131" s="2">
        <v>2.3283064365387402E-10</v>
      </c>
      <c r="C131" s="2">
        <v>2.3283064487189897E-10</v>
      </c>
      <c r="D131" s="2">
        <v>2.3315748643624302E-10</v>
      </c>
      <c r="E131" s="2">
        <v>7.4382099442736504E-9</v>
      </c>
      <c r="F131" s="2">
        <v>1.30501754068644E-5</v>
      </c>
      <c r="G131" s="2">
        <v>2.30901796260208E-2</v>
      </c>
      <c r="H131" s="2">
        <v>0.97717348438917295</v>
      </c>
      <c r="I131" s="2">
        <v>0.999446838694797</v>
      </c>
      <c r="J131" s="2">
        <v>0.999446838694797</v>
      </c>
      <c r="K131" s="2">
        <v>0.999446838694797</v>
      </c>
    </row>
    <row r="132" spans="2:11" s="9" customFormat="1" x14ac:dyDescent="0.25">
      <c r="B132" s="2">
        <v>2.3283064365387299E-10</v>
      </c>
      <c r="C132" s="2">
        <v>2.3283064452949899E-10</v>
      </c>
      <c r="D132" s="2">
        <v>2.3309031897235599E-10</v>
      </c>
      <c r="E132" s="2">
        <v>6.4340110206308301E-9</v>
      </c>
      <c r="F132" s="2">
        <v>1.19249717260545E-5</v>
      </c>
      <c r="G132" s="2">
        <v>2.2417562494269499E-2</v>
      </c>
      <c r="H132" s="2">
        <v>0.977825954733609</v>
      </c>
      <c r="I132" s="2">
        <v>0.99947906053650903</v>
      </c>
      <c r="J132" s="2">
        <v>0.99947906053650903</v>
      </c>
      <c r="K132" s="2">
        <v>0.99947906053650903</v>
      </c>
    </row>
    <row r="133" spans="2:11" s="9" customFormat="1" x14ac:dyDescent="0.25">
      <c r="B133" s="2">
        <v>2.3283064365387201E-10</v>
      </c>
      <c r="C133" s="2">
        <v>2.3283064428335299E-10</v>
      </c>
      <c r="D133" s="2">
        <v>2.3303695536659702E-10</v>
      </c>
      <c r="E133" s="2">
        <v>5.5697923088566803E-9</v>
      </c>
      <c r="F133" s="2">
        <v>1.08968795158574E-5</v>
      </c>
      <c r="G133" s="2">
        <v>2.1764362824533499E-2</v>
      </c>
      <c r="H133" s="2">
        <v>0.978460519954926</v>
      </c>
      <c r="I133" s="2">
        <v>0.999509404777568</v>
      </c>
      <c r="J133" s="2">
        <v>0.999509404777568</v>
      </c>
      <c r="K133" s="2">
        <v>0.999509404777568</v>
      </c>
    </row>
    <row r="134" spans="2:11" s="9" customFormat="1" x14ac:dyDescent="0.25">
      <c r="B134" s="2">
        <v>4.6566128730774102E-10</v>
      </c>
      <c r="C134" s="2">
        <v>4.6566128776027695E-10</v>
      </c>
      <c r="D134" s="2">
        <v>4.6582520449442201E-10</v>
      </c>
      <c r="E134" s="2">
        <v>5.0589009830283804E-9</v>
      </c>
      <c r="F134" s="2">
        <v>9.9577587814567998E-6</v>
      </c>
      <c r="G134" s="2">
        <v>2.11300284190299E-2</v>
      </c>
      <c r="H134" s="2">
        <v>0.979077623602157</v>
      </c>
      <c r="I134" s="2">
        <v>0.99953798059876298</v>
      </c>
      <c r="J134" s="2">
        <v>0.99953798059876298</v>
      </c>
      <c r="K134" s="2">
        <v>0.99953798059876298</v>
      </c>
    </row>
    <row r="135" spans="2:11" s="9" customFormat="1" x14ac:dyDescent="0.25">
      <c r="B135" s="2">
        <v>4.6566128730773998E-10</v>
      </c>
      <c r="C135" s="2">
        <v>4.6566128763306701E-10</v>
      </c>
      <c r="D135" s="2">
        <v>4.6579152023568097E-10</v>
      </c>
      <c r="E135" s="2">
        <v>4.4188096651553503E-9</v>
      </c>
      <c r="F135" s="2">
        <v>9.0994355108035902E-6</v>
      </c>
      <c r="G135" s="2">
        <v>2.0514015244274101E-2</v>
      </c>
      <c r="H135" s="2">
        <v>0.979677701955594</v>
      </c>
      <c r="I135" s="2">
        <v>0.99956489173077301</v>
      </c>
      <c r="J135" s="2">
        <v>0.99956489173077301</v>
      </c>
      <c r="K135" s="2">
        <v>0.99956489173077301</v>
      </c>
    </row>
    <row r="136" spans="2:11" s="9" customFormat="1" x14ac:dyDescent="0.25">
      <c r="B136" s="2">
        <v>4.6566128730773998E-10</v>
      </c>
      <c r="C136" s="2">
        <v>4.6566128754161703E-10</v>
      </c>
      <c r="D136" s="2">
        <v>4.6576475823651303E-10</v>
      </c>
      <c r="E136" s="2">
        <v>3.8679330284420896E-9</v>
      </c>
      <c r="F136" s="2">
        <v>8.3151612615597503E-6</v>
      </c>
      <c r="G136" s="2">
        <v>1.9915802278439601E-2</v>
      </c>
      <c r="H136" s="2">
        <v>0.980261182690221</v>
      </c>
      <c r="I136" s="2">
        <v>0.99959023493309496</v>
      </c>
      <c r="J136" s="2">
        <v>0.99959023493309496</v>
      </c>
      <c r="K136" s="2">
        <v>0.99959023493309496</v>
      </c>
    </row>
    <row r="137" spans="2:11" s="9" customFormat="1" x14ac:dyDescent="0.25">
      <c r="B137" s="2">
        <v>4.6566128730773998E-10</v>
      </c>
      <c r="C137" s="2">
        <v>4.6566128747587499E-10</v>
      </c>
      <c r="D137" s="2">
        <v>4.65743495869727E-10</v>
      </c>
      <c r="E137" s="2">
        <v>3.3938337764033802E-9</v>
      </c>
      <c r="F137" s="2">
        <v>7.5985396740572796E-6</v>
      </c>
      <c r="G137" s="2">
        <v>1.9334880815373601E-2</v>
      </c>
      <c r="H137" s="2">
        <v>0.98082848566340897</v>
      </c>
      <c r="I137" s="2">
        <v>0.99961410161553699</v>
      </c>
      <c r="J137" s="2">
        <v>0.99961410161553699</v>
      </c>
      <c r="K137" s="2">
        <v>0.99961410161553699</v>
      </c>
    </row>
    <row r="138" spans="2:11" s="9" customFormat="1" x14ac:dyDescent="0.25">
      <c r="B138" s="2">
        <v>4.6566128730773998E-10</v>
      </c>
      <c r="C138" s="2">
        <v>4.6566128742861196E-10</v>
      </c>
      <c r="D138" s="2">
        <v>4.6572660289763701E-10</v>
      </c>
      <c r="E138" s="2">
        <v>2.9858089881295299E-9</v>
      </c>
      <c r="F138" s="2">
        <v>6.9437279558322099E-6</v>
      </c>
      <c r="G138" s="2">
        <v>1.8770756600547899E-2</v>
      </c>
      <c r="H138" s="2">
        <v>0.98138002266565405</v>
      </c>
      <c r="I138" s="2">
        <v>0.99963657785164495</v>
      </c>
      <c r="J138" s="2">
        <v>0.99963657785164495</v>
      </c>
      <c r="K138" s="2">
        <v>0.99963657785164495</v>
      </c>
    </row>
    <row r="139" spans="2:11" s="9" customFormat="1" x14ac:dyDescent="0.25">
      <c r="B139" s="2">
        <v>4.65661287307739E-10</v>
      </c>
      <c r="C139" s="2">
        <v>4.6566128739463499E-10</v>
      </c>
      <c r="D139" s="2">
        <v>4.6571318137318603E-10</v>
      </c>
      <c r="E139" s="2">
        <v>2.6346481652930198E-9</v>
      </c>
      <c r="F139" s="2">
        <v>6.34538883722504E-6</v>
      </c>
      <c r="G139" s="2">
        <v>1.8222949410231198E-2</v>
      </c>
      <c r="H139" s="2">
        <v>0.98191619739937996</v>
      </c>
      <c r="I139" s="2">
        <v>0.99965774469106905</v>
      </c>
      <c r="J139" s="2">
        <v>0.99965774469106905</v>
      </c>
      <c r="K139" s="2">
        <v>0.99965774469106905</v>
      </c>
    </row>
    <row r="140" spans="2:11" s="9" customFormat="1" x14ac:dyDescent="0.25">
      <c r="B140" s="2">
        <v>4.65661287307739E-10</v>
      </c>
      <c r="C140" s="2">
        <v>4.6566128737021001E-10</v>
      </c>
      <c r="D140" s="2">
        <v>4.6570251789521899E-10</v>
      </c>
      <c r="E140" s="2">
        <v>2.3324250503841601E-9</v>
      </c>
      <c r="F140" s="2">
        <v>5.7986467143858003E-6</v>
      </c>
      <c r="G140" s="2">
        <v>1.7690992644360099E-2</v>
      </c>
      <c r="H140" s="2">
        <v>0.982437405473083</v>
      </c>
      <c r="I140" s="2">
        <v>0.99967767845353905</v>
      </c>
      <c r="J140" s="2">
        <v>0.99967767845353905</v>
      </c>
      <c r="K140" s="2">
        <v>0.99967767845353905</v>
      </c>
    </row>
    <row r="141" spans="2:11" s="9" customFormat="1" x14ac:dyDescent="0.25">
      <c r="B141" s="2">
        <v>4.65661287307739E-10</v>
      </c>
      <c r="C141" s="2">
        <v>4.6566128735265E-10</v>
      </c>
      <c r="D141" s="2">
        <v>4.6569404567803302E-10</v>
      </c>
      <c r="E141" s="2">
        <v>2.0723184991721602E-9</v>
      </c>
      <c r="F141" s="2">
        <v>5.2990476124734803E-6</v>
      </c>
      <c r="G141" s="2">
        <v>1.71744329325457E-2</v>
      </c>
      <c r="H141" s="2">
        <v>0.98294403440961298</v>
      </c>
      <c r="I141" s="2">
        <v>0.99969645100556603</v>
      </c>
      <c r="J141" s="2">
        <v>0.99969645100556603</v>
      </c>
      <c r="K141" s="2">
        <v>0.99969645100556603</v>
      </c>
    </row>
    <row r="142" spans="2:11" s="9" customFormat="1" x14ac:dyDescent="0.25">
      <c r="B142" s="2">
        <v>4.65661287307739E-10</v>
      </c>
      <c r="C142" s="2">
        <v>4.6566128734002598E-10</v>
      </c>
      <c r="D142" s="2">
        <v>4.6568731441759299E-10</v>
      </c>
      <c r="E142" s="2">
        <v>1.8484583498460099E-9</v>
      </c>
      <c r="F142" s="2">
        <v>4.8425226343231197E-6</v>
      </c>
      <c r="G142" s="2">
        <v>1.6672829752687E-2</v>
      </c>
      <c r="H142" s="2">
        <v>0.98343646366745496</v>
      </c>
      <c r="I142" s="2">
        <v>0.99971413002086895</v>
      </c>
      <c r="J142" s="2">
        <v>0.99971413002086895</v>
      </c>
      <c r="K142" s="2">
        <v>0.99971413002086895</v>
      </c>
    </row>
    <row r="143" spans="2:11" s="9" customFormat="1" x14ac:dyDescent="0.25">
      <c r="B143" s="2">
        <v>4.65661287307739E-10</v>
      </c>
      <c r="C143" s="2">
        <v>4.6566128733095005E-10</v>
      </c>
      <c r="D143" s="2">
        <v>4.65681966351617E-10</v>
      </c>
      <c r="E143" s="2">
        <v>1.65579279844115E-9</v>
      </c>
      <c r="F143" s="2">
        <v>4.4253545894337803E-6</v>
      </c>
      <c r="G143" s="2">
        <v>1.61857550616917E-2</v>
      </c>
      <c r="H143" s="2">
        <v>0.98391506467393797</v>
      </c>
      <c r="I143" s="2">
        <v>0.99973077922550502</v>
      </c>
      <c r="J143" s="2">
        <v>0.99973077922550502</v>
      </c>
      <c r="K143" s="2">
        <v>0.99973077922550602</v>
      </c>
    </row>
    <row r="144" spans="2:11" s="9" customFormat="1" x14ac:dyDescent="0.25">
      <c r="B144" s="2">
        <v>4.65661287307739E-10</v>
      </c>
      <c r="C144" s="2">
        <v>4.6566128732442597E-10</v>
      </c>
      <c r="D144" s="2">
        <v>4.6567771724028401E-10</v>
      </c>
      <c r="E144" s="2">
        <v>1.4899742779422999E-9</v>
      </c>
      <c r="F144" s="2">
        <v>4.0441475250593604E-6</v>
      </c>
      <c r="G144" s="2">
        <v>1.57127929378191E-2</v>
      </c>
      <c r="H144" s="2">
        <v>0.98438020086934597</v>
      </c>
      <c r="I144" s="2">
        <v>0.999746458628614</v>
      </c>
      <c r="J144" s="2">
        <v>0.999746458628614</v>
      </c>
      <c r="K144" s="2">
        <v>0.999746458628614</v>
      </c>
    </row>
    <row r="145" spans="2:11" s="9" customFormat="1" x14ac:dyDescent="0.25">
      <c r="B145" s="2">
        <v>4.65661287307739E-10</v>
      </c>
      <c r="C145" s="2">
        <v>4.6566128731973503E-10</v>
      </c>
      <c r="D145" s="2">
        <v>4.6567434125608803E-10</v>
      </c>
      <c r="E145" s="2">
        <v>1.34726125799405E-9</v>
      </c>
      <c r="F145" s="2">
        <v>3.69579890571848E-6</v>
      </c>
      <c r="G145" s="2">
        <v>1.5253539234195101E-2</v>
      </c>
      <c r="H145" s="2">
        <v>0.984832227760993</v>
      </c>
      <c r="I145" s="2">
        <v>0.99976122473961404</v>
      </c>
      <c r="J145" s="2">
        <v>0.99976122473961404</v>
      </c>
      <c r="K145" s="2">
        <v>0.99976122473961404</v>
      </c>
    </row>
    <row r="146" spans="2:11" s="9" customFormat="1" x14ac:dyDescent="0.25">
      <c r="B146" s="2">
        <v>4.65661287307739E-10</v>
      </c>
      <c r="C146" s="2">
        <v>4.6566128731636396E-10</v>
      </c>
      <c r="D146" s="2">
        <v>4.6567165897929196E-10</v>
      </c>
      <c r="E146" s="2">
        <v>1.22443374301107E-9</v>
      </c>
      <c r="F146" s="2">
        <v>3.3774742097753699E-6</v>
      </c>
      <c r="G146" s="2">
        <v>1.48076012430674E-2</v>
      </c>
      <c r="H146" s="2">
        <v>0.98527149298633998</v>
      </c>
      <c r="I146" s="2">
        <v>0.999775130772659</v>
      </c>
      <c r="J146" s="2">
        <v>0.999775130772659</v>
      </c>
      <c r="K146" s="2">
        <v>0.999775130772659</v>
      </c>
    </row>
    <row r="147" spans="2:11" s="9" customFormat="1" x14ac:dyDescent="0.25">
      <c r="B147" s="2">
        <v>4.65661287307739E-10</v>
      </c>
      <c r="C147" s="2">
        <v>4.6566128731393898E-10</v>
      </c>
      <c r="D147" s="2">
        <v>4.6566952786064001E-10</v>
      </c>
      <c r="E147" s="2">
        <v>1.1187205568758799E-9</v>
      </c>
      <c r="F147" s="2">
        <v>3.0865837321023602E-6</v>
      </c>
      <c r="G147" s="2">
        <v>1.4374597370385E-2</v>
      </c>
      <c r="H147" s="2">
        <v>0.98569833638433102</v>
      </c>
      <c r="I147" s="2">
        <v>0.99978822683911495</v>
      </c>
      <c r="J147" s="2">
        <v>0.99978822683911495</v>
      </c>
      <c r="K147" s="2">
        <v>0.99978822683911495</v>
      </c>
    </row>
    <row r="148" spans="2:11" s="9" customFormat="1" x14ac:dyDescent="0.25">
      <c r="B148" s="2">
        <v>4.65661287307739E-10</v>
      </c>
      <c r="C148" s="2">
        <v>4.6566128731219704E-10</v>
      </c>
      <c r="D148" s="2">
        <v>4.6566783464418896E-10</v>
      </c>
      <c r="E148" s="2">
        <v>1.0277367694126799E-9</v>
      </c>
      <c r="F148" s="2">
        <v>2.82076140037665E-6</v>
      </c>
      <c r="G148" s="2">
        <v>1.39541568203158E-2</v>
      </c>
      <c r="H148" s="2">
        <v>0.98611309007413805</v>
      </c>
      <c r="I148" s="2">
        <v>0.99980056012874896</v>
      </c>
      <c r="J148" s="2">
        <v>0.99980056012874896</v>
      </c>
      <c r="K148" s="2">
        <v>0.99980056012874896</v>
      </c>
    </row>
    <row r="149" spans="2:11" s="9" customFormat="1" x14ac:dyDescent="0.25">
      <c r="B149" s="2">
        <v>4.65661287307739E-10</v>
      </c>
      <c r="C149" s="2">
        <v>4.6566128731094396E-10</v>
      </c>
      <c r="D149" s="2">
        <v>4.6566648934740504E-10</v>
      </c>
      <c r="E149" s="2">
        <v>9.4942984950397603E-10</v>
      </c>
      <c r="F149" s="2">
        <v>2.5778454294631899E-6</v>
      </c>
      <c r="G149" s="2">
        <v>1.35459192893304E-2</v>
      </c>
      <c r="H149" s="2">
        <v>0.98651607854057999</v>
      </c>
      <c r="I149" s="2">
        <v>0.99981217508030995</v>
      </c>
      <c r="J149" s="2">
        <v>0.99981217508030995</v>
      </c>
      <c r="K149" s="2">
        <v>0.99981217508030995</v>
      </c>
    </row>
    <row r="150" spans="2:11" s="9" customFormat="1" x14ac:dyDescent="0.25">
      <c r="B150" s="2">
        <v>4.65661287307739E-10</v>
      </c>
      <c r="C150" s="2">
        <v>4.6566128731004296E-10</v>
      </c>
      <c r="D150" s="2">
        <v>4.6566542047842397E-10</v>
      </c>
      <c r="E150" s="2">
        <v>8.8203332729569E-10</v>
      </c>
      <c r="F150" s="2">
        <v>2.3558606537381499E-6</v>
      </c>
      <c r="G150" s="2">
        <v>1.31495346694955E-2</v>
      </c>
      <c r="H150" s="2">
        <v>0.98690761872551303</v>
      </c>
      <c r="I150" s="2">
        <v>0.99982311354211295</v>
      </c>
      <c r="J150" s="2">
        <v>0.99982311354211295</v>
      </c>
      <c r="K150" s="2">
        <v>0.99982311354211295</v>
      </c>
    </row>
    <row r="151" spans="2:11" s="9" customFormat="1" x14ac:dyDescent="0.25">
      <c r="B151" s="2">
        <v>4.65661287307739E-10</v>
      </c>
      <c r="C151" s="2">
        <v>4.65661287309396E-10</v>
      </c>
      <c r="D151" s="2">
        <v>4.6566457123623198E-10</v>
      </c>
      <c r="E151" s="2">
        <v>8.2402691790820502E-10</v>
      </c>
      <c r="F151" s="2">
        <v>2.1530023912416999E-6</v>
      </c>
      <c r="G151" s="2">
        <v>1.2764662760644399E-2</v>
      </c>
      <c r="H151" s="2">
        <v>0.98728802012454098</v>
      </c>
      <c r="I151" s="2">
        <v>0.99983341492323297</v>
      </c>
      <c r="J151" s="2">
        <v>0.99983341492323297</v>
      </c>
      <c r="K151" s="2">
        <v>0.99983341492323297</v>
      </c>
    </row>
    <row r="152" spans="2:11" s="9" customFormat="1" x14ac:dyDescent="0.25">
      <c r="B152" s="2">
        <v>4.65661287307739E-10</v>
      </c>
      <c r="C152" s="2">
        <v>4.6566128730892998E-10</v>
      </c>
      <c r="D152" s="2">
        <v>4.6566389649174703E-10</v>
      </c>
      <c r="E152" s="2">
        <v>7.7410220529619398E-10</v>
      </c>
      <c r="F152" s="2">
        <v>1.9676217063489799E-6</v>
      </c>
      <c r="G152" s="2">
        <v>1.2390972991101101E-2</v>
      </c>
      <c r="H152" s="2">
        <v>0.98765758488844502</v>
      </c>
      <c r="I152" s="2">
        <v>0.99984311633584499</v>
      </c>
      <c r="J152" s="2">
        <v>0.99984311633584499</v>
      </c>
      <c r="K152" s="2">
        <v>0.99984311633584499</v>
      </c>
    </row>
    <row r="153" spans="2:11" s="9" customFormat="1" x14ac:dyDescent="0.25">
      <c r="B153" s="2">
        <v>4.65661287307739E-10</v>
      </c>
      <c r="C153" s="2">
        <v>4.6566128730859498E-10</v>
      </c>
      <c r="D153" s="2">
        <v>4.6566336038928805E-10</v>
      </c>
      <c r="E153" s="2">
        <v>7.3113311069988097E-10</v>
      </c>
      <c r="F153" s="2">
        <v>1.79821194931132E-6</v>
      </c>
      <c r="G153" s="2">
        <v>1.2028144146655999E-2</v>
      </c>
      <c r="H153" s="2">
        <v>0.98801660792874302</v>
      </c>
      <c r="I153" s="2">
        <v>0.99985225272923905</v>
      </c>
      <c r="J153" s="2">
        <v>0.99985225272923905</v>
      </c>
      <c r="K153" s="2">
        <v>0.99985225272923905</v>
      </c>
    </row>
    <row r="154" spans="2:11" s="9" customFormat="1" x14ac:dyDescent="0.25">
      <c r="B154" s="2">
        <v>4.65661287307739E-10</v>
      </c>
      <c r="C154" s="2">
        <v>4.6566128730835499E-10</v>
      </c>
      <c r="D154" s="2">
        <v>4.6566293444096598E-10</v>
      </c>
      <c r="E154" s="2">
        <v>6.9415047836128396E-10</v>
      </c>
      <c r="F154" s="2">
        <v>1.64339646165893E-6</v>
      </c>
      <c r="G154" s="2">
        <v>1.16758641075012E-2</v>
      </c>
      <c r="H154" s="2">
        <v>0.98836537702687399</v>
      </c>
      <c r="I154" s="2">
        <v>0.99986085701599903</v>
      </c>
      <c r="J154" s="2">
        <v>0.99986085701599903</v>
      </c>
      <c r="K154" s="2">
        <v>0.99986085701599903</v>
      </c>
    </row>
    <row r="155" spans="2:11" s="9" customFormat="1" x14ac:dyDescent="0.25">
      <c r="B155" s="2">
        <v>4.65661287307739E-10</v>
      </c>
      <c r="C155" s="2">
        <v>4.6566128730818201E-10</v>
      </c>
      <c r="D155" s="2">
        <v>4.6566259601266904E-10</v>
      </c>
      <c r="E155" s="2">
        <v>6.6232020429580204E-10</v>
      </c>
      <c r="F155" s="2">
        <v>1.5019173461554001E-6</v>
      </c>
      <c r="G155" s="2">
        <v>1.13338295928489E-2</v>
      </c>
      <c r="H155" s="2">
        <v>0.98870417294649704</v>
      </c>
      <c r="I155" s="2">
        <v>0.99986896019080196</v>
      </c>
      <c r="J155" s="2">
        <v>0.99986896019080196</v>
      </c>
      <c r="K155" s="2">
        <v>0.99986896019080296</v>
      </c>
    </row>
    <row r="156" spans="2:11" s="9" customFormat="1" x14ac:dyDescent="0.25">
      <c r="B156" s="2">
        <v>4.65661287307739E-10</v>
      </c>
      <c r="C156" s="2">
        <v>4.65661287308057E-10</v>
      </c>
      <c r="D156" s="2">
        <v>4.6566232712117796E-10</v>
      </c>
      <c r="E156" s="2">
        <v>6.3492441402553196E-10</v>
      </c>
      <c r="F156" s="2">
        <v>1.37262520884017E-6</v>
      </c>
      <c r="G156" s="2">
        <v>1.10017459129686E-2</v>
      </c>
      <c r="H156" s="2">
        <v>0.98903326954844895</v>
      </c>
      <c r="I156" s="2">
        <v>0.99987659144228203</v>
      </c>
      <c r="J156" s="2">
        <v>0.99987659144228203</v>
      </c>
      <c r="K156" s="2">
        <v>0.99987659144228203</v>
      </c>
    </row>
    <row r="157" spans="2:11" s="9" customFormat="1" x14ac:dyDescent="0.25">
      <c r="B157" s="2">
        <v>4.65661287307739E-10</v>
      </c>
      <c r="C157" s="2">
        <v>4.6566128730796797E-10</v>
      </c>
      <c r="D157" s="2">
        <v>4.6566211347846799E-10</v>
      </c>
      <c r="E157" s="2">
        <v>6.1134526411194899E-10</v>
      </c>
      <c r="F157" s="2">
        <v>1.2544697887645501E-6</v>
      </c>
      <c r="G157" s="2">
        <v>1.06793267283941E-2</v>
      </c>
      <c r="H157" s="2">
        <v>0.98935293390793599</v>
      </c>
      <c r="I157" s="2">
        <v>0.99988377825834396</v>
      </c>
      <c r="J157" s="2">
        <v>0.99988377825834396</v>
      </c>
      <c r="K157" s="2">
        <v>0.99988377825834396</v>
      </c>
    </row>
    <row r="158" spans="2:11" s="9" customFormat="1" x14ac:dyDescent="0.25">
      <c r="B158" s="2">
        <v>4.65661287307739E-10</v>
      </c>
      <c r="C158" s="2">
        <v>4.6566128730790397E-10</v>
      </c>
      <c r="D158" s="2">
        <v>4.6566194373240103E-10</v>
      </c>
      <c r="E158" s="2">
        <v>5.9105100163521597E-10</v>
      </c>
      <c r="F158" s="2">
        <v>1.14649139838456E-6</v>
      </c>
      <c r="G158" s="2">
        <v>1.0366293816055E-2</v>
      </c>
      <c r="H158" s="2">
        <v>0.98966342643357297</v>
      </c>
      <c r="I158" s="2">
        <v>0.99989054652533904</v>
      </c>
      <c r="J158" s="2">
        <v>0.99989054652533904</v>
      </c>
      <c r="K158" s="2">
        <v>0.99989054652533904</v>
      </c>
    </row>
    <row r="159" spans="2:11" s="9" customFormat="1" x14ac:dyDescent="0.25">
      <c r="B159" s="2">
        <v>4.65661287307739E-10</v>
      </c>
      <c r="C159" s="2">
        <v>4.6566128730785703E-10</v>
      </c>
      <c r="D159" s="2">
        <v>4.6566180886344704E-10</v>
      </c>
      <c r="E159" s="2">
        <v>5.7358396679883202E-10</v>
      </c>
      <c r="F159" s="2">
        <v>1.0478131042891301E-6</v>
      </c>
      <c r="G159" s="2">
        <v>1.00623768421078E-2</v>
      </c>
      <c r="H159" s="2">
        <v>0.98996500098788198</v>
      </c>
      <c r="I159" s="2">
        <v>0.99989692062143698</v>
      </c>
      <c r="J159" s="2">
        <v>0.99989692062143698</v>
      </c>
      <c r="K159" s="2">
        <v>0.99989692062143698</v>
      </c>
    </row>
    <row r="160" spans="2:11" s="9" customFormat="1" x14ac:dyDescent="0.25">
      <c r="B160" s="2">
        <v>4.65661287307739E-10</v>
      </c>
      <c r="C160" s="2">
        <v>4.6566128730782404E-10</v>
      </c>
      <c r="D160" s="2">
        <v>4.6566170170537495E-10</v>
      </c>
      <c r="E160" s="2">
        <v>5.5855026774849095E-10</v>
      </c>
      <c r="F160" s="2">
        <v>9.5763358406545406E-7</v>
      </c>
      <c r="G160" s="2">
        <v>9.7673131412466894E-3</v>
      </c>
      <c r="H160" s="2">
        <v>0.99025790500894195</v>
      </c>
      <c r="I160" s="2">
        <v>0.999902923504559</v>
      </c>
      <c r="J160" s="2">
        <v>0.999902923504559</v>
      </c>
      <c r="K160" s="2">
        <v>0.999902923504559</v>
      </c>
    </row>
    <row r="161" spans="2:11" s="9" customFormat="1" x14ac:dyDescent="0.25">
      <c r="B161" s="2">
        <v>4.65661287307739E-10</v>
      </c>
      <c r="C161" s="2">
        <v>4.6566128730779995E-10</v>
      </c>
      <c r="D161" s="2">
        <v>4.6566161656443695E-10</v>
      </c>
      <c r="E161" s="2">
        <v>5.4561089447653105E-10</v>
      </c>
      <c r="F161" s="2">
        <v>8.7522060069307304E-7</v>
      </c>
      <c r="G161" s="2">
        <v>9.4808475022801503E-3</v>
      </c>
      <c r="H161" s="2">
        <v>0.99054237963285097</v>
      </c>
      <c r="I161" s="2">
        <v>0.99990857679515799</v>
      </c>
      <c r="J161" s="2">
        <v>0.99990857679515799</v>
      </c>
      <c r="K161" s="2">
        <v>0.99990857679515799</v>
      </c>
    </row>
    <row r="162" spans="2:11" s="9" customFormat="1" x14ac:dyDescent="0.25">
      <c r="B162" s="2">
        <v>4.65661287307739E-10</v>
      </c>
      <c r="C162" s="2">
        <v>4.6566128730778299E-10</v>
      </c>
      <c r="D162" s="2">
        <v>4.6566154891680296E-10</v>
      </c>
      <c r="E162" s="2">
        <v>5.3447407119467695E-10</v>
      </c>
      <c r="F162" s="2">
        <v>7.9990504095583796E-7</v>
      </c>
      <c r="G162" s="2">
        <v>9.2027319597787604E-3</v>
      </c>
      <c r="H162" s="2">
        <v>0.990818659816734</v>
      </c>
      <c r="I162" s="2">
        <v>0.99991390085418796</v>
      </c>
      <c r="J162" s="2">
        <v>0.99991390085418796</v>
      </c>
      <c r="K162" s="2">
        <v>0.99991390085418796</v>
      </c>
    </row>
    <row r="163" spans="2:11" s="9" customFormat="1" x14ac:dyDescent="0.25">
      <c r="B163" s="2">
        <v>4.65661287307739E-10</v>
      </c>
      <c r="C163" s="2">
        <v>4.65661287307771E-10</v>
      </c>
      <c r="D163" s="2">
        <v>4.6566149516816495E-10</v>
      </c>
      <c r="E163" s="2">
        <v>5.2488867453297003E-10</v>
      </c>
      <c r="F163" s="2">
        <v>7.3107546901472898E-7</v>
      </c>
      <c r="G163" s="2">
        <v>8.9327255915970794E-3</v>
      </c>
      <c r="H163" s="2">
        <v>0.99108697446201499</v>
      </c>
      <c r="I163" s="2">
        <v>0.99991891485650697</v>
      </c>
      <c r="J163" s="2">
        <v>0.99991891485650697</v>
      </c>
      <c r="K163" s="2">
        <v>0.99991891485650697</v>
      </c>
    </row>
    <row r="164" spans="2:11" s="9" customFormat="1" x14ac:dyDescent="0.25">
      <c r="B164" s="2">
        <v>4.65661287307739E-10</v>
      </c>
      <c r="C164" s="2">
        <v>4.6566128730776201E-10</v>
      </c>
      <c r="D164" s="2">
        <v>4.6566145246274402E-10</v>
      </c>
      <c r="E164" s="2">
        <v>5.1663856899565304E-10</v>
      </c>
      <c r="F164" s="2">
        <v>6.6817315053082001E-7</v>
      </c>
      <c r="G164" s="2">
        <v>8.6705943220897006E-3</v>
      </c>
      <c r="H164" s="2">
        <v>0.99134754653772506</v>
      </c>
      <c r="I164" s="2">
        <v>0.99992363686000696</v>
      </c>
      <c r="J164" s="2">
        <v>0.99992363686000696</v>
      </c>
      <c r="K164" s="2">
        <v>0.99992363686000696</v>
      </c>
    </row>
    <row r="165" spans="2:11" s="9" customFormat="1" x14ac:dyDescent="0.25">
      <c r="B165" s="2">
        <v>4.65661287307739E-10</v>
      </c>
      <c r="C165" s="2">
        <v>4.6566128730775601E-10</v>
      </c>
      <c r="D165" s="2">
        <v>4.6566141853154197E-10</v>
      </c>
      <c r="E165" s="2">
        <v>5.0953773181965704E-10</v>
      </c>
      <c r="F165" s="2">
        <v>6.1068750660263697E-7</v>
      </c>
      <c r="G165" s="2">
        <v>8.4161107308411906E-3</v>
      </c>
      <c r="H165" s="2">
        <v>0.99160059320361804</v>
      </c>
      <c r="I165" s="2">
        <v>0.99992808387070398</v>
      </c>
      <c r="J165" s="2">
        <v>0.99992808387070398</v>
      </c>
      <c r="K165" s="2">
        <v>0.99992808387070398</v>
      </c>
    </row>
    <row r="166" spans="2:11" s="9" customFormat="1" x14ac:dyDescent="0.25">
      <c r="B166" s="2">
        <v>4.65661287307739E-10</v>
      </c>
      <c r="C166" s="2">
        <v>4.6566128730775105E-10</v>
      </c>
      <c r="D166" s="2">
        <v>4.6566139157176901E-10</v>
      </c>
      <c r="E166" s="2">
        <v>5.03426057206995E-10</v>
      </c>
      <c r="F166" s="2">
        <v>5.5815196031956798E-7</v>
      </c>
      <c r="G166" s="2">
        <v>8.1690538667439205E-3</v>
      </c>
      <c r="H166" s="2">
        <v>0.99184632593288902</v>
      </c>
      <c r="I166" s="2">
        <v>0.999932271904036</v>
      </c>
      <c r="J166" s="2">
        <v>0.999932271904036</v>
      </c>
      <c r="K166" s="2">
        <v>0.999932271904036</v>
      </c>
    </row>
    <row r="167" spans="2:11" s="9" customFormat="1" x14ac:dyDescent="0.25">
      <c r="B167" s="2">
        <v>4.65661287307739E-10</v>
      </c>
      <c r="C167" s="2">
        <v>4.6566128730774805E-10</v>
      </c>
      <c r="D167" s="2">
        <v>4.6566137015105396E-10</v>
      </c>
      <c r="E167" s="2">
        <v>4.9816574524192698E-10</v>
      </c>
      <c r="F167" s="2">
        <v>5.1014014196182404E-7</v>
      </c>
      <c r="G167" s="2">
        <v>7.9292090672592203E-3</v>
      </c>
      <c r="H167" s="2">
        <v>0.99208495063431601</v>
      </c>
      <c r="I167" s="2">
        <v>0.99993621604258298</v>
      </c>
      <c r="J167" s="2">
        <v>0.99993621604258298</v>
      </c>
      <c r="K167" s="2">
        <v>0.99993621604258298</v>
      </c>
    </row>
    <row r="168" spans="2:11" s="9" customFormat="1" x14ac:dyDescent="0.25">
      <c r="B168" s="2">
        <v>4.65661287307739E-10</v>
      </c>
      <c r="C168" s="2">
        <v>4.6566128730774505E-10</v>
      </c>
      <c r="D168" s="2">
        <v>4.6566135313132999E-10</v>
      </c>
      <c r="E168" s="2">
        <v>4.9363819400409004E-10</v>
      </c>
      <c r="F168" s="2">
        <v>4.6626242182422901E-7</v>
      </c>
      <c r="G168" s="2">
        <v>7.6963677827064101E-3</v>
      </c>
      <c r="H168" s="2">
        <v>0.99231666777365202</v>
      </c>
      <c r="I168" s="2">
        <v>0.99993993049042196</v>
      </c>
      <c r="J168" s="2">
        <v>0.99993993049042196</v>
      </c>
      <c r="K168" s="2">
        <v>0.99993993049042096</v>
      </c>
    </row>
    <row r="169" spans="2:11" s="9" customFormat="1" x14ac:dyDescent="0.25">
      <c r="B169" s="2">
        <v>4.65661287307739E-10</v>
      </c>
      <c r="C169" s="2">
        <v>4.6566128730774401E-10</v>
      </c>
      <c r="D169" s="2">
        <v>4.6566133960836503E-10</v>
      </c>
      <c r="E169" s="2">
        <v>4.8974132474839204E-10</v>
      </c>
      <c r="F169" s="2">
        <v>4.2616274233190202E-7</v>
      </c>
      <c r="G169" s="2">
        <v>7.47032740543051E-3</v>
      </c>
      <c r="H169" s="2">
        <v>0.99254167249411696</v>
      </c>
      <c r="I169" s="2">
        <v>0.99994342862431096</v>
      </c>
      <c r="J169" s="2">
        <v>0.99994342862431096</v>
      </c>
      <c r="K169" s="2">
        <v>0.99994342862431096</v>
      </c>
    </row>
    <row r="170" spans="2:11" s="9" customFormat="1" x14ac:dyDescent="0.25">
      <c r="B170" s="2">
        <v>4.65661287307739E-10</v>
      </c>
      <c r="C170" s="2">
        <v>4.6566128730774205E-10</v>
      </c>
      <c r="D170" s="2">
        <v>4.6566132886371704E-10</v>
      </c>
      <c r="E170" s="2">
        <v>4.86387279798079E-10</v>
      </c>
      <c r="F170" s="2">
        <v>3.89515723571822E-7</v>
      </c>
      <c r="G170" s="2">
        <v>7.2508911037029201E-3</v>
      </c>
      <c r="H170" s="2">
        <v>0.992760154735853</v>
      </c>
      <c r="I170" s="2">
        <v>0.99994672304189203</v>
      </c>
      <c r="J170" s="2">
        <v>0.99994672304189203</v>
      </c>
      <c r="K170" s="2">
        <v>0.99994672304189203</v>
      </c>
    </row>
    <row r="171" spans="2:11" s="9" customFormat="1" x14ac:dyDescent="0.25">
      <c r="B171" s="2">
        <v>4.65661287307739E-10</v>
      </c>
      <c r="C171" s="2">
        <v>4.6566128730774102E-10</v>
      </c>
      <c r="D171" s="2">
        <v>4.6566132032655696E-10</v>
      </c>
      <c r="E171" s="2">
        <v>4.8350044120998898E-10</v>
      </c>
      <c r="F171" s="2">
        <v>3.5602401860707502E-7</v>
      </c>
      <c r="G171" s="2">
        <v>7.0378676602175097E-3</v>
      </c>
      <c r="H171" s="2">
        <v>0.99297229935421705</v>
      </c>
      <c r="I171" s="2">
        <v>0.99994982560708001</v>
      </c>
      <c r="J171" s="2">
        <v>0.99994982560708001</v>
      </c>
      <c r="K171" s="2">
        <v>0.99994982560708001</v>
      </c>
    </row>
    <row r="172" spans="2:11" s="9" customFormat="1" x14ac:dyDescent="0.25">
      <c r="B172" s="2">
        <v>4.65661287307739E-10</v>
      </c>
      <c r="C172" s="2">
        <v>4.6566128730774102E-10</v>
      </c>
      <c r="D172" s="2">
        <v>4.6566131354334103E-10</v>
      </c>
      <c r="E172" s="2">
        <v>4.8101572551067902E-10</v>
      </c>
      <c r="F172" s="2">
        <v>3.2541589698761998E-7</v>
      </c>
      <c r="G172" s="2">
        <v>6.8310713150480998E-3</v>
      </c>
      <c r="H172" s="2">
        <v>0.99317828623679705</v>
      </c>
      <c r="I172" s="2">
        <v>0.99995274749280705</v>
      </c>
      <c r="J172" s="2">
        <v>0.99995274749280705</v>
      </c>
      <c r="K172" s="2">
        <v>0.99995274749280705</v>
      </c>
    </row>
    <row r="173" spans="2:11" s="9" customFormat="1" x14ac:dyDescent="0.25">
      <c r="B173" s="2">
        <v>4.65661287307739E-10</v>
      </c>
      <c r="C173" s="2">
        <v>4.6566128730773998E-10</v>
      </c>
      <c r="D173" s="2">
        <v>4.6566130815371102E-10</v>
      </c>
      <c r="E173" s="2">
        <v>4.7887711603251804E-10</v>
      </c>
      <c r="F173" s="2">
        <v>2.9744303674128702E-7</v>
      </c>
      <c r="G173" s="2">
        <v>6.6303216129365503E-3</v>
      </c>
      <c r="H173" s="2">
        <v>0.99337829041906101</v>
      </c>
      <c r="I173" s="2">
        <v>0.99995549922127802</v>
      </c>
      <c r="J173" s="2">
        <v>0.99995549922127802</v>
      </c>
      <c r="K173" s="2">
        <v>0.99995549922127802</v>
      </c>
    </row>
    <row r="174" spans="2:11" s="9" customFormat="1" x14ac:dyDescent="0.25">
      <c r="B174" s="2">
        <v>4.65661287307739E-10</v>
      </c>
      <c r="C174" s="2">
        <v>4.6566128730773998E-10</v>
      </c>
      <c r="D174" s="2">
        <v>4.6566130387134901E-10</v>
      </c>
      <c r="E174" s="2">
        <v>4.7703639974060901E-10</v>
      </c>
      <c r="F174" s="2">
        <v>2.7187850683521901E-7</v>
      </c>
      <c r="G174" s="2">
        <v>6.4354432547911698E-3</v>
      </c>
      <c r="H174" s="2">
        <v>0.993572482198537</v>
      </c>
      <c r="I174" s="2">
        <v>0.99995809070187502</v>
      </c>
      <c r="J174" s="2">
        <v>0.99995809070187502</v>
      </c>
      <c r="K174" s="2">
        <v>0.99995809070187502</v>
      </c>
    </row>
    <row r="175" spans="2:11" s="9" customFormat="1" x14ac:dyDescent="0.25">
      <c r="B175" s="2">
        <v>4.65661287307739E-10</v>
      </c>
      <c r="C175" s="2">
        <v>4.6566128730773998E-10</v>
      </c>
      <c r="D175" s="2">
        <v>4.6566130046876297E-10</v>
      </c>
      <c r="E175" s="2">
        <v>4.7545208005577204E-10</v>
      </c>
      <c r="F175" s="2">
        <v>2.48514923657443E-7</v>
      </c>
      <c r="G175" s="2">
        <v>6.2462659532712796E-3</v>
      </c>
      <c r="H175" s="2">
        <v>0.99376102724746695</v>
      </c>
      <c r="I175" s="2">
        <v>0.99996053126685402</v>
      </c>
      <c r="J175" s="2">
        <v>0.99996053126685402</v>
      </c>
      <c r="K175" s="2">
        <v>0.99996053126685402</v>
      </c>
    </row>
    <row r="176" spans="2:11" s="9" customFormat="1" x14ac:dyDescent="0.25">
      <c r="B176" s="2">
        <v>4.65661287307739E-10</v>
      </c>
      <c r="C176" s="2">
        <v>4.6566128730773998E-10</v>
      </c>
      <c r="D176" s="2">
        <v>4.6566129776520296E-10</v>
      </c>
      <c r="E176" s="2">
        <v>4.74088441149982E-10</v>
      </c>
      <c r="F176" s="2">
        <v>2.2716276649094999E-7</v>
      </c>
      <c r="G176" s="2">
        <v>6.0626242923452599E-3</v>
      </c>
      <c r="H176" s="2">
        <v>0.99394408672383905</v>
      </c>
      <c r="I176" s="2">
        <v>0.99996282970496597</v>
      </c>
      <c r="J176" s="2">
        <v>0.99996282970496597</v>
      </c>
      <c r="K176" s="2">
        <v>0.99996282970496597</v>
      </c>
    </row>
    <row r="177" spans="2:11" s="9" customFormat="1" x14ac:dyDescent="0.25">
      <c r="B177" s="2">
        <v>4.65661287307739E-10</v>
      </c>
      <c r="C177" s="2">
        <v>4.6566128730773998E-10</v>
      </c>
      <c r="D177" s="2">
        <v>4.6566129561705399E-10</v>
      </c>
      <c r="E177" s="2">
        <v>4.7291474260822496E-10</v>
      </c>
      <c r="F177" s="2">
        <v>2.0764883825332501E-7</v>
      </c>
      <c r="G177" s="2">
        <v>5.88435759070839E-3</v>
      </c>
      <c r="H177" s="2">
        <v>0.994121817380757</v>
      </c>
      <c r="I177" s="2">
        <v>0.99996499429311403</v>
      </c>
      <c r="J177" s="2">
        <v>0.99996499429311403</v>
      </c>
      <c r="K177" s="2">
        <v>0.99996499429311403</v>
      </c>
    </row>
    <row r="178" spans="2:11" s="9" customFormat="1" x14ac:dyDescent="0.25">
      <c r="B178" s="2">
        <v>4.65661287307739E-10</v>
      </c>
      <c r="C178" s="2">
        <v>4.6566128730773998E-10</v>
      </c>
      <c r="D178" s="2">
        <v>4.6566129391020795E-10</v>
      </c>
      <c r="E178" s="2">
        <v>4.7190452629201102E-10</v>
      </c>
      <c r="F178" s="2">
        <v>1.8981485896153301E-7</v>
      </c>
      <c r="G178" s="2">
        <v>5.71130976895271E-3</v>
      </c>
      <c r="H178" s="2">
        <v>0.99429437167409995</v>
      </c>
      <c r="I178" s="2">
        <v>0.99996703282616295</v>
      </c>
      <c r="J178" s="2">
        <v>0.99996703282616295</v>
      </c>
      <c r="K178" s="2">
        <v>0.99996703282616295</v>
      </c>
    </row>
    <row r="179" spans="2:11" s="9" customFormat="1" x14ac:dyDescent="0.25">
      <c r="B179" s="2">
        <v>4.65661287307739E-10</v>
      </c>
      <c r="C179" s="2">
        <v>4.65661287307739E-10</v>
      </c>
      <c r="D179" s="2">
        <v>4.6566129255400305E-10</v>
      </c>
      <c r="E179" s="2">
        <v>4.7103501977108501E-10</v>
      </c>
      <c r="F179" s="2">
        <v>1.7351618046627599E-7</v>
      </c>
      <c r="G179" s="2">
        <v>5.5433292203865697E-3</v>
      </c>
      <c r="H179" s="2">
        <v>0.994461897868407</v>
      </c>
      <c r="I179" s="2">
        <v>0.99996895264502195</v>
      </c>
      <c r="J179" s="2">
        <v>0.99996895264502195</v>
      </c>
      <c r="K179" s="2">
        <v>0.99996895264502195</v>
      </c>
    </row>
    <row r="180" spans="2:11" s="9" customFormat="1" x14ac:dyDescent="0.25">
      <c r="B180" s="2">
        <v>4.65661287307739E-10</v>
      </c>
      <c r="C180" s="2">
        <v>4.65661287307739E-10</v>
      </c>
      <c r="D180" s="2">
        <v>4.6566129147639898E-10</v>
      </c>
      <c r="E180" s="2">
        <v>4.7028662286833798E-10</v>
      </c>
      <c r="F180" s="2">
        <v>1.58620611990211E-7</v>
      </c>
      <c r="G180" s="2">
        <v>5.3802686853977001E-3</v>
      </c>
      <c r="H180" s="2">
        <v>0.99462454014097101</v>
      </c>
      <c r="I180" s="2">
        <v>0.99997076066308099</v>
      </c>
      <c r="J180" s="2">
        <v>0.99997076066308099</v>
      </c>
      <c r="K180" s="2">
        <v>0.99997076066308099</v>
      </c>
    </row>
    <row r="181" spans="2:11" s="9" customFormat="1" x14ac:dyDescent="0.25">
      <c r="B181" s="2">
        <v>4.65661287307739E-10</v>
      </c>
      <c r="C181" s="2">
        <v>4.65661287307739E-10</v>
      </c>
      <c r="D181" s="2">
        <v>4.65661290620162E-10</v>
      </c>
      <c r="E181" s="2">
        <v>4.6964246573787795E-10</v>
      </c>
      <c r="F181" s="2">
        <v>1.4500734690895E-7</v>
      </c>
      <c r="G181" s="2">
        <v>5.2219851292683497E-3</v>
      </c>
      <c r="H181" s="2">
        <v>0.99478243868410299</v>
      </c>
      <c r="I181" s="2">
        <v>0.99997246339111301</v>
      </c>
      <c r="J181" s="2">
        <v>0.99997246339111301</v>
      </c>
      <c r="K181" s="2">
        <v>0.99997246339111301</v>
      </c>
    </row>
    <row r="182" spans="2:11" s="9" customFormat="1" x14ac:dyDescent="0.25">
      <c r="B182" s="2">
        <v>4.65661287307739E-10</v>
      </c>
      <c r="C182" s="2">
        <v>4.65661287307739E-10</v>
      </c>
      <c r="D182" s="2">
        <v>4.6566128993981401E-10</v>
      </c>
      <c r="E182" s="2">
        <v>4.6908802850975295E-10</v>
      </c>
      <c r="F182" s="2">
        <v>1.3256598204004E-7</v>
      </c>
      <c r="G182" s="2">
        <v>5.0683396233428E-3</v>
      </c>
      <c r="H182" s="2">
        <v>0.99493572980554001</v>
      </c>
      <c r="I182" s="2">
        <v>0.999974066960721</v>
      </c>
      <c r="J182" s="2">
        <v>0.999974066960721</v>
      </c>
      <c r="K182" s="2">
        <v>0.999974066960721</v>
      </c>
    </row>
    <row r="183" spans="2:11" s="9" customFormat="1" x14ac:dyDescent="0.25">
      <c r="B183" s="2">
        <v>4.65661287307739E-10</v>
      </c>
      <c r="C183" s="2">
        <v>4.65661287307739E-10</v>
      </c>
      <c r="D183" s="2">
        <v>4.6566128939922201E-10</v>
      </c>
      <c r="E183" s="2">
        <v>4.6861081392356403E-10</v>
      </c>
      <c r="F183" s="2">
        <v>1.2119562145942601E-7</v>
      </c>
      <c r="G183" s="2">
        <v>4.9191972294561704E-3</v>
      </c>
      <c r="H183" s="2">
        <v>0.99508454602698804</v>
      </c>
      <c r="I183" s="2">
        <v>0.99997557714642404</v>
      </c>
      <c r="J183" s="2">
        <v>0.99997557714642404</v>
      </c>
      <c r="K183" s="2">
        <v>0.99997557714642404</v>
      </c>
    </row>
    <row r="184" spans="2:11" s="9" customFormat="1" x14ac:dyDescent="0.25">
      <c r="B184" s="2">
        <v>4.65661287307739E-10</v>
      </c>
      <c r="C184" s="2">
        <v>4.65661287307739E-10</v>
      </c>
      <c r="D184" s="2">
        <v>4.6566128896967301E-10</v>
      </c>
      <c r="E184" s="2">
        <v>4.6820006556843301E-10</v>
      </c>
      <c r="F184" s="2">
        <v>1.1080405755450699E-7</v>
      </c>
      <c r="G184" s="2">
        <v>4.7744268875383102E-3</v>
      </c>
      <c r="H184" s="2">
        <v>0.99522901618076698</v>
      </c>
      <c r="I184" s="2">
        <v>0.99997699938645501</v>
      </c>
      <c r="J184" s="2">
        <v>0.99997699938645601</v>
      </c>
      <c r="K184" s="2">
        <v>0.99997699938645601</v>
      </c>
    </row>
    <row r="185" spans="2:11" s="9" customFormat="1" x14ac:dyDescent="0.25">
      <c r="B185" s="2">
        <v>4.65661287307739E-10</v>
      </c>
      <c r="C185" s="2">
        <v>4.65661287307739E-10</v>
      </c>
      <c r="D185" s="2">
        <v>4.6566128862835802E-10</v>
      </c>
      <c r="E185" s="2">
        <v>4.6784652537536797E-10</v>
      </c>
      <c r="F185" s="2">
        <v>1.01307022652268E-7</v>
      </c>
      <c r="G185" s="2">
        <v>4.6339013063026301E-3</v>
      </c>
      <c r="H185" s="2">
        <v>0.99536926550457905</v>
      </c>
      <c r="I185" s="2">
        <v>0.99997833880234299</v>
      </c>
      <c r="J185" s="2">
        <v>0.99997833880234299</v>
      </c>
      <c r="K185" s="2">
        <v>0.99997833880234299</v>
      </c>
    </row>
    <row r="186" spans="2:11" s="9" customFormat="1" x14ac:dyDescent="0.25">
      <c r="B186" s="2">
        <v>4.65661287307739E-10</v>
      </c>
      <c r="C186" s="2">
        <v>4.65661287307739E-10</v>
      </c>
      <c r="D186" s="2">
        <v>4.6566128835715001E-10</v>
      </c>
      <c r="E186" s="2">
        <v>4.6754222489344901E-10</v>
      </c>
      <c r="F186" s="2">
        <v>9.2627505136349598E-8</v>
      </c>
      <c r="G186" s="2">
        <v>4.4974968569385203E-3</v>
      </c>
      <c r="H186" s="2">
        <v>0.99550541573436302</v>
      </c>
      <c r="I186" s="2">
        <v>0.99997960021735899</v>
      </c>
      <c r="J186" s="2">
        <v>0.99997960021735899</v>
      </c>
      <c r="K186" s="2">
        <v>0.99997960021735899</v>
      </c>
    </row>
    <row r="187" spans="2:11" s="9" customFormat="1" x14ac:dyDescent="0.25">
      <c r="B187" s="2">
        <v>4.65661287307739E-10</v>
      </c>
      <c r="C187" s="2">
        <v>4.65661287307739E-10</v>
      </c>
      <c r="D187" s="2">
        <v>4.6566128814164702E-10</v>
      </c>
      <c r="E187" s="2">
        <v>4.6728030564311502E-10</v>
      </c>
      <c r="F187" s="2">
        <v>8.4695124492183097E-8</v>
      </c>
      <c r="G187" s="2">
        <v>4.3650934697252904E-3</v>
      </c>
      <c r="H187" s="2">
        <v>0.99563758519525702</v>
      </c>
      <c r="I187" s="2">
        <v>0.99998078817388703</v>
      </c>
      <c r="J187" s="2">
        <v>0.99998078817388703</v>
      </c>
      <c r="K187" s="2">
        <v>0.99998078817388703</v>
      </c>
    </row>
    <row r="188" spans="2:11" s="9" customFormat="1" x14ac:dyDescent="0.25">
      <c r="B188" s="2">
        <v>4.65661287307739E-10</v>
      </c>
      <c r="C188" s="2">
        <v>4.65661287307739E-10</v>
      </c>
      <c r="D188" s="2">
        <v>4.6566128797040698E-10</v>
      </c>
      <c r="E188" s="2">
        <v>4.6705486449567203E-10</v>
      </c>
      <c r="F188" s="2">
        <v>7.7445560199389606E-8</v>
      </c>
      <c r="G188" s="2">
        <v>4.2365745334887904E-3</v>
      </c>
      <c r="H188" s="2">
        <v>0.99576588889066298</v>
      </c>
      <c r="I188" s="2">
        <v>0.99998190694978295</v>
      </c>
      <c r="J188" s="2">
        <v>0.99998190694978295</v>
      </c>
      <c r="K188" s="2">
        <v>0.99998190694978295</v>
      </c>
    </row>
    <row r="189" spans="2:11" s="9" customFormat="1" x14ac:dyDescent="0.25">
      <c r="B189" s="2">
        <v>4.65661287307739E-10</v>
      </c>
      <c r="C189" s="2">
        <v>4.65661287307739E-10</v>
      </c>
      <c r="D189" s="2">
        <v>4.6566128783433701E-10</v>
      </c>
      <c r="E189" s="2">
        <v>4.6686082059249304E-10</v>
      </c>
      <c r="F189" s="2">
        <v>7.0820029829117202E-8</v>
      </c>
      <c r="G189" s="2">
        <v>4.1118267978238398E-3</v>
      </c>
      <c r="H189" s="2">
        <v>0.99589043858941995</v>
      </c>
      <c r="I189" s="2">
        <v>0.999982960573779</v>
      </c>
      <c r="J189" s="2">
        <v>0.999982960573779</v>
      </c>
      <c r="K189" s="2">
        <v>0.999982960573779</v>
      </c>
    </row>
    <row r="190" spans="2:11" s="9" customFormat="1" x14ac:dyDescent="0.25">
      <c r="B190" s="2">
        <v>4.65661287307739E-10</v>
      </c>
      <c r="C190" s="2">
        <v>4.65661287307739E-10</v>
      </c>
      <c r="D190" s="2">
        <v>4.6566128772621303E-10</v>
      </c>
      <c r="E190" s="2">
        <v>4.6669380080314196E-10</v>
      </c>
      <c r="F190" s="2">
        <v>6.4764812104573104E-8</v>
      </c>
      <c r="G190" s="2">
        <v>3.9907402780079504E-3</v>
      </c>
      <c r="H190" s="2">
        <v>0.99601134291109605</v>
      </c>
      <c r="I190" s="2">
        <v>0.99998395283999197</v>
      </c>
      <c r="J190" s="2">
        <v>0.99998395283999097</v>
      </c>
      <c r="K190" s="2">
        <v>0.99998395283999097</v>
      </c>
    </row>
    <row r="191" spans="2:11" s="9" customFormat="1" x14ac:dyDescent="0.25">
      <c r="B191" s="2">
        <v>4.65661287307739E-10</v>
      </c>
      <c r="C191" s="2">
        <v>4.65661287307739E-10</v>
      </c>
      <c r="D191" s="2">
        <v>4.6566128764029399E-10</v>
      </c>
      <c r="E191" s="2">
        <v>4.6655004113974102E-10</v>
      </c>
      <c r="F191" s="2">
        <v>5.9230811048981399E-8</v>
      </c>
      <c r="G191" s="2">
        <v>3.8732081625346198E-3</v>
      </c>
      <c r="H191" s="2">
        <v>0.99612870740941095</v>
      </c>
      <c r="I191" s="2">
        <v>0.99998488732158597</v>
      </c>
      <c r="J191" s="2">
        <v>0.99998488732158597</v>
      </c>
      <c r="K191" s="2">
        <v>0.99998488732158597</v>
      </c>
    </row>
    <row r="192" spans="2:11" s="9" customFormat="1" x14ac:dyDescent="0.25">
      <c r="B192" s="2">
        <v>4.65661287307739E-10</v>
      </c>
      <c r="C192" s="2">
        <v>4.65661287307739E-10</v>
      </c>
      <c r="D192" s="2">
        <v>4.6566128757202005E-10</v>
      </c>
      <c r="E192" s="2">
        <v>4.6642630190469303E-10</v>
      </c>
      <c r="F192" s="2">
        <v>5.41731576795932E-8</v>
      </c>
      <c r="G192" s="2">
        <v>3.75912672319543E-3</v>
      </c>
      <c r="H192" s="2">
        <v>0.99624263465380103</v>
      </c>
      <c r="I192" s="2">
        <v>0.99998576738364497</v>
      </c>
      <c r="J192" s="2">
        <v>0.99998576738364497</v>
      </c>
      <c r="K192" s="2">
        <v>0.99998576738364497</v>
      </c>
    </row>
    <row r="193" spans="2:11" s="9" customFormat="1" x14ac:dyDescent="0.25">
      <c r="B193" s="2">
        <v>4.65661287307739E-10</v>
      </c>
      <c r="C193" s="2">
        <v>4.65661287307739E-10</v>
      </c>
      <c r="D193" s="2">
        <v>4.65661287517766E-10</v>
      </c>
      <c r="E193" s="2">
        <v>4.6631979465857501E-10</v>
      </c>
      <c r="F193" s="2">
        <v>4.9550846011801203E-8</v>
      </c>
      <c r="G193" s="2">
        <v>3.64839522764129E-3</v>
      </c>
      <c r="H193" s="2">
        <v>0.99635322430914797</v>
      </c>
      <c r="I193" s="2">
        <v>0.99998659619528396</v>
      </c>
      <c r="J193" s="2">
        <v>0.99998659619528396</v>
      </c>
      <c r="K193" s="2">
        <v>0.99998659619528396</v>
      </c>
    </row>
    <row r="194" spans="2:11" s="9" customFormat="1" x14ac:dyDescent="0.25">
      <c r="B194" s="2">
        <v>4.65661287307739E-10</v>
      </c>
      <c r="C194" s="2">
        <v>4.65661287307739E-10</v>
      </c>
      <c r="D194" s="2">
        <v>4.6566128747465304E-10</v>
      </c>
      <c r="E194" s="2">
        <v>4.6622811936156096E-10</v>
      </c>
      <c r="F194" s="2">
        <v>4.5326400416537703E-8</v>
      </c>
      <c r="G194" s="2">
        <v>3.5409158543595002E-3</v>
      </c>
      <c r="H194" s="2">
        <v>0.99646057321368198</v>
      </c>
      <c r="I194" s="2">
        <v>0.99998737674106397</v>
      </c>
      <c r="J194" s="2">
        <v>0.99998737674106397</v>
      </c>
      <c r="K194" s="2">
        <v>0.99998737674106397</v>
      </c>
    </row>
    <row r="195" spans="2:11" s="9" customFormat="1" x14ac:dyDescent="0.25">
      <c r="B195" s="2">
        <v>4.65661287307739E-10</v>
      </c>
      <c r="C195" s="2">
        <v>4.65661287307739E-10</v>
      </c>
      <c r="D195" s="2">
        <v>4.6566128744039297E-10</v>
      </c>
      <c r="E195" s="2">
        <v>4.6614921027112601E-10</v>
      </c>
      <c r="F195" s="2">
        <v>4.1465571629147202E-8</v>
      </c>
      <c r="G195" s="2">
        <v>3.4365936099988001E-3</v>
      </c>
      <c r="H195" s="2">
        <v>0.99656477545508604</v>
      </c>
      <c r="I195" s="2">
        <v>0.99998811183174197</v>
      </c>
      <c r="J195" s="2">
        <v>0.99998811183174197</v>
      </c>
      <c r="K195" s="2">
        <v>0.99998811183174197</v>
      </c>
    </row>
    <row r="196" spans="2:11" s="9" customFormat="1" x14ac:dyDescent="0.25">
      <c r="B196" s="2">
        <v>4.65661287307739E-10</v>
      </c>
      <c r="C196" s="2">
        <v>4.65661287307739E-10</v>
      </c>
      <c r="D196" s="2">
        <v>4.6566128741316705E-10</v>
      </c>
      <c r="E196" s="2">
        <v>4.6608128937620797E-10</v>
      </c>
      <c r="F196" s="2">
        <v>3.79370589408636E-8</v>
      </c>
      <c r="G196" s="2">
        <v>3.3353362489803601E-3</v>
      </c>
      <c r="H196" s="2">
        <v>0.99666592244482199</v>
      </c>
      <c r="I196" s="2">
        <v>0.99998880411438995</v>
      </c>
      <c r="J196" s="2">
        <v>0.99998880411438995</v>
      </c>
      <c r="K196" s="2">
        <v>0.99998880411438995</v>
      </c>
    </row>
    <row r="197" spans="2:11" s="9" customFormat="1" x14ac:dyDescent="0.25">
      <c r="B197" s="2">
        <v>4.65661287307739E-10</v>
      </c>
      <c r="C197" s="2">
        <v>4.65661287307739E-10</v>
      </c>
      <c r="D197" s="2">
        <v>4.65661287391531E-10</v>
      </c>
      <c r="E197" s="2">
        <v>4.66022826317994E-10</v>
      </c>
      <c r="F197" s="2">
        <v>3.4712256316920999E-8</v>
      </c>
      <c r="G197" s="2">
        <v>3.23705419533483E-3</v>
      </c>
      <c r="H197" s="2">
        <v>0.99676410299069496</v>
      </c>
      <c r="I197" s="2">
        <v>0.99998945608192802</v>
      </c>
      <c r="J197" s="2">
        <v>0.99998945608192802</v>
      </c>
      <c r="K197" s="2">
        <v>0.99998945608192802</v>
      </c>
    </row>
    <row r="198" spans="2:11" s="9" customFormat="1" x14ac:dyDescent="0.25">
      <c r="B198" s="2">
        <v>4.65661287307739E-10</v>
      </c>
      <c r="C198" s="2">
        <v>4.65661287307739E-10</v>
      </c>
      <c r="D198" s="2">
        <v>4.6566128737433702E-10</v>
      </c>
      <c r="E198" s="2">
        <v>4.6597250389367301E-10</v>
      </c>
      <c r="F198" s="2">
        <v>3.1765020379831901E-8</v>
      </c>
      <c r="G198" s="2">
        <v>3.1416604667038502E-3</v>
      </c>
      <c r="H198" s="2">
        <v>0.99685940336768597</v>
      </c>
      <c r="I198" s="2">
        <v>0.99999007008210095</v>
      </c>
      <c r="J198" s="2">
        <v>0.99999007008210095</v>
      </c>
      <c r="K198" s="2">
        <v>0.99999007008210095</v>
      </c>
    </row>
    <row r="199" spans="2:11" s="9" customFormat="1" x14ac:dyDescent="0.25">
      <c r="B199" s="2">
        <v>4.65661287307739E-10</v>
      </c>
      <c r="C199" s="2">
        <v>4.65661287307739E-10</v>
      </c>
      <c r="D199" s="2">
        <v>4.6566128736067303E-10</v>
      </c>
      <c r="E199" s="2">
        <v>4.6592918836547195E-10</v>
      </c>
      <c r="F199" s="2">
        <v>2.9071458374062399E-8</v>
      </c>
      <c r="G199" s="2">
        <v>3.0490706004501402E-3</v>
      </c>
      <c r="H199" s="2">
        <v>0.99695190738708195</v>
      </c>
      <c r="I199" s="2">
        <v>0.99999064832593498</v>
      </c>
      <c r="J199" s="2">
        <v>0.99999064832593498</v>
      </c>
      <c r="K199" s="2">
        <v>0.99999064832593498</v>
      </c>
    </row>
    <row r="200" spans="2:11" s="9" customFormat="1" x14ac:dyDescent="0.25">
      <c r="B200" s="2">
        <v>4.65661287307739E-10</v>
      </c>
      <c r="C200" s="2">
        <v>4.65661287307739E-10</v>
      </c>
      <c r="D200" s="2">
        <v>4.6566128734981297E-10</v>
      </c>
      <c r="E200" s="2">
        <v>4.6589190390554496E-10</v>
      </c>
      <c r="F200" s="2">
        <v>2.6609734390721399E-8</v>
      </c>
      <c r="G200" s="2">
        <v>2.95920258181706E-3</v>
      </c>
      <c r="H200" s="2">
        <v>0.99704169646391605</v>
      </c>
      <c r="I200" s="2">
        <v>0.99999119289569505</v>
      </c>
      <c r="J200" s="2">
        <v>0.99999119289569505</v>
      </c>
      <c r="K200" s="2">
        <v>0.99999119289569505</v>
      </c>
    </row>
    <row r="201" spans="2:11" s="9" customFormat="1" x14ac:dyDescent="0.25">
      <c r="B201" s="2">
        <v>4.65661287307739E-10</v>
      </c>
      <c r="C201" s="2">
        <v>4.65661287307739E-10</v>
      </c>
      <c r="D201" s="2">
        <v>4.65661287341183E-10</v>
      </c>
      <c r="E201" s="2">
        <v>4.6585981060061901E-10</v>
      </c>
      <c r="F201" s="2">
        <v>2.4359892279263401E-8</v>
      </c>
      <c r="G201" s="2">
        <v>2.87197677408541E-3</v>
      </c>
      <c r="H201" s="2">
        <v>0.99712884968275795</v>
      </c>
      <c r="I201" s="2">
        <v>0.99999170575238805</v>
      </c>
      <c r="J201" s="2">
        <v>0.99999170575238805</v>
      </c>
      <c r="K201" s="2">
        <v>0.99999170575238805</v>
      </c>
    </row>
    <row r="202" spans="2:11" s="9" customFormat="1" x14ac:dyDescent="0.25">
      <c r="B202" s="2">
        <v>4.65661287307739E-10</v>
      </c>
      <c r="C202" s="2">
        <v>4.65661287307739E-10</v>
      </c>
      <c r="D202" s="2">
        <v>4.6566128733432298E-10</v>
      </c>
      <c r="E202" s="2">
        <v>4.6583218552048804E-10</v>
      </c>
      <c r="F202" s="2">
        <v>2.2303693808759202E-8</v>
      </c>
      <c r="G202" s="2">
        <v>2.7873158506722799E-3</v>
      </c>
      <c r="H202" s="2">
        <v>0.99721344386187405</v>
      </c>
      <c r="I202" s="2">
        <v>0.99999218874282103</v>
      </c>
      <c r="J202" s="2">
        <v>0.99999218874282103</v>
      </c>
      <c r="K202" s="2">
        <v>0.99999218874282103</v>
      </c>
    </row>
    <row r="203" spans="2:11" s="9" customFormat="1" x14ac:dyDescent="0.25">
      <c r="B203" s="2">
        <v>4.65661287307739E-10</v>
      </c>
      <c r="C203" s="2">
        <v>4.65661287307739E-10</v>
      </c>
      <c r="D203" s="2">
        <v>4.6566128732887196E-10</v>
      </c>
      <c r="E203" s="2">
        <v>4.6580840642359003E-10</v>
      </c>
      <c r="F203" s="2">
        <v>2.04244707651791E-8</v>
      </c>
      <c r="G203" s="2">
        <v>2.7051447291197199E-3</v>
      </c>
      <c r="H203" s="2">
        <v>0.99729555361579003</v>
      </c>
      <c r="I203" s="2">
        <v>0.99999264360625195</v>
      </c>
      <c r="J203" s="2">
        <v>0.99999264360625195</v>
      </c>
      <c r="K203" s="2">
        <v>0.99999264360625195</v>
      </c>
    </row>
    <row r="204" spans="2:11" s="9" customFormat="1" x14ac:dyDescent="0.25">
      <c r="B204" s="2">
        <v>4.65661287307739E-10</v>
      </c>
      <c r="C204" s="2">
        <v>4.65661287307739E-10</v>
      </c>
      <c r="D204" s="2">
        <v>4.6566128732453899E-10</v>
      </c>
      <c r="E204" s="2">
        <v>4.6578793773229399E-10</v>
      </c>
      <c r="F204" s="2">
        <v>1.8706989784339301E-8</v>
      </c>
      <c r="G204" s="2">
        <v>2.62539050692442E-3</v>
      </c>
      <c r="H204" s="2">
        <v>0.99737525141628303</v>
      </c>
      <c r="I204" s="2">
        <v>0.99999307198065701</v>
      </c>
      <c r="J204" s="2">
        <v>0.99999307198065701</v>
      </c>
      <c r="K204" s="2">
        <v>0.99999307198065701</v>
      </c>
    </row>
    <row r="205" spans="2:11" s="9" customFormat="1" x14ac:dyDescent="0.25">
      <c r="B205" s="2">
        <v>4.65661287307739E-10</v>
      </c>
      <c r="C205" s="2">
        <v>4.65661287307739E-10</v>
      </c>
      <c r="D205" s="2">
        <v>4.6566128732109502E-10</v>
      </c>
      <c r="E205" s="2">
        <v>4.6577031846175003E-10</v>
      </c>
      <c r="F205" s="2">
        <v>1.7137328823567499E-8</v>
      </c>
      <c r="G205" s="2">
        <v>2.5479823991559E-3</v>
      </c>
      <c r="H205" s="2">
        <v>0.99745260765182497</v>
      </c>
      <c r="I205" s="2">
        <v>0.99999347540862105</v>
      </c>
      <c r="J205" s="2">
        <v>0.99999347540862105</v>
      </c>
      <c r="K205" s="2">
        <v>0.99999347540862105</v>
      </c>
    </row>
    <row r="206" spans="2:11" s="9" customFormat="1" x14ac:dyDescent="0.25">
      <c r="B206" s="2">
        <v>4.65661287307739E-10</v>
      </c>
      <c r="C206" s="2">
        <v>4.65661287307739E-10</v>
      </c>
      <c r="D206" s="2">
        <v>4.6566128731835798E-10</v>
      </c>
      <c r="E206" s="2">
        <v>4.6575515183016002E-10</v>
      </c>
      <c r="F206" s="2">
        <v>1.5702764269691799E-8</v>
      </c>
      <c r="G206" s="2">
        <v>2.4728516778177701E-3</v>
      </c>
      <c r="H206" s="2">
        <v>0.99752769068552105</v>
      </c>
      <c r="I206" s="2">
        <v>0.99999385534289897</v>
      </c>
      <c r="J206" s="2">
        <v>0.99999385534289897</v>
      </c>
      <c r="K206" s="2">
        <v>0.99999385534289897</v>
      </c>
    </row>
    <row r="207" spans="2:11" s="9" customFormat="1" x14ac:dyDescent="0.25"/>
    <row r="208" spans="2:11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  <row r="981" s="9" customFormat="1" x14ac:dyDescent="0.25"/>
    <row r="982" s="9" customFormat="1" x14ac:dyDescent="0.25"/>
    <row r="983" s="9" customFormat="1" x14ac:dyDescent="0.25"/>
    <row r="984" s="9" customFormat="1" x14ac:dyDescent="0.25"/>
    <row r="985" s="9" customFormat="1" x14ac:dyDescent="0.25"/>
    <row r="986" s="9" customFormat="1" x14ac:dyDescent="0.25"/>
    <row r="987" s="9" customFormat="1" x14ac:dyDescent="0.25"/>
    <row r="988" s="9" customFormat="1" x14ac:dyDescent="0.25"/>
    <row r="989" s="9" customFormat="1" x14ac:dyDescent="0.25"/>
    <row r="990" s="9" customFormat="1" x14ac:dyDescent="0.25"/>
    <row r="991" s="9" customFormat="1" x14ac:dyDescent="0.25"/>
    <row r="992" s="9" customFormat="1" x14ac:dyDescent="0.25"/>
    <row r="993" spans="15:42" s="9" customFormat="1" x14ac:dyDescent="0.25"/>
    <row r="994" spans="15:42" s="9" customFormat="1" x14ac:dyDescent="0.25"/>
    <row r="995" spans="15:42" s="9" customFormat="1" x14ac:dyDescent="0.25"/>
    <row r="996" spans="15:42" s="9" customFormat="1" x14ac:dyDescent="0.25"/>
    <row r="997" spans="15:42" s="9" customFormat="1" x14ac:dyDescent="0.25"/>
    <row r="998" spans="15:42" s="9" customFormat="1" x14ac:dyDescent="0.25"/>
    <row r="999" spans="15:42" s="9" customFormat="1" x14ac:dyDescent="0.25"/>
    <row r="1000" spans="15:42" s="9" customFormat="1" x14ac:dyDescent="0.25"/>
    <row r="1001" spans="15:42" s="9" customFormat="1" x14ac:dyDescent="0.25"/>
    <row r="1002" spans="15:42" s="9" customFormat="1" x14ac:dyDescent="0.25"/>
    <row r="1003" spans="15:42" s="9" customFormat="1" x14ac:dyDescent="0.25"/>
    <row r="1004" spans="15:42" s="9" customFormat="1" x14ac:dyDescent="0.25"/>
    <row r="1005" spans="15:42" s="9" customFormat="1" x14ac:dyDescent="0.25"/>
    <row r="1006" spans="15:42" x14ac:dyDescent="0.25"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</row>
    <row r="1007" spans="15:42" x14ac:dyDescent="0.25"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</row>
    <row r="1008" spans="15:42" x14ac:dyDescent="0.25"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</row>
    <row r="1009" spans="15:42" x14ac:dyDescent="0.25"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</row>
    <row r="1010" spans="15:42" x14ac:dyDescent="0.25"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</row>
    <row r="1011" spans="15:42" x14ac:dyDescent="0.25"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</row>
    <row r="1012" spans="15:42" x14ac:dyDescent="0.25"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</row>
    <row r="1013" spans="15:42" x14ac:dyDescent="0.25"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</row>
    <row r="1014" spans="15:42" x14ac:dyDescent="0.25"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</row>
    <row r="1015" spans="15:42" x14ac:dyDescent="0.25"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</row>
    <row r="1016" spans="15:42" x14ac:dyDescent="0.25"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spans="15:42" x14ac:dyDescent="0.25"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spans="15:42" x14ac:dyDescent="0.25"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spans="15:42" x14ac:dyDescent="0.25"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</sheetData>
  <mergeCells count="6">
    <mergeCell ref="R57:S57"/>
    <mergeCell ref="B5:K5"/>
    <mergeCell ref="O5:X5"/>
    <mergeCell ref="AC5:AL5"/>
    <mergeCell ref="O34:X34"/>
    <mergeCell ref="AC34:AL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zoomScale="80" zoomScaleNormal="80" workbookViewId="0">
      <selection activeCell="H29" sqref="H29"/>
    </sheetView>
  </sheetViews>
  <sheetFormatPr defaultRowHeight="15" x14ac:dyDescent="0.25"/>
  <sheetData>
    <row r="1" spans="1:17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7" x14ac:dyDescent="0.25">
      <c r="A2">
        <v>0.1</v>
      </c>
      <c r="B2" s="2">
        <v>0.41828725908025099</v>
      </c>
      <c r="C2" s="2">
        <v>0.44114570232906702</v>
      </c>
      <c r="D2" s="2">
        <v>0.46425636974303203</v>
      </c>
      <c r="E2" s="2">
        <v>0.48142548657553302</v>
      </c>
      <c r="F2" s="2">
        <v>0.49253708233044602</v>
      </c>
      <c r="G2" s="2">
        <v>0.50365605604989805</v>
      </c>
      <c r="H2" s="2">
        <v>0.51477141471972199</v>
      </c>
      <c r="I2" s="2">
        <v>0.52587217961278598</v>
      </c>
      <c r="J2" s="2">
        <v>0.51860443953457203</v>
      </c>
      <c r="K2" s="2">
        <v>0.52108226328481499</v>
      </c>
    </row>
    <row r="3" spans="1:17" x14ac:dyDescent="0.25">
      <c r="A3">
        <v>0.2</v>
      </c>
      <c r="B3" s="2">
        <v>0.339498412773099</v>
      </c>
      <c r="C3" s="2">
        <v>0.38217114274138497</v>
      </c>
      <c r="D3" s="2">
        <v>0.4267421446088</v>
      </c>
      <c r="E3" s="2">
        <v>0.460700344767832</v>
      </c>
      <c r="F3" s="2">
        <v>0.483144744382763</v>
      </c>
      <c r="G3" s="2">
        <v>0.505657354775777</v>
      </c>
      <c r="H3" s="2">
        <v>0.52814704760777598</v>
      </c>
      <c r="I3" s="2">
        <v>0.55052306474092705</v>
      </c>
      <c r="J3" s="2">
        <v>0.53700959698073902</v>
      </c>
      <c r="K3" s="2">
        <v>0.54192241060562296</v>
      </c>
    </row>
    <row r="4" spans="1:17" x14ac:dyDescent="0.25">
      <c r="A4">
        <v>0.3</v>
      </c>
      <c r="B4" s="2">
        <v>0.2675196651201</v>
      </c>
      <c r="C4" s="2">
        <v>0.32487032099062102</v>
      </c>
      <c r="D4" s="2">
        <v>0.38800307761365399</v>
      </c>
      <c r="E4" s="2">
        <v>0.43797639478068001</v>
      </c>
      <c r="F4" s="2">
        <v>0.471911289698981</v>
      </c>
      <c r="G4" s="2">
        <v>0.50610777545818397</v>
      </c>
      <c r="H4" s="2">
        <v>0.54024720859047104</v>
      </c>
      <c r="I4" s="2">
        <v>0.57401306234208005</v>
      </c>
      <c r="J4" s="2">
        <v>0.55534157638642401</v>
      </c>
      <c r="K4" s="2">
        <v>0.56264752259602502</v>
      </c>
      <c r="O4" t="s">
        <v>20</v>
      </c>
      <c r="Q4" t="s">
        <v>19</v>
      </c>
    </row>
    <row r="5" spans="1:17" x14ac:dyDescent="0.25">
      <c r="A5">
        <v>0.4</v>
      </c>
      <c r="B5" s="2">
        <v>0.20512483636913101</v>
      </c>
      <c r="C5" s="2">
        <v>0.27103724791630801</v>
      </c>
      <c r="D5" s="2">
        <v>0.34883445534678797</v>
      </c>
      <c r="E5" s="2">
        <v>0.41359684492804999</v>
      </c>
      <c r="F5" s="2">
        <v>0.45903836079272597</v>
      </c>
      <c r="G5" s="2">
        <v>0.50517148068274698</v>
      </c>
      <c r="H5" s="2">
        <v>0.551216708681325</v>
      </c>
      <c r="I5" s="2">
        <v>0.59640044832584604</v>
      </c>
      <c r="J5" s="2">
        <v>0.57369653704378798</v>
      </c>
      <c r="K5" s="2">
        <v>0.58335037358697295</v>
      </c>
      <c r="O5" t="s">
        <v>21</v>
      </c>
    </row>
    <row r="6" spans="1:17" x14ac:dyDescent="0.25">
      <c r="A6">
        <v>0.5</v>
      </c>
      <c r="B6" s="2">
        <v>0.15358125319795199</v>
      </c>
      <c r="C6" s="2">
        <v>0.22216982965906101</v>
      </c>
      <c r="D6" s="2">
        <v>0.31016504836247699</v>
      </c>
      <c r="E6" s="2">
        <v>0.38804123488272302</v>
      </c>
      <c r="F6" s="2">
        <v>0.444805200551114</v>
      </c>
      <c r="G6" s="2">
        <v>0.50304698196453701</v>
      </c>
      <c r="H6" s="2">
        <v>0.56120619207295697</v>
      </c>
      <c r="I6" s="2">
        <v>0.61773121551249699</v>
      </c>
      <c r="J6" s="2">
        <v>0.592129433311402</v>
      </c>
      <c r="K6" s="2">
        <v>0.60407623923556997</v>
      </c>
    </row>
    <row r="7" spans="1:17" x14ac:dyDescent="0.25">
      <c r="A7">
        <v>0.6</v>
      </c>
      <c r="B7" s="2">
        <v>0.112742664569115</v>
      </c>
      <c r="C7" s="2">
        <v>0.179245213724952</v>
      </c>
      <c r="D7" s="2">
        <v>0.272909229531209</v>
      </c>
      <c r="E7" s="2">
        <v>0.36184699022155697</v>
      </c>
      <c r="F7" s="2">
        <v>0.42952159661574801</v>
      </c>
      <c r="G7" s="2">
        <v>0.49993751474133902</v>
      </c>
      <c r="H7" s="2">
        <v>0.57035591157044996</v>
      </c>
      <c r="I7" s="2">
        <v>0.638037572167786</v>
      </c>
      <c r="J7" s="2">
        <v>0.61065208690787298</v>
      </c>
      <c r="K7" s="2">
        <v>0.62482083676852096</v>
      </c>
    </row>
    <row r="8" spans="1:17" x14ac:dyDescent="0.25">
      <c r="A8">
        <v>0.7</v>
      </c>
      <c r="B8" s="2">
        <v>8.1478405323860595E-2</v>
      </c>
      <c r="C8" s="2">
        <v>0.142645077033351</v>
      </c>
      <c r="D8" s="2">
        <v>0.237840163060696</v>
      </c>
      <c r="E8" s="2">
        <v>0.33553640684761199</v>
      </c>
      <c r="F8" s="2">
        <v>0.413486943105146</v>
      </c>
      <c r="G8" s="2">
        <v>0.49602799280766502</v>
      </c>
      <c r="H8" s="2">
        <v>0.57878611662860402</v>
      </c>
      <c r="I8" s="2">
        <v>0.65734229975713399</v>
      </c>
      <c r="J8" s="2">
        <v>0.629238704093671</v>
      </c>
      <c r="K8" s="2">
        <v>0.64553714607317203</v>
      </c>
    </row>
    <row r="9" spans="1:17" x14ac:dyDescent="0.25">
      <c r="A9">
        <v>0.8</v>
      </c>
      <c r="B9" s="2">
        <v>5.81826510250954E-2</v>
      </c>
      <c r="C9" s="2">
        <v>0.112226797698446</v>
      </c>
      <c r="D9" s="2">
        <v>0.205516667798428</v>
      </c>
      <c r="E9" s="2">
        <v>0.30956747614497798</v>
      </c>
      <c r="F9" s="2">
        <v>0.39696517567855799</v>
      </c>
      <c r="G9" s="2">
        <v>0.49147317300847898</v>
      </c>
      <c r="H9" s="2">
        <v>0.58659457996485498</v>
      </c>
      <c r="I9" s="2">
        <v>0.67566510378302702</v>
      </c>
      <c r="J9" s="2">
        <v>0.64783500988262599</v>
      </c>
      <c r="K9" s="2">
        <v>0.66614659365153095</v>
      </c>
    </row>
    <row r="10" spans="1:17" x14ac:dyDescent="0.25">
      <c r="A10">
        <v>0.9</v>
      </c>
      <c r="B10" s="2">
        <v>4.1177895296494599E-2</v>
      </c>
      <c r="C10" s="2">
        <v>8.7477848234840797E-2</v>
      </c>
      <c r="D10" s="2">
        <v>0.17626656417169301</v>
      </c>
      <c r="E10" s="2">
        <v>0.28431144093850302</v>
      </c>
      <c r="F10" s="2">
        <v>0.38017568461110501</v>
      </c>
      <c r="G10" s="2">
        <v>0.48639576732060702</v>
      </c>
      <c r="H10" s="2">
        <v>0.59385908305345303</v>
      </c>
      <c r="I10" s="2">
        <v>0.69302805200826001</v>
      </c>
      <c r="J10" s="2">
        <v>0.66636768789157896</v>
      </c>
      <c r="K10" s="2">
        <v>0.68655067926187396</v>
      </c>
    </row>
    <row r="11" spans="1:17" x14ac:dyDescent="0.25">
      <c r="A11">
        <v>1</v>
      </c>
      <c r="B11" s="2">
        <v>2.8953024984051799E-2</v>
      </c>
      <c r="C11" s="2">
        <v>6.7683730237081394E-2</v>
      </c>
      <c r="D11" s="2">
        <v>0.15021032632730599</v>
      </c>
      <c r="E11" s="2">
        <v>0.26005025588630098</v>
      </c>
      <c r="F11" s="2">
        <v>0.363295013337536</v>
      </c>
      <c r="G11" s="2">
        <v>0.48089055107536999</v>
      </c>
      <c r="H11" s="2">
        <v>0.60064206943009701</v>
      </c>
      <c r="I11" s="2">
        <v>0.70945884949951299</v>
      </c>
      <c r="J11" s="2">
        <v>0.68475240099341605</v>
      </c>
      <c r="K11" s="2">
        <v>0.70664096697632595</v>
      </c>
    </row>
    <row r="12" spans="1:17" x14ac:dyDescent="0.25">
      <c r="A12">
        <v>1.1000000000000001</v>
      </c>
      <c r="B12" s="2">
        <v>2.02613585455996E-2</v>
      </c>
      <c r="C12" s="2">
        <v>5.2065320186217699E-2</v>
      </c>
      <c r="D12" s="2">
        <v>0.12730473519771601</v>
      </c>
      <c r="E12" s="2">
        <v>0.23698502143325101</v>
      </c>
      <c r="F12" s="2">
        <v>0.346463592549413</v>
      </c>
      <c r="G12" s="2">
        <v>0.47503071775656402</v>
      </c>
      <c r="H12" s="2">
        <v>0.60699541093119003</v>
      </c>
      <c r="I12" s="2">
        <v>0.72499194651274002</v>
      </c>
      <c r="J12" s="2">
        <v>0.702900025437592</v>
      </c>
      <c r="K12" s="2">
        <v>0.72630693767551002</v>
      </c>
    </row>
    <row r="13" spans="1:17" x14ac:dyDescent="0.25">
      <c r="A13">
        <v>1.2</v>
      </c>
      <c r="B13" s="2">
        <v>1.4130791138551599E-2</v>
      </c>
      <c r="C13" s="2">
        <v>3.9870913414048803E-2</v>
      </c>
      <c r="D13" s="2">
        <v>0.107390849399136</v>
      </c>
      <c r="E13" s="2">
        <v>0.215248615084076</v>
      </c>
      <c r="F13" s="2">
        <v>0.32979355056472298</v>
      </c>
      <c r="G13" s="2">
        <v>0.46887414161780999</v>
      </c>
      <c r="H13" s="2">
        <v>0.61296427888631</v>
      </c>
      <c r="I13" s="2">
        <v>0.73966805392100199</v>
      </c>
      <c r="J13" s="2">
        <v>0.72072133128306404</v>
      </c>
      <c r="K13" s="2">
        <v>0.74544190553437095</v>
      </c>
    </row>
    <row r="14" spans="1:17" x14ac:dyDescent="0.25">
      <c r="A14">
        <v>1.3</v>
      </c>
      <c r="B14" s="2">
        <v>9.8312044570505307E-3</v>
      </c>
      <c r="C14" s="2">
        <v>3.0426916744419299E-2</v>
      </c>
      <c r="D14" s="2">
        <v>9.0237174113864005E-2</v>
      </c>
      <c r="E14" s="2">
        <v>0.19491857636332599</v>
      </c>
      <c r="F14" s="2">
        <v>0.31337551389048801</v>
      </c>
      <c r="G14" s="2">
        <v>0.46246843239519603</v>
      </c>
      <c r="H14" s="2">
        <v>0.61858980832633403</v>
      </c>
      <c r="I14" s="2">
        <v>0.75353270772382697</v>
      </c>
      <c r="J14" s="2">
        <v>0.73813058970414702</v>
      </c>
      <c r="K14" s="2">
        <v>0.76394749240183601</v>
      </c>
    </row>
    <row r="15" spans="1:17" x14ac:dyDescent="0.25">
      <c r="A15">
        <v>1.4</v>
      </c>
      <c r="B15" s="2">
        <v>6.8279508661585504E-3</v>
      </c>
      <c r="C15" s="2">
        <v>2.31583782116031E-2</v>
      </c>
      <c r="D15" s="2">
        <v>7.5574292267316601E-2</v>
      </c>
      <c r="E15" s="2">
        <v>0.176028623233461</v>
      </c>
      <c r="F15" s="2">
        <v>0.29728379315744102</v>
      </c>
      <c r="G15" s="2">
        <v>0.45585458934914402</v>
      </c>
      <c r="H15" s="2">
        <v>0.62391070084631595</v>
      </c>
      <c r="I15" s="2">
        <v>0.76663443698568501</v>
      </c>
      <c r="J15" s="2">
        <v>0.75504833718741704</v>
      </c>
      <c r="K15" s="2">
        <v>0.78173689435263904</v>
      </c>
    </row>
    <row r="16" spans="1:17" x14ac:dyDescent="0.25">
      <c r="A16">
        <v>1.5</v>
      </c>
      <c r="B16" s="2">
        <v>4.7362368973135902E-3</v>
      </c>
      <c r="C16" s="2">
        <v>1.7590693688258299E-2</v>
      </c>
      <c r="D16" s="2">
        <v>6.3120374444257402E-2</v>
      </c>
      <c r="E16" s="2">
        <v>0.15857829123518</v>
      </c>
      <c r="F16" s="2">
        <v>0.28157993229910799</v>
      </c>
      <c r="G16" s="2">
        <v>0.449069343684939</v>
      </c>
      <c r="H16" s="2">
        <v>0.62896397535731896</v>
      </c>
      <c r="I16" s="2">
        <v>0.77902288524853902</v>
      </c>
      <c r="J16" s="2">
        <v>0.77140355875585698</v>
      </c>
      <c r="K16" s="2">
        <v>0.79873722279677095</v>
      </c>
    </row>
    <row r="17" spans="1:11" x14ac:dyDescent="0.25">
      <c r="A17">
        <v>1.6</v>
      </c>
      <c r="B17" s="2">
        <v>3.28239921553487E-3</v>
      </c>
      <c r="C17" s="2">
        <v>1.3341261389951901E-2</v>
      </c>
      <c r="D17" s="2">
        <v>5.2598647951902597E-2</v>
      </c>
      <c r="E17" s="2">
        <v>0.14254085985756099</v>
      </c>
      <c r="F17" s="2">
        <v>0.26631500763813698</v>
      </c>
      <c r="G17" s="2">
        <v>0.44214652334308302</v>
      </c>
      <c r="H17" s="2">
        <v>0.63378516459427603</v>
      </c>
      <c r="I17" s="2">
        <v>0.79074712983615503</v>
      </c>
      <c r="J17" s="2">
        <v>0.78713528798853305</v>
      </c>
      <c r="K17" s="2">
        <v>0.81489093723231998</v>
      </c>
    </row>
    <row r="18" spans="1:11" x14ac:dyDescent="0.25">
      <c r="A18">
        <v>1.7</v>
      </c>
      <c r="B18" s="2">
        <v>2.27340851066092E-3</v>
      </c>
      <c r="C18" s="2">
        <v>1.0106863165228399E-2</v>
      </c>
      <c r="D18" s="2">
        <v>4.3748420434420801E-2</v>
      </c>
      <c r="E18" s="2">
        <v>0.127869832896681</v>
      </c>
      <c r="F18" s="2">
        <v>0.251531044914652</v>
      </c>
      <c r="G18" s="2">
        <v>0.43511771987789799</v>
      </c>
      <c r="H18" s="2">
        <v>0.63840817343434098</v>
      </c>
      <c r="I18" s="2">
        <v>0.80185431390872697</v>
      </c>
      <c r="J18" s="2">
        <v>0.80219366658096702</v>
      </c>
      <c r="K18" s="2">
        <v>0.83015645636691304</v>
      </c>
    </row>
    <row r="19" spans="1:11" x14ac:dyDescent="0.25">
      <c r="A19">
        <v>1.8</v>
      </c>
      <c r="B19" s="2">
        <v>1.57389224999733E-3</v>
      </c>
      <c r="C19" s="2">
        <v>7.6501650956521602E-3</v>
      </c>
      <c r="D19" s="2">
        <v>3.6331280618382499E-2</v>
      </c>
      <c r="E19" s="2">
        <v>0.114504246416683</v>
      </c>
      <c r="F19" s="2">
        <v>0.237261874893227</v>
      </c>
      <c r="G19" s="2">
        <v>0.42801248949385401</v>
      </c>
      <c r="H19" s="2">
        <v>0.64286495842033897</v>
      </c>
      <c r="I19" s="2">
        <v>0.81238863013552898</v>
      </c>
      <c r="J19" s="2">
        <v>0.81654050069315698</v>
      </c>
      <c r="K19" s="2">
        <v>0.84450804397808199</v>
      </c>
    </row>
    <row r="20" spans="1:11" x14ac:dyDescent="0.25">
      <c r="A20">
        <v>1.9</v>
      </c>
      <c r="B20" s="2">
        <v>1.08929696654024E-3</v>
      </c>
      <c r="C20" s="2">
        <v>5.7870997771875604E-3</v>
      </c>
      <c r="D20" s="2">
        <v>3.01338974876737E-2</v>
      </c>
      <c r="E20" s="2">
        <v>0.102373063308092</v>
      </c>
      <c r="F20" s="2">
        <v>0.22353372782728301</v>
      </c>
      <c r="G20" s="2">
        <v>0.42085832695478598</v>
      </c>
      <c r="H20" s="2">
        <v>0.64718518347347598</v>
      </c>
      <c r="I20" s="2">
        <v>0.82239066840088804</v>
      </c>
      <c r="J20" s="2">
        <v>0.83014928128987098</v>
      </c>
      <c r="K20" s="2">
        <v>0.85793500706080705</v>
      </c>
    </row>
    <row r="21" spans="1:11" x14ac:dyDescent="0.25">
      <c r="A21">
        <v>2</v>
      </c>
      <c r="B21" s="2">
        <v>7.5376985070607899E-4</v>
      </c>
      <c r="C21" s="2">
        <v>4.3758825469201396E-3</v>
      </c>
      <c r="D21" s="2">
        <v>2.4968525119603499E-2</v>
      </c>
      <c r="E21" s="2">
        <v>9.1398793939954606E-2</v>
      </c>
      <c r="F21" s="2">
        <v>0.21036571104926599</v>
      </c>
      <c r="G21" s="2">
        <v>0.41368052246348302</v>
      </c>
      <c r="H21" s="2">
        <v>0.65139591006644804</v>
      </c>
      <c r="I21" s="2">
        <v>0.83189708145991403</v>
      </c>
      <c r="J21" s="2">
        <v>0.84300476494712495</v>
      </c>
      <c r="K21" s="2">
        <v>0.87044038037343296</v>
      </c>
    </row>
    <row r="22" spans="1:11" x14ac:dyDescent="0.25">
      <c r="A22">
        <v>2.1</v>
      </c>
      <c r="B22" s="2">
        <v>5.21541587751212E-4</v>
      </c>
      <c r="C22" s="2">
        <v>3.3078558303656601E-3</v>
      </c>
      <c r="D22" s="2">
        <v>2.0672058105714701E-2</v>
      </c>
      <c r="E22" s="2">
        <v>8.1500467182084396E-2</v>
      </c>
      <c r="F22" s="2">
        <v>0.197770286612484</v>
      </c>
      <c r="G22" s="2">
        <v>0.40650200741845999</v>
      </c>
      <c r="H22" s="2">
        <v>0.65552137631719198</v>
      </c>
      <c r="I22" s="2">
        <v>0.84094052037861799</v>
      </c>
      <c r="J22" s="2">
        <v>0.855102175697801</v>
      </c>
      <c r="K22" s="2">
        <v>0.88203922935198498</v>
      </c>
    </row>
    <row r="23" spans="1:11" x14ac:dyDescent="0.25">
      <c r="A23">
        <v>2.2000000000000002</v>
      </c>
      <c r="B23" s="2">
        <v>3.6084886130471899E-4</v>
      </c>
      <c r="C23" s="2">
        <v>2.5000695829196199E-3</v>
      </c>
      <c r="D23" s="2">
        <v>1.7104241757625201E-2</v>
      </c>
      <c r="E23" s="2">
        <v>7.2596033643613805E-2</v>
      </c>
      <c r="F23" s="2">
        <v>0.185753797026914</v>
      </c>
      <c r="G23" s="2">
        <v>0.39934324203524901</v>
      </c>
      <c r="H23" s="2">
        <v>0.65958288205807603</v>
      </c>
      <c r="I23" s="2">
        <v>0.84954977840576595</v>
      </c>
      <c r="J23" s="2">
        <v>0.86644612553390499</v>
      </c>
      <c r="K23" s="2">
        <v>0.89275672934495698</v>
      </c>
    </row>
    <row r="24" spans="1:11" x14ac:dyDescent="0.25">
      <c r="A24">
        <v>2.2999999999999998</v>
      </c>
      <c r="B24" s="2">
        <v>2.4967228458991402E-4</v>
      </c>
      <c r="C24" s="2">
        <v>1.8893835282088E-3</v>
      </c>
      <c r="D24" s="2">
        <v>1.41454566248991E-2</v>
      </c>
      <c r="E24" s="2">
        <v>6.4604269036036097E-2</v>
      </c>
      <c r="F24" s="2">
        <v>0.174317053653927</v>
      </c>
      <c r="G24" s="2">
        <v>0.392222173600484</v>
      </c>
      <c r="H24" s="2">
        <v>0.66359878113064297</v>
      </c>
      <c r="I24" s="2">
        <v>0.85775008310441303</v>
      </c>
      <c r="J24" s="2">
        <v>0.87704935094686098</v>
      </c>
      <c r="K24" s="2">
        <v>0.90262616285657504</v>
      </c>
    </row>
    <row r="25" spans="1:11" x14ac:dyDescent="0.25">
      <c r="A25">
        <v>2.4</v>
      </c>
      <c r="B25" s="2">
        <v>1.72759324237715E-4</v>
      </c>
      <c r="C25" s="2">
        <v>1.4278421925361801E-3</v>
      </c>
      <c r="D25" s="2">
        <v>1.1694355046910699E-2</v>
      </c>
      <c r="E25" s="2">
        <v>5.7446230484595899E-2</v>
      </c>
      <c r="F25" s="2">
        <v>0.16345596416144401</v>
      </c>
      <c r="G25" s="2">
        <v>0.385154254428971</v>
      </c>
      <c r="H25" s="2">
        <v>0.66758455687052198</v>
      </c>
      <c r="I25" s="2">
        <v>0.86556347737575501</v>
      </c>
      <c r="J25" s="2">
        <v>0.88693137914825904</v>
      </c>
      <c r="K25" s="2">
        <v>0.911686973670783</v>
      </c>
    </row>
    <row r="26" spans="1:11" x14ac:dyDescent="0.25">
      <c r="A26">
        <v>2.5</v>
      </c>
      <c r="B26" s="2">
        <v>1.1955083108028701E-4</v>
      </c>
      <c r="C26" s="2">
        <v>1.0790840945674499E-3</v>
      </c>
      <c r="D26" s="2">
        <v>9.6655319702003296E-3</v>
      </c>
      <c r="E26" s="2">
        <v>5.1046340080793902E-2</v>
      </c>
      <c r="F26" s="2">
        <v>0.153162210145219</v>
      </c>
      <c r="G26" s="2">
        <v>0.37815255503384998</v>
      </c>
      <c r="H26" s="2">
        <v>0.67155299034729099</v>
      </c>
      <c r="I26" s="2">
        <v>0.87300925208921398</v>
      </c>
      <c r="J26" s="2">
        <v>0.89611715996429098</v>
      </c>
      <c r="K26" s="2">
        <v>0.91998292757032796</v>
      </c>
    </row>
    <row r="27" spans="1:11" x14ac:dyDescent="0.25">
      <c r="A27">
        <v>2.6</v>
      </c>
      <c r="B27" s="2">
        <v>8.2739765705787602E-5</v>
      </c>
      <c r="C27" s="2">
        <v>8.1557321282906101E-4</v>
      </c>
      <c r="D27" s="2">
        <v>7.9873298804648205E-3</v>
      </c>
      <c r="E27" s="2">
        <v>4.5333128099556003E-2</v>
      </c>
      <c r="F27" s="2">
        <v>0.14342390491049301</v>
      </c>
      <c r="G27" s="2">
        <v>0.37122790211552198</v>
      </c>
      <c r="H27" s="2">
        <v>0.67551436167446699</v>
      </c>
      <c r="I27" s="2">
        <v>0.88010437992525803</v>
      </c>
      <c r="J27" s="2">
        <v>0.90463579112798398</v>
      </c>
      <c r="K27" s="2">
        <v>0.92756050021874104</v>
      </c>
    </row>
    <row r="28" spans="1:11" x14ac:dyDescent="0.25">
      <c r="A28">
        <v>2.7</v>
      </c>
      <c r="B28" s="2">
        <v>5.72709810198395E-5</v>
      </c>
      <c r="C28" s="2">
        <v>6.1647643278376003E-4</v>
      </c>
      <c r="D28" s="2">
        <v>6.5998393268053204E-3</v>
      </c>
      <c r="E28" s="2">
        <v>4.0239708190174001E-2</v>
      </c>
      <c r="F28" s="2">
        <v>0.134226242033571</v>
      </c>
      <c r="G28" s="2">
        <v>0.36438906839983598</v>
      </c>
      <c r="H28" s="2">
        <v>0.67947669351126505</v>
      </c>
      <c r="I28" s="2">
        <v>0.88686393365623895</v>
      </c>
      <c r="J28" s="2">
        <v>0.91251933531843998</v>
      </c>
      <c r="K28" s="2">
        <v>0.93446748158426696</v>
      </c>
    </row>
    <row r="29" spans="1:11" x14ac:dyDescent="0.25">
      <c r="A29">
        <v>2.8</v>
      </c>
      <c r="B29" s="2">
        <v>3.9647839203507401E-5</v>
      </c>
      <c r="C29" s="2">
        <v>4.6604265576732597E-4</v>
      </c>
      <c r="D29" s="2">
        <v>5.4531169961058897E-3</v>
      </c>
      <c r="E29" s="2">
        <v>3.5704028533596999E-2</v>
      </c>
      <c r="F29" s="2">
        <v>0.12555210221457799</v>
      </c>
      <c r="G29" s="2">
        <v>0.35764298155405899</v>
      </c>
      <c r="H29" s="2">
        <v>0.68344600755415896</v>
      </c>
      <c r="I29" s="2">
        <v>0.89330146679637901</v>
      </c>
      <c r="J29" s="2">
        <v>0.91980177661122497</v>
      </c>
      <c r="K29" s="2">
        <v>0.94075182551481396</v>
      </c>
    </row>
    <row r="30" spans="1:11" x14ac:dyDescent="0.25">
      <c r="A30">
        <v>2.9</v>
      </c>
      <c r="B30" s="2">
        <v>2.7451952521411201E-5</v>
      </c>
      <c r="C30" s="2">
        <v>3.52368865454775E-4</v>
      </c>
      <c r="D30" s="2">
        <v>4.5056247488011302E-3</v>
      </c>
      <c r="E30" s="2">
        <v>3.1668947915550402E-2</v>
      </c>
      <c r="F30" s="2">
        <v>0.117382609319245</v>
      </c>
      <c r="G30" s="2">
        <v>0.35099494435551398</v>
      </c>
      <c r="H30" s="2">
        <v>0.68742658366058995</v>
      </c>
      <c r="I30" s="2">
        <v>0.89942934735597702</v>
      </c>
      <c r="J30" s="2">
        <v>0.92651812397877897</v>
      </c>
      <c r="K30" s="2">
        <v>0.94646073244497597</v>
      </c>
    </row>
    <row r="31" spans="1:11" x14ac:dyDescent="0.25">
      <c r="A31">
        <v>3</v>
      </c>
      <c r="B31" s="2">
        <v>1.9010703992554701E-5</v>
      </c>
      <c r="C31" s="2">
        <v>2.6646289225991599E-4</v>
      </c>
      <c r="D31" s="2">
        <v>3.72287916462499E-3</v>
      </c>
      <c r="E31" s="2">
        <v>2.80821743520458E-2</v>
      </c>
      <c r="F31" s="2">
        <v>0.10969761731291799</v>
      </c>
      <c r="G31" s="2">
        <v>0.344448838818606</v>
      </c>
      <c r="H31" s="2">
        <v>0.69142120171289101</v>
      </c>
      <c r="I31" s="2">
        <v>0.90525903900756899</v>
      </c>
      <c r="J31" s="2">
        <v>0.93270367729913695</v>
      </c>
      <c r="K31" s="2">
        <v>0.95163995832395798</v>
      </c>
    </row>
    <row r="32" spans="1:11" x14ac:dyDescent="0.25">
      <c r="A32">
        <v>3.1</v>
      </c>
      <c r="B32" s="2">
        <v>1.3167274632755999E-5</v>
      </c>
      <c r="C32" s="2">
        <v>2.01533016552724E-4</v>
      </c>
      <c r="D32" s="2">
        <v>3.0762966109690402E-3</v>
      </c>
      <c r="E32" s="2">
        <v>2.4896112586993299E-2</v>
      </c>
      <c r="F32" s="2">
        <v>0.102476152132113</v>
      </c>
      <c r="G32" s="2">
        <v>0.33800734883776801</v>
      </c>
      <c r="H32" s="2">
        <v>0.69543138385760495</v>
      </c>
      <c r="I32" s="2">
        <v>0.91080133376646999</v>
      </c>
      <c r="J32" s="2">
        <v>0.93839341261441001</v>
      </c>
      <c r="K32" s="2">
        <v>0.95633329345381202</v>
      </c>
    </row>
    <row r="33" spans="1:11" x14ac:dyDescent="0.25">
      <c r="A33">
        <v>3.2</v>
      </c>
      <c r="B33" s="2">
        <v>9.1215092826843393E-6</v>
      </c>
      <c r="C33" s="2">
        <v>1.5244997759485999E-4</v>
      </c>
      <c r="D33" s="2">
        <v>2.5422112056771901E-3</v>
      </c>
      <c r="E33" s="2">
        <v>2.20676359096834E-2</v>
      </c>
      <c r="F33" s="2">
        <v>9.5696772051773599E-2</v>
      </c>
      <c r="G33" s="2">
        <v>0.33167213868733197</v>
      </c>
      <c r="H33" s="2">
        <v>0.69945759934575202</v>
      </c>
      <c r="I33" s="2">
        <v>0.91606653378027203</v>
      </c>
      <c r="J33" s="2">
        <v>0.94362152353999096</v>
      </c>
      <c r="K33" s="2">
        <v>0.96058222470642696</v>
      </c>
    </row>
    <row r="34" spans="1:11" x14ac:dyDescent="0.25">
      <c r="A34">
        <v>3.3</v>
      </c>
      <c r="B34" s="2">
        <v>6.3198997827577003E-6</v>
      </c>
      <c r="C34" s="2">
        <v>1.15340144982435E-4</v>
      </c>
      <c r="D34" s="2">
        <v>2.1010466690295302E-3</v>
      </c>
      <c r="E34" s="2">
        <v>1.95578176780201E-2</v>
      </c>
      <c r="F34" s="2">
        <v>8.9337878117483005E-2</v>
      </c>
      <c r="G34" s="2">
        <v>0.32544402834764802</v>
      </c>
      <c r="H34" s="2">
        <v>0.70349945579475104</v>
      </c>
      <c r="I34" s="2">
        <v>0.92106459151951403</v>
      </c>
      <c r="J34" s="2">
        <v>0.94842106527070602</v>
      </c>
      <c r="K34" s="2">
        <v>0.964425720100616</v>
      </c>
    </row>
    <row r="35" spans="1:11" x14ac:dyDescent="0.25">
      <c r="A35">
        <v>3.4</v>
      </c>
      <c r="B35" s="2">
        <v>4.3795220247835601E-6</v>
      </c>
      <c r="C35" s="2">
        <v>8.7278052128988003E-5</v>
      </c>
      <c r="D35" s="2">
        <v>1.73662092123017E-3</v>
      </c>
      <c r="E35" s="2">
        <v>1.7331637422572401E-2</v>
      </c>
      <c r="F35" s="2">
        <v>8.3377969159610404E-2</v>
      </c>
      <c r="G35" s="2">
        <v>0.31932314909514897</v>
      </c>
      <c r="H35" s="2">
        <v>0.70755586710959895</v>
      </c>
      <c r="I35" s="2">
        <v>0.925805212250986</v>
      </c>
      <c r="J35" s="2">
        <v>0.95282369851375204</v>
      </c>
      <c r="K35" s="2">
        <v>0.96790012094533595</v>
      </c>
    </row>
    <row r="36" spans="1:11" x14ac:dyDescent="0.25">
      <c r="A36">
        <v>3.5</v>
      </c>
      <c r="B36" s="2">
        <v>3.0353753237369298E-6</v>
      </c>
      <c r="C36" s="2">
        <v>6.6054064485687299E-5</v>
      </c>
      <c r="D36" s="2">
        <v>1.43556425205414E-3</v>
      </c>
      <c r="E36" s="2">
        <v>1.5357674274664701E-2</v>
      </c>
      <c r="F36" s="2">
        <v>7.7795840463977695E-2</v>
      </c>
      <c r="G36" s="2">
        <v>0.31330906649703399</v>
      </c>
      <c r="H36" s="2">
        <v>0.71162519328060203</v>
      </c>
      <c r="I36" s="2">
        <v>0.93029792531401001</v>
      </c>
      <c r="J36" s="2">
        <v>0.95685952506239602</v>
      </c>
      <c r="K36" s="2">
        <v>0.97103912376754498</v>
      </c>
    </row>
    <row r="37" spans="1:11" x14ac:dyDescent="0.25">
      <c r="A37">
        <v>3.6</v>
      </c>
      <c r="B37" s="2">
        <v>2.1040999206917799E-6</v>
      </c>
      <c r="C37" s="2">
        <v>4.99991020371786E-5</v>
      </c>
      <c r="D37" s="2">
        <v>1.18683497341893E-3</v>
      </c>
      <c r="E37" s="2">
        <v>1.3607805362814E-2</v>
      </c>
      <c r="F37" s="2">
        <v>7.2570754074698401E-2</v>
      </c>
      <c r="G37" s="2">
        <v>0.307400912103171</v>
      </c>
      <c r="H37" s="2">
        <v>0.71570537233701803</v>
      </c>
      <c r="I37" s="2">
        <v>0.93455212963666601</v>
      </c>
      <c r="J37" s="2">
        <v>0.96055697233818504</v>
      </c>
      <c r="K37" s="2">
        <v>0.97387380980006699</v>
      </c>
    </row>
    <row r="38" spans="1:11" x14ac:dyDescent="0.25">
      <c r="A38">
        <v>3.7</v>
      </c>
      <c r="B38" s="2">
        <v>1.45876881876191E-6</v>
      </c>
      <c r="C38" s="2">
        <v>3.7852168952185903E-5</v>
      </c>
      <c r="D38" s="2">
        <v>9.813161209727729E-4</v>
      </c>
      <c r="E38" s="2">
        <v>1.20569075289737E-2</v>
      </c>
      <c r="F38" s="2">
        <v>6.76825566131809E-2</v>
      </c>
      <c r="G38" s="2">
        <v>0.30159747018016803</v>
      </c>
      <c r="H38" s="2">
        <v>0.71979402046619401</v>
      </c>
      <c r="I38" s="2">
        <v>0.93857711915509201</v>
      </c>
      <c r="J38" s="2">
        <v>0.963942750873789</v>
      </c>
      <c r="K38" s="2">
        <v>0.97643273459042101</v>
      </c>
    </row>
    <row r="39" spans="1:11" x14ac:dyDescent="0.25">
      <c r="A39">
        <v>3.8</v>
      </c>
      <c r="B39" s="2">
        <v>1.0115107443613999E-6</v>
      </c>
      <c r="C39" s="2">
        <v>2.86604306574915E-5</v>
      </c>
      <c r="D39" s="2">
        <v>8.1148116390451102E-4</v>
      </c>
      <c r="E39" s="2">
        <v>1.0682574908203899E-2</v>
      </c>
      <c r="F39" s="2">
        <v>6.3111773322716405E-2</v>
      </c>
      <c r="G39" s="2">
        <v>0.29589726321668602</v>
      </c>
      <c r="H39" s="2">
        <v>0.72388852225613898</v>
      </c>
      <c r="I39" s="2">
        <v>0.94238209272110396</v>
      </c>
      <c r="J39" s="2">
        <v>0.96704184386353798</v>
      </c>
      <c r="K39" s="2">
        <v>0.97874204079020399</v>
      </c>
    </row>
    <row r="40" spans="1:11" x14ac:dyDescent="0.25">
      <c r="A40">
        <v>3.9</v>
      </c>
      <c r="B40" s="2">
        <v>7.01510629421709E-7</v>
      </c>
      <c r="C40" s="2">
        <v>2.17038066041281E-5</v>
      </c>
      <c r="D40" s="2">
        <v>6.7111708957824005E-4</v>
      </c>
      <c r="E40" s="2">
        <v>9.46485302556202E-3</v>
      </c>
      <c r="F40" s="2">
        <v>5.8839675172031897E-2</v>
      </c>
      <c r="G40" s="2">
        <v>0.29029862339142998</v>
      </c>
      <c r="H40" s="2">
        <v>0.72798610567632804</v>
      </c>
      <c r="I40" s="2">
        <v>0.945976152291922</v>
      </c>
      <c r="J40" s="2">
        <v>0.96987752929441495</v>
      </c>
      <c r="K40" s="2">
        <v>0.98082559152601501</v>
      </c>
    </row>
    <row r="41" spans="1:11" x14ac:dyDescent="0.25">
      <c r="A41">
        <v>4</v>
      </c>
      <c r="B41" s="2">
        <v>4.8657249024564302E-7</v>
      </c>
      <c r="C41" s="2">
        <v>1.6437907392111399E-5</v>
      </c>
      <c r="D41" s="2">
        <v>5.5509505588534499E-4</v>
      </c>
      <c r="E41" s="2">
        <v>8.3859899117327795E-3</v>
      </c>
      <c r="F41" s="2">
        <v>5.4848317791103503E-2</v>
      </c>
      <c r="G41" s="2">
        <v>0.284799738604884</v>
      </c>
      <c r="H41" s="2">
        <v>0.73208390009687196</v>
      </c>
      <c r="I41" s="2">
        <v>0.94936829425835201</v>
      </c>
      <c r="J41" s="2">
        <v>0.97247143268703995</v>
      </c>
      <c r="K41" s="2">
        <v>0.98270512034311797</v>
      </c>
    </row>
    <row r="42" spans="1:11" x14ac:dyDescent="0.25">
      <c r="A42">
        <v>4.0999999999999996</v>
      </c>
      <c r="B42" s="2">
        <v>3.3753761671339198E-7</v>
      </c>
      <c r="C42" s="2">
        <v>1.2451227154149601E-5</v>
      </c>
      <c r="D42" s="2">
        <v>4.5918133868004502E-4</v>
      </c>
      <c r="E42" s="2">
        <v>7.43020996004661E-3</v>
      </c>
      <c r="F42" s="2">
        <v>5.1120575182093897E-2</v>
      </c>
      <c r="G42" s="2">
        <v>0.279398715522439</v>
      </c>
      <c r="H42" s="2">
        <v>0.73617899215288896</v>
      </c>
      <c r="I42" s="2">
        <v>0.95256739303558102</v>
      </c>
      <c r="J42" s="2">
        <v>0.974843582024436</v>
      </c>
      <c r="K42" s="2">
        <v>0.98440037524637702</v>
      </c>
    </row>
    <row r="43" spans="1:11" x14ac:dyDescent="0.25">
      <c r="A43">
        <v>4.2</v>
      </c>
      <c r="B43" s="2">
        <v>2.3418462021250101E-7</v>
      </c>
      <c r="C43" s="2">
        <v>9.4325675364928894E-6</v>
      </c>
      <c r="D43" s="2">
        <v>3.7988069393850299E-4</v>
      </c>
      <c r="E43" s="2">
        <v>6.5835038330588598E-3</v>
      </c>
      <c r="F43" s="2">
        <v>4.7640145829238201E-2</v>
      </c>
      <c r="G43" s="2">
        <v>0.27409360579997</v>
      </c>
      <c r="H43" s="2">
        <v>0.74026846312420103</v>
      </c>
      <c r="I43" s="2">
        <v>0.955582183939375</v>
      </c>
      <c r="J43" s="2">
        <v>0.977012488958235</v>
      </c>
      <c r="K43" s="2">
        <v>0.98592927389404394</v>
      </c>
    </row>
    <row r="44" spans="1:11" x14ac:dyDescent="0.25">
      <c r="A44">
        <v>4.3</v>
      </c>
      <c r="B44" s="2">
        <v>1.6250163845413999E-7</v>
      </c>
      <c r="C44" s="2">
        <v>7.1465592997828297E-6</v>
      </c>
      <c r="D44" s="2">
        <v>3.1430730121286102E-4</v>
      </c>
      <c r="E44" s="2">
        <v>5.8334390996108198E-3</v>
      </c>
      <c r="F44" s="2">
        <v>4.4391553960914702E-2</v>
      </c>
      <c r="G44" s="2">
        <v>0.26888243909047799</v>
      </c>
      <c r="H44" s="2">
        <v>0.74434942316535102</v>
      </c>
      <c r="I44" s="2">
        <v>0.95842124348227897</v>
      </c>
      <c r="J44" s="2">
        <v>0.97899522924193605</v>
      </c>
      <c r="K44" s="2">
        <v>0.98730804962664998</v>
      </c>
    </row>
    <row r="45" spans="1:11" x14ac:dyDescent="0.25">
      <c r="A45">
        <v>4.4000000000000004</v>
      </c>
      <c r="B45" s="2">
        <v>1.12777883481911E-7</v>
      </c>
      <c r="C45" s="2">
        <v>5.4151517676735897E-6</v>
      </c>
      <c r="D45" s="2">
        <v>2.6007822033915899E-4</v>
      </c>
      <c r="E45" s="2">
        <v>5.1689885927755901E-3</v>
      </c>
      <c r="F45" s="2">
        <v>4.1360140318023701E-2</v>
      </c>
      <c r="G45" s="2">
        <v>0.263763246819886</v>
      </c>
      <c r="H45" s="2">
        <v>0.74841903786421204</v>
      </c>
      <c r="I45" s="2">
        <v>0.96109296980919801</v>
      </c>
      <c r="J45" s="2">
        <v>0.98080752841162899</v>
      </c>
      <c r="K45" s="2">
        <v>0.98855139290935201</v>
      </c>
    </row>
    <row r="46" spans="1:11" x14ac:dyDescent="0.25">
      <c r="A46">
        <v>4.5</v>
      </c>
      <c r="B46" s="2">
        <v>7.8282283895624799E-8</v>
      </c>
      <c r="C46" s="2">
        <v>4.1036296200891801E-6</v>
      </c>
      <c r="D46" s="2">
        <v>2.152254946713E-4</v>
      </c>
      <c r="E46" s="2">
        <v>4.5803757632153601E-3</v>
      </c>
      <c r="F46" s="2">
        <v>3.8532045881757702E-2</v>
      </c>
      <c r="G46" s="2">
        <v>0.25873408069727</v>
      </c>
      <c r="H46" s="2">
        <v>0.75247454919402101</v>
      </c>
      <c r="I46" s="2">
        <v>0.96360556399504205</v>
      </c>
      <c r="J46" s="2">
        <v>0.98246384857528102</v>
      </c>
      <c r="K46" s="2">
        <v>0.98967258544722603</v>
      </c>
    </row>
    <row r="47" spans="1:11" x14ac:dyDescent="0.25">
      <c r="A47">
        <v>4.5999999999999996</v>
      </c>
      <c r="B47" s="2">
        <v>5.4406647154008102E-8</v>
      </c>
      <c r="C47" s="2">
        <v>3.1101058942824398E-6</v>
      </c>
      <c r="D47" s="2">
        <v>1.7812371326524399E-4</v>
      </c>
      <c r="E47" s="2">
        <v>4.0589360291037099E-3</v>
      </c>
      <c r="F47" s="2">
        <v>3.5894191241937497E-2</v>
      </c>
      <c r="G47" s="2">
        <v>0.253793029468181</v>
      </c>
      <c r="H47" s="2">
        <v>0.75651329197934603</v>
      </c>
      <c r="I47" s="2">
        <v>0.965967012464926</v>
      </c>
      <c r="J47" s="2">
        <v>0.98397747348734299</v>
      </c>
      <c r="K47" s="2">
        <v>0.99068362541592603</v>
      </c>
    </row>
    <row r="48" spans="1:11" x14ac:dyDescent="0.25">
      <c r="A48">
        <v>4.7</v>
      </c>
      <c r="B48" s="2">
        <v>3.7799022312643501E-8</v>
      </c>
      <c r="C48" s="2">
        <v>2.3573039985485798E-6</v>
      </c>
      <c r="D48" s="2">
        <v>1.47429940397924E-4</v>
      </c>
      <c r="E48" s="2">
        <v>3.59699153235837E-3</v>
      </c>
      <c r="F48" s="2">
        <v>3.3434247093991801E-2</v>
      </c>
      <c r="G48" s="2">
        <v>0.24893821883643999</v>
      </c>
      <c r="H48" s="2">
        <v>0.76053270532952499</v>
      </c>
      <c r="I48" s="2">
        <v>0.96818507346105798</v>
      </c>
      <c r="J48" s="2">
        <v>0.98536059626123396</v>
      </c>
      <c r="K48" s="2">
        <v>0.991595347289708</v>
      </c>
    </row>
    <row r="49" spans="1:11" x14ac:dyDescent="0.25">
      <c r="A49">
        <v>4.8</v>
      </c>
      <c r="B49" s="2">
        <v>2.6273888641203701E-8</v>
      </c>
      <c r="C49" s="2">
        <v>1.7868724031755399E-6</v>
      </c>
      <c r="D49" s="2">
        <v>1.2203478888025601E-4</v>
      </c>
      <c r="E49" s="2">
        <v>3.1877414115787399E-3</v>
      </c>
      <c r="F49" s="2">
        <v>3.1140612048021699E-2</v>
      </c>
      <c r="G49" s="2">
        <v>0.24416783526271199</v>
      </c>
      <c r="H49" s="2">
        <v>0.76453034325284897</v>
      </c>
      <c r="I49" s="2">
        <v>0.97026726157473597</v>
      </c>
      <c r="J49" s="2">
        <v>0.98662439416541803</v>
      </c>
      <c r="K49" s="2">
        <v>0.99241752612751699</v>
      </c>
    </row>
    <row r="50" spans="1:11" x14ac:dyDescent="0.25">
      <c r="A50">
        <v>4.9000000000000004</v>
      </c>
      <c r="B50" s="2">
        <v>1.82750818020309E-8</v>
      </c>
      <c r="C50" s="2">
        <v>1.35458798897059E-6</v>
      </c>
      <c r="D50" s="2">
        <v>1.01021457887319E-4</v>
      </c>
      <c r="E50" s="2">
        <v>2.82516178501163E-3</v>
      </c>
      <c r="F50" s="2">
        <v>2.9002378287790599E-2</v>
      </c>
      <c r="G50" s="2">
        <v>0.23948012013794501</v>
      </c>
      <c r="H50" s="2">
        <v>0.76850387992483205</v>
      </c>
      <c r="I50" s="2">
        <v>0.97222083884079002</v>
      </c>
      <c r="J50" s="2">
        <v>0.98777910972723204</v>
      </c>
      <c r="K50" s="2">
        <v>0.99315898012843595</v>
      </c>
    </row>
    <row r="51" spans="1:11" x14ac:dyDescent="0.25">
      <c r="A51">
        <v>5</v>
      </c>
      <c r="B51" s="2">
        <v>1.2723168276034299E-8</v>
      </c>
      <c r="C51" s="2">
        <v>1.02696374504671E-6</v>
      </c>
      <c r="D51" s="2">
        <v>8.3632231015851293E-5</v>
      </c>
      <c r="E51" s="2">
        <v>2.5039177838415299E-3</v>
      </c>
      <c r="F51" s="2">
        <v>2.7009301389674101E-2</v>
      </c>
      <c r="G51" s="2">
        <v>0.23487337583245901</v>
      </c>
      <c r="H51" s="2">
        <v>0.77245111416332501</v>
      </c>
      <c r="I51" s="2">
        <v>0.97405280608919098</v>
      </c>
      <c r="J51" s="2">
        <v>0.98883412252610503</v>
      </c>
      <c r="K51" s="2">
        <v>0.99382766126396604</v>
      </c>
    </row>
    <row r="52" spans="1:11" x14ac:dyDescent="0.25">
      <c r="A52">
        <v>5.0999999999999996</v>
      </c>
      <c r="B52" s="2">
        <v>8.8693078016716795E-9</v>
      </c>
      <c r="C52" s="2">
        <v>7.7863879186843E-7</v>
      </c>
      <c r="D52" s="2">
        <v>6.9240777617147399E-5</v>
      </c>
      <c r="E52" s="2">
        <v>2.2192851141022698E-3</v>
      </c>
      <c r="F52" s="2">
        <v>2.5151768555036799E-2</v>
      </c>
      <c r="G52" s="2">
        <v>0.230345967375748</v>
      </c>
      <c r="H52" s="2">
        <v>0.77636997175348399</v>
      </c>
      <c r="I52" s="2">
        <v>0.97576989703254102</v>
      </c>
      <c r="J52" s="2">
        <v>0.98979801769666997</v>
      </c>
      <c r="K52" s="2">
        <v>0.994430738698172</v>
      </c>
    </row>
    <row r="53" spans="1:11" x14ac:dyDescent="0.25">
      <c r="A53">
        <v>5.2</v>
      </c>
      <c r="B53" s="2">
        <v>6.1939444623108302E-9</v>
      </c>
      <c r="C53" s="2">
        <v>5.9040390545386299E-7</v>
      </c>
      <c r="D53" s="2">
        <v>5.7329295186954401E-5</v>
      </c>
      <c r="E53" s="2">
        <v>1.96708038172914E-3</v>
      </c>
      <c r="F53" s="2">
        <v>2.3420766801961802E-2</v>
      </c>
      <c r="G53" s="2">
        <v>0.225896322895905</v>
      </c>
      <c r="H53" s="2">
        <v>0.78025850626551596</v>
      </c>
      <c r="I53" s="2">
        <v>0.97737857454343702</v>
      </c>
      <c r="J53" s="2">
        <v>0.99067865001127298</v>
      </c>
      <c r="K53" s="2">
        <v>0.99497467473635204</v>
      </c>
    </row>
    <row r="54" spans="1:11" x14ac:dyDescent="0.25">
      <c r="A54">
        <v>5.3</v>
      </c>
      <c r="B54" s="2">
        <v>4.3365641316598303E-9</v>
      </c>
      <c r="C54" s="2">
        <v>4.4770752309987201E-7</v>
      </c>
      <c r="D54" s="2">
        <v>4.7469643532959102E-5</v>
      </c>
      <c r="E54" s="2">
        <v>1.74359925479095E-3</v>
      </c>
      <c r="F54" s="2">
        <v>2.1807851481584501E-2</v>
      </c>
      <c r="G54" s="2">
        <v>0.221522933084247</v>
      </c>
      <c r="H54" s="2">
        <v>0.78411489864278106</v>
      </c>
      <c r="I54" s="2">
        <v>0.97888502896393004</v>
      </c>
      <c r="J54" s="2">
        <v>0.99148320357697295</v>
      </c>
      <c r="K54" s="2">
        <v>0.99546529381154203</v>
      </c>
    </row>
    <row r="55" spans="1:11" x14ac:dyDescent="0.25">
      <c r="A55">
        <v>5.4</v>
      </c>
      <c r="B55" s="2">
        <v>3.0469846590489398E-9</v>
      </c>
      <c r="C55" s="2">
        <v>3.3952510266247002E-7</v>
      </c>
      <c r="D55" s="2">
        <v>3.9307770836832402E-5</v>
      </c>
      <c r="E55" s="2">
        <v>1.5455616195104501E-3</v>
      </c>
      <c r="F55" s="2">
        <v>2.03051153995513E-2</v>
      </c>
      <c r="G55" s="2">
        <v>0.217224349904795</v>
      </c>
      <c r="H55" s="2">
        <v>0.78793745579330499</v>
      </c>
      <c r="I55" s="2">
        <v>0.98029517826575796</v>
      </c>
      <c r="J55" s="2">
        <v>0.99221824725580099</v>
      </c>
      <c r="K55" s="2">
        <v>0.99590784502878305</v>
      </c>
    </row>
    <row r="56" spans="1:11" x14ac:dyDescent="0.25">
      <c r="A56">
        <v>5.5</v>
      </c>
      <c r="B56" s="2">
        <v>2.1515732843385701E-9</v>
      </c>
      <c r="C56" s="2">
        <v>2.5750331659340702E-7</v>
      </c>
      <c r="D56" s="2">
        <v>3.2550854852105002E-5</v>
      </c>
      <c r="E56" s="2">
        <v>1.37006296627583E-3</v>
      </c>
      <c r="F56" s="2">
        <v>1.8905158753968601E-2</v>
      </c>
      <c r="G56" s="2">
        <v>0.21299918472993201</v>
      </c>
      <c r="H56" s="2">
        <v>0.79172460838057601</v>
      </c>
      <c r="I56" s="2">
        <v>0.98161466986764301</v>
      </c>
      <c r="J56" s="2">
        <v>0.99288978596794697</v>
      </c>
      <c r="K56" s="2">
        <v>0.99630705878147596</v>
      </c>
    </row>
    <row r="57" spans="1:11" x14ac:dyDescent="0.25">
      <c r="A57">
        <v>5.6</v>
      </c>
      <c r="B57" s="2">
        <v>1.5298137282302299E-9</v>
      </c>
      <c r="C57" s="2">
        <v>1.9531216783160799E-7</v>
      </c>
      <c r="D57" s="2">
        <v>2.6956683918125499E-5</v>
      </c>
      <c r="E57" s="2">
        <v>1.21453131712146E-3</v>
      </c>
      <c r="F57" s="2">
        <v>1.76010600450268E-2</v>
      </c>
      <c r="G57" s="2">
        <v>0.208846106051225</v>
      </c>
      <c r="H57" s="2">
        <v>0.79547490797809906</v>
      </c>
      <c r="I57" s="2">
        <v>0.98284888391207803</v>
      </c>
      <c r="J57" s="2">
        <v>0.993503308071221</v>
      </c>
      <c r="K57" s="2">
        <v>0.99666719793764402</v>
      </c>
    </row>
    <row r="58" spans="1:11" x14ac:dyDescent="0.25">
      <c r="A58">
        <v>5.7</v>
      </c>
      <c r="B58" s="2">
        <v>1.09805020791684E-9</v>
      </c>
      <c r="C58" s="2">
        <v>1.4815443561421099E-7</v>
      </c>
      <c r="D58" s="2">
        <v>2.23248860275381E-5</v>
      </c>
      <c r="E58" s="2">
        <v>1.0766890763389101E-3</v>
      </c>
      <c r="F58" s="2">
        <v>1.63863480660674E-2</v>
      </c>
      <c r="G58" s="2">
        <v>0.204763836887532</v>
      </c>
      <c r="H58" s="2">
        <v>0.79918702372596595</v>
      </c>
      <c r="I58" s="2">
        <v>0.98400293780651304</v>
      </c>
      <c r="J58" s="2">
        <v>0.99406382903049795</v>
      </c>
      <c r="K58" s="2">
        <v>0.99699210407019201</v>
      </c>
    </row>
    <row r="59" spans="1:11" x14ac:dyDescent="0.25">
      <c r="A59">
        <v>5.8</v>
      </c>
      <c r="B59" s="2">
        <v>7.9820894858591701E-10</v>
      </c>
      <c r="C59" s="2">
        <v>1.1239419104195699E-7</v>
      </c>
      <c r="D59" s="2">
        <v>1.8489683006764101E-5</v>
      </c>
      <c r="E59" s="2">
        <v>9.5451925060735098E-4</v>
      </c>
      <c r="F59" s="2">
        <v>1.5254975049334801E-2</v>
      </c>
      <c r="G59" s="2">
        <v>0.20075115198996801</v>
      </c>
      <c r="H59" s="2">
        <v>0.80285973860554705</v>
      </c>
      <c r="I59" s="2">
        <v>0.98508169184097605</v>
      </c>
      <c r="J59" s="2">
        <v>0.99457593160135604</v>
      </c>
      <c r="K59" s="2">
        <v>0.99728523917720502</v>
      </c>
    </row>
    <row r="60" spans="1:11" x14ac:dyDescent="0.25">
      <c r="A60">
        <v>5.9</v>
      </c>
      <c r="B60" s="2">
        <v>5.8997225150365995E-10</v>
      </c>
      <c r="C60" s="2">
        <v>8.5275442093741602E-8</v>
      </c>
      <c r="D60" s="2">
        <v>1.53139035548329E-5</v>
      </c>
      <c r="E60" s="2">
        <v>8.4623554422220005E-4</v>
      </c>
      <c r="F60" s="2">
        <v>1.4201291010455299E-2</v>
      </c>
      <c r="G60" s="2">
        <v>0.19680687492454799</v>
      </c>
      <c r="H60" s="2">
        <v>0.806491945429752</v>
      </c>
      <c r="I60" s="2">
        <v>0.986089755704468</v>
      </c>
      <c r="J60" s="2">
        <v>0.99504380275531001</v>
      </c>
      <c r="K60" s="2">
        <v>0.99754972330803804</v>
      </c>
    </row>
    <row r="61" spans="1:11" x14ac:dyDescent="0.25">
      <c r="A61">
        <v>6</v>
      </c>
      <c r="B61" s="2">
        <v>5.6176301103345195E-10</v>
      </c>
      <c r="C61" s="2">
        <v>6.4825432645249601E-8</v>
      </c>
      <c r="D61" s="2">
        <v>1.2684152898147899E-5</v>
      </c>
      <c r="E61" s="2">
        <v>7.5025605170146801E-4</v>
      </c>
      <c r="F61" s="2">
        <v>1.3220019938169399E-2</v>
      </c>
      <c r="G61" s="2">
        <v>0.19292987770159101</v>
      </c>
      <c r="H61" s="2">
        <v>0.810082641896124</v>
      </c>
      <c r="I61" s="2">
        <v>0.98703149531491396</v>
      </c>
      <c r="J61" s="2">
        <v>0.99547126712671297</v>
      </c>
      <c r="K61" s="2">
        <v>0.99778836817987004</v>
      </c>
    </row>
    <row r="62" spans="1:11" x14ac:dyDescent="0.25">
      <c r="A62">
        <v>6.1</v>
      </c>
      <c r="B62" s="2">
        <v>4.6131424073982998E-10</v>
      </c>
      <c r="C62" s="2">
        <v>4.9227508589603499E-8</v>
      </c>
      <c r="D62" s="2">
        <v>1.05062538998582E-5</v>
      </c>
      <c r="E62" s="2">
        <v>6.6517917292703598E-4</v>
      </c>
      <c r="F62" s="2">
        <v>1.23062340434919E-2</v>
      </c>
      <c r="G62" s="2">
        <v>0.18911906731629599</v>
      </c>
      <c r="H62" s="2">
        <v>0.81363092915242896</v>
      </c>
      <c r="I62" s="2">
        <v>0.98791104234869298</v>
      </c>
      <c r="J62" s="2">
        <v>0.99586181990243305</v>
      </c>
      <c r="K62" s="2">
        <v>0.99800370895763901</v>
      </c>
    </row>
    <row r="63" spans="1:11" x14ac:dyDescent="0.25">
      <c r="A63">
        <v>6.2</v>
      </c>
      <c r="B63" s="2">
        <v>3.9154508613454199E-10</v>
      </c>
      <c r="C63" s="2">
        <v>3.7397311467332301E-8</v>
      </c>
      <c r="D63" s="2">
        <v>8.7025708018033902E-6</v>
      </c>
      <c r="E63" s="2">
        <v>5.8976387280526999E-4</v>
      </c>
      <c r="F63" s="2">
        <v>1.1455335617150101E-2</v>
      </c>
      <c r="G63" s="2">
        <v>0.18537339862827401</v>
      </c>
      <c r="H63" s="2">
        <v>0.81713600304485601</v>
      </c>
      <c r="I63" s="2">
        <v>0.988732299943611</v>
      </c>
      <c r="J63" s="2">
        <v>0.99621865253032904</v>
      </c>
      <c r="K63" s="2">
        <v>0.99819802992329998</v>
      </c>
    </row>
    <row r="64" spans="1:11" x14ac:dyDescent="0.25">
      <c r="A64">
        <v>6.3</v>
      </c>
      <c r="B64" s="2">
        <v>3.4308351695226201E-10</v>
      </c>
      <c r="C64" s="2">
        <v>2.8424403583532601E-8</v>
      </c>
      <c r="D64" s="2">
        <v>7.2087442983859401E-6</v>
      </c>
      <c r="E64" s="2">
        <v>5.22910663525405E-4</v>
      </c>
      <c r="F64" s="2">
        <v>1.06630336023291E-2</v>
      </c>
      <c r="G64" s="2">
        <v>0.18169186086570299</v>
      </c>
      <c r="H64" s="2">
        <v>0.82059715251909804</v>
      </c>
      <c r="I64" s="2">
        <v>0.98949895303197799</v>
      </c>
      <c r="J64" s="2">
        <v>0.99654468067216095</v>
      </c>
      <c r="K64" s="2">
        <v>0.99837339053083896</v>
      </c>
    </row>
    <row r="65" spans="1:11" x14ac:dyDescent="0.25">
      <c r="A65">
        <v>6.4</v>
      </c>
      <c r="B65" s="2">
        <v>3.0942107980050901E-10</v>
      </c>
      <c r="C65" s="2">
        <v>2.1618444744655402E-8</v>
      </c>
      <c r="D65" s="2">
        <v>5.9714976873800799E-6</v>
      </c>
      <c r="E65" s="2">
        <v>4.6364553463603097E-4</v>
      </c>
      <c r="F65" s="2">
        <v>9.92532460087521E-3</v>
      </c>
      <c r="G65" s="2">
        <v>0.17807347751948799</v>
      </c>
      <c r="H65" s="2">
        <v>0.82401375446978498</v>
      </c>
      <c r="I65" s="2">
        <v>0.99021447671305296</v>
      </c>
      <c r="J65" s="2">
        <v>0.99684256758379297</v>
      </c>
      <c r="K65" s="2">
        <v>0.998531647409582</v>
      </c>
    </row>
    <row r="66" spans="1:11" x14ac:dyDescent="0.25">
      <c r="A66">
        <v>6.5</v>
      </c>
      <c r="B66" s="2">
        <v>2.8603773249305702E-10</v>
      </c>
      <c r="C66" s="2">
        <v>1.6455954794693501E-8</v>
      </c>
      <c r="D66" s="2">
        <v>4.9467253003656704E-6</v>
      </c>
      <c r="E66" s="2">
        <v>4.1110558187769201E-4</v>
      </c>
      <c r="F66" s="2">
        <v>9.2384743367592108E-3</v>
      </c>
      <c r="G66" s="2">
        <v>0.174517303674598</v>
      </c>
      <c r="H66" s="2">
        <v>0.82738526933694001</v>
      </c>
      <c r="I66" s="2">
        <v>0.99088214518118301</v>
      </c>
      <c r="J66" s="2">
        <v>0.99711474594008598</v>
      </c>
      <c r="K66" s="2">
        <v>0.99867447446537605</v>
      </c>
    </row>
    <row r="67" spans="1:11" x14ac:dyDescent="0.25">
      <c r="A67">
        <v>6.6</v>
      </c>
      <c r="B67" s="2">
        <v>2.6979422225668498E-10</v>
      </c>
      <c r="C67" s="2">
        <v>1.253996187817E-8</v>
      </c>
      <c r="D67" s="2">
        <v>4.09791136343981E-6</v>
      </c>
      <c r="E67" s="2">
        <v>3.6452628836308601E-4</v>
      </c>
      <c r="F67" s="2">
        <v>8.5990001992675893E-3</v>
      </c>
      <c r="G67" s="2">
        <v>0.17102242346716101</v>
      </c>
      <c r="H67" s="2">
        <v>0.83071123677004399</v>
      </c>
      <c r="I67" s="2">
        <v>0.991505040688067</v>
      </c>
      <c r="J67" s="2">
        <v>0.99736343779078596</v>
      </c>
      <c r="K67" s="2">
        <v>0.99880338097853405</v>
      </c>
    </row>
    <row r="68" spans="1:11" x14ac:dyDescent="0.25">
      <c r="A68">
        <v>6.7</v>
      </c>
      <c r="B68" s="2">
        <v>2.5851019099901398E-10</v>
      </c>
      <c r="C68" s="2">
        <v>9.5694150134371895E-9</v>
      </c>
      <c r="D68" s="2">
        <v>3.39482201042249E-6</v>
      </c>
      <c r="E68" s="2">
        <v>3.2323026759983398E-4</v>
      </c>
      <c r="F68" s="2">
        <v>8.0036548219880599E-3</v>
      </c>
      <c r="G68" s="2">
        <v>0.16758794767661001</v>
      </c>
      <c r="H68" s="2">
        <v>0.83399127138083295</v>
      </c>
      <c r="I68" s="2">
        <v>0.99208606246797304</v>
      </c>
      <c r="J68" s="2">
        <v>0.99759067280181302</v>
      </c>
      <c r="K68" s="2">
        <v>0.99891972789799099</v>
      </c>
    </row>
    <row r="69" spans="1:11" x14ac:dyDescent="0.25">
      <c r="A69">
        <v>6.8</v>
      </c>
      <c r="B69" s="2">
        <v>2.50671220493606E-10</v>
      </c>
      <c r="C69" s="2">
        <v>7.3159964257186496E-9</v>
      </c>
      <c r="D69" s="2">
        <v>2.8124231347840999E-6</v>
      </c>
      <c r="E69" s="2">
        <v>2.8661729977088799E-4</v>
      </c>
      <c r="F69" s="2">
        <v>7.4494106518832696E-3</v>
      </c>
      <c r="G69" s="2">
        <v>0.16421301145876899</v>
      </c>
      <c r="H69" s="2">
        <v>0.83722505860158403</v>
      </c>
      <c r="I69" s="2">
        <v>0.99262793556554496</v>
      </c>
      <c r="J69" s="2">
        <v>0.99779830492509503</v>
      </c>
      <c r="K69" s="2">
        <v>0.99902474251172102</v>
      </c>
    </row>
    <row r="70" spans="1:11" x14ac:dyDescent="0.25">
      <c r="A70">
        <v>6.9</v>
      </c>
      <c r="B70" s="2">
        <v>2.4522539949522898E-10</v>
      </c>
      <c r="C70" s="2">
        <v>5.6065422184309396E-9</v>
      </c>
      <c r="D70" s="2">
        <v>2.3299849895990799E-6</v>
      </c>
      <c r="E70" s="2">
        <v>2.54155512124208E-4</v>
      </c>
      <c r="F70" s="2">
        <v>6.9334454618815104E-3</v>
      </c>
      <c r="G70" s="2">
        <v>0.160896772222895</v>
      </c>
      <c r="H70" s="2">
        <v>0.84041235066187703</v>
      </c>
      <c r="I70" s="2">
        <v>0.993133219515691</v>
      </c>
      <c r="J70" s="2">
        <v>0.997988027629231</v>
      </c>
      <c r="K70" s="2">
        <v>0.99911953165575795</v>
      </c>
    </row>
    <row r="71" spans="1:11" x14ac:dyDescent="0.25">
      <c r="A71">
        <v>7</v>
      </c>
      <c r="B71" s="2">
        <v>2.41442049178131E-10</v>
      </c>
      <c r="C71" s="2">
        <v>4.3097140201223099E-9</v>
      </c>
      <c r="D71" s="2">
        <v>1.9303412327321402E-6</v>
      </c>
      <c r="E71" s="2">
        <v>2.25373571543804E-4</v>
      </c>
      <c r="F71" s="2">
        <v>6.45312876024707E-3</v>
      </c>
      <c r="G71" s="2">
        <v>0.15763840765338799</v>
      </c>
      <c r="H71" s="2">
        <v>0.84355296269375701</v>
      </c>
      <c r="I71" s="2">
        <v>0.99360431683391504</v>
      </c>
      <c r="J71" s="2">
        <v>0.99816138781297103</v>
      </c>
      <c r="K71" s="2">
        <v>0.99920509360815202</v>
      </c>
    </row>
    <row r="72" spans="1:11" x14ac:dyDescent="0.25">
      <c r="A72">
        <v>7.1</v>
      </c>
      <c r="B72" s="2">
        <v>2.3881360992391198E-10</v>
      </c>
      <c r="C72" s="2">
        <v>3.3258930229071198E-9</v>
      </c>
      <c r="D72" s="2">
        <v>1.5992757189382E-6</v>
      </c>
      <c r="E72" s="2">
        <v>1.99853772621197E-4</v>
      </c>
      <c r="F72" s="2">
        <v>6.0060090503748801E-3</v>
      </c>
      <c r="G72" s="2">
        <v>0.15443711387506201</v>
      </c>
      <c r="H72" s="2">
        <v>0.84664676897244595</v>
      </c>
      <c r="I72" s="2">
        <v>0.99404348128343401</v>
      </c>
      <c r="J72" s="2">
        <v>0.99831979851382402</v>
      </c>
      <c r="K72" s="2">
        <v>0.99928232879955703</v>
      </c>
    </row>
    <row r="73" spans="1:11" x14ac:dyDescent="0.25">
      <c r="A73">
        <v>7.2</v>
      </c>
      <c r="B73" s="2">
        <v>2.3698750004636901E-10</v>
      </c>
      <c r="C73" s="2">
        <v>2.5795168937382399E-9</v>
      </c>
      <c r="D73" s="2">
        <v>1.32501496894071E-6</v>
      </c>
      <c r="E73" s="2">
        <v>1.77225918039533E-4</v>
      </c>
      <c r="F73" s="2">
        <v>5.5898018954701001E-3</v>
      </c>
      <c r="G73" s="2">
        <v>0.15129210375936</v>
      </c>
      <c r="H73" s="2">
        <v>0.84969369929750704</v>
      </c>
      <c r="I73" s="2">
        <v>0.99445282589242701</v>
      </c>
      <c r="J73" s="2">
        <v>0.99846455051498895</v>
      </c>
      <c r="K73" s="2">
        <v>0.99935204945906797</v>
      </c>
    </row>
    <row r="74" spans="1:11" x14ac:dyDescent="0.25">
      <c r="A74">
        <v>7.3</v>
      </c>
      <c r="B74" s="2">
        <v>2.3571878858473898E-10</v>
      </c>
      <c r="C74" s="2">
        <v>2.0132687412912498E-9</v>
      </c>
      <c r="D74" s="2">
        <v>1.0978080686497199E-6</v>
      </c>
      <c r="E74" s="2">
        <v>1.57161900018715E-4</v>
      </c>
      <c r="F74" s="2">
        <v>5.2023787436996398E-3</v>
      </c>
      <c r="G74" s="2">
        <v>0.148202605367727</v>
      </c>
      <c r="H74" s="2">
        <v>0.85269373551744798</v>
      </c>
      <c r="I74" s="2">
        <v>0.99483433070101202</v>
      </c>
      <c r="J74" s="2">
        <v>0.99859682294532703</v>
      </c>
      <c r="K74" s="2">
        <v>0.99941498830194198</v>
      </c>
    </row>
    <row r="75" spans="1:11" x14ac:dyDescent="0.25">
      <c r="A75">
        <v>7.4</v>
      </c>
      <c r="B75" s="2">
        <v>2.3483732315794401E-10</v>
      </c>
      <c r="C75" s="2">
        <v>1.5836703044900101E-9</v>
      </c>
      <c r="D75" s="2">
        <v>9.0957891023234599E-7</v>
      </c>
      <c r="E75" s="2">
        <v>1.39370902125839E-4</v>
      </c>
      <c r="F75" s="2">
        <v>4.8417564707748601E-3</v>
      </c>
      <c r="G75" s="2">
        <v>0.14516786052751501</v>
      </c>
      <c r="H75" s="2">
        <v>0.85564690819915301</v>
      </c>
      <c r="I75" s="2">
        <v>0.99518985022293704</v>
      </c>
      <c r="J75" s="2">
        <v>0.99871769295922797</v>
      </c>
      <c r="K75" s="2">
        <v>0.99947180635520105</v>
      </c>
    </row>
    <row r="76" spans="1:11" x14ac:dyDescent="0.25">
      <c r="A76">
        <v>7.5</v>
      </c>
      <c r="B76" s="2">
        <v>2.3422489708986301E-10</v>
      </c>
      <c r="C76" s="2">
        <v>1.2577398815519101E-9</v>
      </c>
      <c r="D76" s="2">
        <v>7.53638296772508E-7</v>
      </c>
      <c r="E76" s="2">
        <v>1.23595150088387E-4</v>
      </c>
      <c r="F76" s="2">
        <v>4.5060875984630497E-3</v>
      </c>
      <c r="G76" s="2">
        <v>0.142187123535019</v>
      </c>
      <c r="H76" s="2">
        <v>0.85855329344214204</v>
      </c>
      <c r="I76" s="2">
        <v>0.99552112061167597</v>
      </c>
      <c r="J76" s="2">
        <v>0.99882814457590796</v>
      </c>
      <c r="K76" s="2">
        <v>0.99952310000738798</v>
      </c>
    </row>
    <row r="77" spans="1:11" x14ac:dyDescent="0.25">
      <c r="A77">
        <v>7.6</v>
      </c>
      <c r="B77" s="2">
        <v>2.3379938925642499E-10</v>
      </c>
      <c r="C77" s="2">
        <v>1.01045763629195E-9</v>
      </c>
      <c r="D77" s="2">
        <v>6.2444558940358695E-7</v>
      </c>
      <c r="E77" s="2">
        <v>1.0960614849865E-4</v>
      </c>
      <c r="F77" s="2">
        <v>4.1936511491832001E-3</v>
      </c>
      <c r="G77" s="2">
        <v>0.13925965997985701</v>
      </c>
      <c r="H77" s="2">
        <v>0.86141300983660396</v>
      </c>
      <c r="I77" s="2">
        <v>0.99582976652468402</v>
      </c>
      <c r="J77" s="2">
        <v>0.99892907675097298</v>
      </c>
      <c r="K77" s="2">
        <v>0.99956940736009103</v>
      </c>
    </row>
    <row r="78" spans="1:11" x14ac:dyDescent="0.25">
      <c r="A78">
        <v>7.7</v>
      </c>
      <c r="B78" s="2">
        <v>2.33503746984522E-10</v>
      </c>
      <c r="C78" s="2">
        <v>8.2284315909298699E-10</v>
      </c>
      <c r="D78" s="2">
        <v>5.1741135895639795E-7</v>
      </c>
      <c r="E78" s="2">
        <v>9.7201347591321496E-5</v>
      </c>
      <c r="F78" s="2">
        <v>3.9028440985684199E-3</v>
      </c>
      <c r="G78" s="2">
        <v>0.136384745684479</v>
      </c>
      <c r="H78" s="2">
        <v>0.864226215563211</v>
      </c>
      <c r="I78" s="2">
        <v>0.99611730768296103</v>
      </c>
      <c r="J78" s="2">
        <v>0.99902131074684197</v>
      </c>
      <c r="K78" s="2">
        <v>0.99961121395100805</v>
      </c>
    </row>
    <row r="79" spans="1:11" x14ac:dyDescent="0.25">
      <c r="A79">
        <v>7.8</v>
      </c>
      <c r="B79" s="2">
        <v>2.33298332914554E-10</v>
      </c>
      <c r="C79" s="2">
        <v>6.80497338818016E-10</v>
      </c>
      <c r="D79" s="2">
        <v>4.2873397841449502E-7</v>
      </c>
      <c r="E79" s="2">
        <v>8.6201190723221894E-5</v>
      </c>
      <c r="F79" s="2">
        <v>3.6321733896446801E-3</v>
      </c>
      <c r="G79" s="2">
        <v>0.13356166575245901</v>
      </c>
      <c r="H79" s="2">
        <v>0.86699310563197396</v>
      </c>
      <c r="I79" s="2">
        <v>0.99638516512604602</v>
      </c>
      <c r="J79" s="2">
        <v>0.99910559686293798</v>
      </c>
      <c r="K79" s="2">
        <v>0.99964895791129504</v>
      </c>
    </row>
    <row r="80" spans="1:11" x14ac:dyDescent="0.25">
      <c r="A80">
        <v>7.9</v>
      </c>
      <c r="B80" s="2">
        <v>2.3315560853495998E-10</v>
      </c>
      <c r="C80" s="2">
        <v>5.7249636666952797E-10</v>
      </c>
      <c r="D80" s="2">
        <v>3.5526431151164299E-7</v>
      </c>
      <c r="E80" s="2">
        <v>7.6446498882704996E-5</v>
      </c>
      <c r="F80" s="2">
        <v>3.3802484740524702E-3</v>
      </c>
      <c r="G80" s="2">
        <v>0.13078971371904699</v>
      </c>
      <c r="H80" s="2">
        <v>0.86971390925685099</v>
      </c>
      <c r="I80" s="2">
        <v>0.99663466716492899</v>
      </c>
      <c r="J80" s="2">
        <v>0.99918262058131402</v>
      </c>
      <c r="K80" s="2">
        <v>0.99968303461361796</v>
      </c>
    </row>
    <row r="81" spans="1:11" x14ac:dyDescent="0.25">
      <c r="A81">
        <v>8</v>
      </c>
      <c r="B81" s="2">
        <v>2.3305644086215198E-10</v>
      </c>
      <c r="C81" s="2">
        <v>4.9055280703496803E-10</v>
      </c>
      <c r="D81" s="2">
        <v>2.94393660966694E-7</v>
      </c>
      <c r="E81" s="2">
        <v>6.7796153593510495E-5</v>
      </c>
      <c r="F81" s="2">
        <v>3.14577434750298E-3</v>
      </c>
      <c r="G81" s="2">
        <v>0.12806819079749801</v>
      </c>
      <c r="H81" s="2">
        <v>0.87238888736233</v>
      </c>
      <c r="I81" s="2">
        <v>0.996867055037432</v>
      </c>
      <c r="J81" s="2">
        <v>0.999253008178556</v>
      </c>
      <c r="K81" s="2">
        <v>0.99971380086164696</v>
      </c>
    </row>
    <row r="82" spans="1:11" x14ac:dyDescent="0.25">
      <c r="A82">
        <v>8.1</v>
      </c>
      <c r="B82" s="2">
        <v>2.3298753665371098E-10</v>
      </c>
      <c r="C82" s="2">
        <v>4.28379227506601E-10</v>
      </c>
      <c r="D82" s="2">
        <v>2.4396097372293003E-7</v>
      </c>
      <c r="E82" s="2">
        <v>6.0125044030711698E-5</v>
      </c>
      <c r="F82" s="2">
        <v>2.9275450483984798E-3</v>
      </c>
      <c r="G82" s="2">
        <v>0.12539640521475001</v>
      </c>
      <c r="H82" s="2">
        <v>0.87501833021786202</v>
      </c>
      <c r="I82" s="2">
        <v>0.99708348827220505</v>
      </c>
      <c r="J82" s="2">
        <v>0.99931733185042004</v>
      </c>
      <c r="K82" s="2">
        <v>0.99974157866661195</v>
      </c>
    </row>
    <row r="83" spans="1:11" x14ac:dyDescent="0.25">
      <c r="A83">
        <v>8.1999999999999993</v>
      </c>
      <c r="B83" s="2">
        <v>2.3293965989359899E-10</v>
      </c>
      <c r="C83" s="2">
        <v>3.8120546714246498E-10</v>
      </c>
      <c r="D83" s="2">
        <v>2.0217599036120401E-7</v>
      </c>
      <c r="E83" s="2">
        <v>5.3322248102939501E-5</v>
      </c>
      <c r="F83" s="2">
        <v>2.7244375902436002E-3</v>
      </c>
      <c r="G83" s="2">
        <v>0.122773671630061</v>
      </c>
      <c r="H83" s="2">
        <v>0.877602555195794</v>
      </c>
      <c r="I83" s="2">
        <v>0.99728504976882404</v>
      </c>
      <c r="J83" s="2">
        <v>0.99937611439162199</v>
      </c>
      <c r="K83" s="2">
        <v>0.999766658651975</v>
      </c>
    </row>
    <row r="84" spans="1:11" x14ac:dyDescent="0.25">
      <c r="A84">
        <v>8.3000000000000007</v>
      </c>
      <c r="B84" s="2">
        <v>2.3290639341201598E-10</v>
      </c>
      <c r="C84" s="2">
        <v>3.4541244104030898E-10</v>
      </c>
      <c r="D84" s="2">
        <v>1.675555965481E-7</v>
      </c>
      <c r="E84" s="2">
        <v>4.7289420735458003E-5</v>
      </c>
      <c r="F84" s="2">
        <v>2.5354063001207499E-3</v>
      </c>
      <c r="G84" s="2">
        <v>0.120199310630498</v>
      </c>
      <c r="H84" s="2">
        <v>0.88014190464826303</v>
      </c>
      <c r="I84" s="2">
        <v>0.99747275060247698</v>
      </c>
      <c r="J84" s="2">
        <v>0.99942983346950198</v>
      </c>
      <c r="K84" s="2">
        <v>0.99978930312312497</v>
      </c>
    </row>
    <row r="85" spans="1:11" x14ac:dyDescent="0.25">
      <c r="A85">
        <v>8.4</v>
      </c>
      <c r="B85" s="2">
        <v>2.3288327852093402E-10</v>
      </c>
      <c r="C85" s="2">
        <v>3.1825434173994098E-10</v>
      </c>
      <c r="D85" s="2">
        <v>1.3887110658179301E-7</v>
      </c>
      <c r="E85" s="2">
        <v>4.1939365666072901E-5</v>
      </c>
      <c r="F85" s="2">
        <v>2.3594775370937701E-3</v>
      </c>
      <c r="G85" s="2">
        <v>0.117672648297241</v>
      </c>
      <c r="H85" s="2">
        <v>0.882636743898364</v>
      </c>
      <c r="I85" s="2">
        <v>0.99764753456251098</v>
      </c>
      <c r="J85" s="2">
        <v>0.99947892552691797</v>
      </c>
      <c r="K85" s="2">
        <v>0.99980974883531804</v>
      </c>
    </row>
    <row r="86" spans="1:11" x14ac:dyDescent="0.25">
      <c r="A86">
        <v>8.5</v>
      </c>
      <c r="B86" s="2">
        <v>2.3286721726627501E-10</v>
      </c>
      <c r="C86" s="2">
        <v>2.9764789460455399E-10</v>
      </c>
      <c r="D86" s="2">
        <v>1.15104599847992E-7</v>
      </c>
      <c r="E86" s="2">
        <v>3.7194769787218503E-5</v>
      </c>
      <c r="F86" s="2">
        <v>2.1957447659310598E-3</v>
      </c>
      <c r="G86" s="2">
        <v>0.115193015836978</v>
      </c>
      <c r="H86" s="2">
        <v>0.88508745934097</v>
      </c>
      <c r="I86" s="2">
        <v>0.99781028243469805</v>
      </c>
      <c r="J86" s="2">
        <v>0.99952378934665898</v>
      </c>
      <c r="K86" s="2">
        <v>0.99982820948974604</v>
      </c>
    </row>
    <row r="87" spans="1:11" x14ac:dyDescent="0.25">
      <c r="A87">
        <v>8.6</v>
      </c>
      <c r="B87" s="2">
        <v>2.3285605712969701E-10</v>
      </c>
      <c r="C87" s="2">
        <v>2.8201247877658398E-10</v>
      </c>
      <c r="D87" s="2">
        <v>9.5412754377488005E-8</v>
      </c>
      <c r="E87" s="2">
        <v>3.2987081474343E-5</v>
      </c>
      <c r="F87" s="2">
        <v>2.0433639630041802E-3</v>
      </c>
      <c r="G87" s="2">
        <v>0.11275974927285499</v>
      </c>
      <c r="H87" s="2">
        <v>0.88749445664840598</v>
      </c>
      <c r="I87" s="2">
        <v>0.99796181603743805</v>
      </c>
      <c r="J87" s="2">
        <v>0.99956478930680603</v>
      </c>
      <c r="K87" s="2">
        <v>0.99984487798463095</v>
      </c>
    </row>
    <row r="88" spans="1:11" x14ac:dyDescent="0.25">
      <c r="A88">
        <v>8.6999999999999993</v>
      </c>
      <c r="B88" s="2">
        <v>2.3284830248720001E-10</v>
      </c>
      <c r="C88" s="2">
        <v>2.7014883451190499E-10</v>
      </c>
      <c r="D88" s="2">
        <v>7.9096889345724906E-8</v>
      </c>
      <c r="E88" s="2">
        <v>2.92555164695612E-5</v>
      </c>
      <c r="F88" s="2">
        <v>1.9015493326135001E-3</v>
      </c>
      <c r="G88" s="2">
        <v>0.110372189189725</v>
      </c>
      <c r="H88" s="2">
        <v>0.88985815907641197</v>
      </c>
      <c r="I88" s="2">
        <v>0.99810290202236696</v>
      </c>
      <c r="J88" s="2">
        <v>0.99960225835396399</v>
      </c>
      <c r="K88" s="2">
        <v>0.99985992844556304</v>
      </c>
    </row>
    <row r="89" spans="1:11" x14ac:dyDescent="0.25">
      <c r="A89">
        <v>8.8000000000000007</v>
      </c>
      <c r="B89" s="2">
        <v>2.3284291413342E-10</v>
      </c>
      <c r="C89" s="2">
        <v>2.6114704261819602E-10</v>
      </c>
      <c r="D89" s="2">
        <v>6.5578149896395094E-8</v>
      </c>
      <c r="E89" s="2">
        <v>2.5946176772712E-5</v>
      </c>
      <c r="F89" s="2">
        <v>1.76956931332415E-3</v>
      </c>
      <c r="G89" s="2">
        <v>0.108029680528698</v>
      </c>
      <c r="H89" s="2">
        <v>0.89217900586572896</v>
      </c>
      <c r="I89" s="2">
        <v>0.99823425544994304</v>
      </c>
      <c r="J89" s="2">
        <v>0.99963650071888099</v>
      </c>
      <c r="K89" s="2">
        <v>0.99987351805685298</v>
      </c>
    </row>
    <row r="90" spans="1:11" x14ac:dyDescent="0.25">
      <c r="A90">
        <v>8.9</v>
      </c>
      <c r="B90" s="2">
        <v>2.32839169991451E-10</v>
      </c>
      <c r="C90" s="2">
        <v>2.5431671053972101E-10</v>
      </c>
      <c r="D90" s="2">
        <v>5.4376951062885498E-8</v>
      </c>
      <c r="E90" s="2">
        <v>2.3011269658071399E-5</v>
      </c>
      <c r="F90" s="2">
        <v>1.64674285515675E-3</v>
      </c>
      <c r="G90" s="2">
        <v>0.10573157242628101</v>
      </c>
      <c r="H90" s="2">
        <v>0.89445745073483696</v>
      </c>
      <c r="I90" s="2">
        <v>0.99835654315057698</v>
      </c>
      <c r="J90" s="2">
        <v>0.99966779439686004</v>
      </c>
      <c r="K90" s="2">
        <v>0.99988578871354605</v>
      </c>
    </row>
    <row r="91" spans="1:11" x14ac:dyDescent="0.25">
      <c r="A91">
        <v>9</v>
      </c>
      <c r="B91" s="2">
        <v>2.32836568333218E-10</v>
      </c>
      <c r="C91" s="2">
        <v>2.4913400535895601E-10</v>
      </c>
      <c r="D91" s="2">
        <v>4.5095949383945499E-8</v>
      </c>
      <c r="E91" s="2">
        <v>2.0408415409180499E-5</v>
      </c>
      <c r="F91" s="2">
        <v>1.53243594967571E-3</v>
      </c>
      <c r="G91" s="2">
        <v>0.103477218093617</v>
      </c>
      <c r="H91" s="2">
        <v>0.89669396045944505</v>
      </c>
      <c r="I91" s="2">
        <v>0.99847038688177703</v>
      </c>
      <c r="J91" s="2">
        <v>0.99969639341340999</v>
      </c>
      <c r="K91" s="2">
        <v>0.99989686851175297</v>
      </c>
    </row>
    <row r="92" spans="1:11" x14ac:dyDescent="0.25">
      <c r="A92">
        <v>9.1</v>
      </c>
      <c r="B92" s="2">
        <v>2.3283476053575699E-10</v>
      </c>
      <c r="C92" s="2">
        <v>2.4520146782259399E-10</v>
      </c>
      <c r="D92" s="2">
        <v>3.7405936506298099E-8</v>
      </c>
      <c r="E92" s="2">
        <v>1.810003366884E-5</v>
      </c>
      <c r="F92" s="2">
        <v>1.4260583961504701E-3</v>
      </c>
      <c r="G92" s="2">
        <v>0.10126597473169401</v>
      </c>
      <c r="H92" s="2">
        <v>0.89888901353447703</v>
      </c>
      <c r="I92" s="2">
        <v>0.99857636629163105</v>
      </c>
      <c r="J92" s="2">
        <v>0.99972252989379495</v>
      </c>
      <c r="K92" s="2">
        <v>0.99990687309321502</v>
      </c>
    </row>
    <row r="93" spans="1:11" x14ac:dyDescent="0.25">
      <c r="A93">
        <v>9.1999999999999993</v>
      </c>
      <c r="B93" s="2">
        <v>2.3283350435898301E-10</v>
      </c>
      <c r="C93" s="2">
        <v>2.42217522936097E-10</v>
      </c>
      <c r="D93" s="2">
        <v>3.1034153139537598E-8</v>
      </c>
      <c r="E93" s="2">
        <v>1.6052799455925601E-5</v>
      </c>
      <c r="F93" s="2">
        <v>1.32706078803363E-3</v>
      </c>
      <c r="G93" s="2">
        <v>9.9097203478568499E-2</v>
      </c>
      <c r="H93" s="2">
        <v>0.90104309891443202</v>
      </c>
      <c r="I93" s="2">
        <v>0.99867502169871603</v>
      </c>
      <c r="J93" s="2">
        <v>0.999746415953504</v>
      </c>
      <c r="K93" s="2">
        <v>0.99991590685842502</v>
      </c>
    </row>
    <row r="94" spans="1:11" x14ac:dyDescent="0.25">
      <c r="A94">
        <v>9.3000000000000007</v>
      </c>
      <c r="B94" s="2">
        <v>2.3283263148190698E-10</v>
      </c>
      <c r="C94" s="2">
        <v>2.3995334715762799E-10</v>
      </c>
      <c r="D94" s="2">
        <v>2.5754607902638399E-8</v>
      </c>
      <c r="E94" s="2">
        <v>1.4237160922678801E-5</v>
      </c>
      <c r="F94" s="2">
        <v>1.2349317050106699E-3</v>
      </c>
      <c r="G94" s="2">
        <v>9.6970269384951693E-2</v>
      </c>
      <c r="H94" s="2">
        <v>0.90315671482813598</v>
      </c>
      <c r="I94" s="2">
        <v>0.99876685669824194</v>
      </c>
      <c r="J94" s="2">
        <v>0.99976824542520404</v>
      </c>
      <c r="K94" s="2">
        <v>0.99992406406124201</v>
      </c>
    </row>
    <row r="95" spans="1:11" x14ac:dyDescent="0.25">
      <c r="A95">
        <v>9.4</v>
      </c>
      <c r="B95" s="2">
        <v>2.3283202494581898E-10</v>
      </c>
      <c r="C95" s="2">
        <v>2.38235316980511E-10</v>
      </c>
      <c r="D95" s="2">
        <v>2.13800569589306E-8</v>
      </c>
      <c r="E95" s="2">
        <v>1.26269118308358E-5</v>
      </c>
      <c r="F95" s="2">
        <v>1.14919509682535E-3</v>
      </c>
      <c r="G95" s="2">
        <v>9.4884541414786097E-2</v>
      </c>
      <c r="H95" s="2">
        <v>0.90523036766408205</v>
      </c>
      <c r="I95" s="2">
        <v>0.99885234060397499</v>
      </c>
      <c r="J95" s="2">
        <v>0.99978819543634601</v>
      </c>
      <c r="K95" s="2">
        <v>0.99993142979661298</v>
      </c>
    </row>
    <row r="96" spans="1:11" x14ac:dyDescent="0.25">
      <c r="A96">
        <v>9.5</v>
      </c>
      <c r="B96" s="2">
        <v>2.3283160348099502E-10</v>
      </c>
      <c r="C96" s="2">
        <v>2.3693169212199502E-10</v>
      </c>
      <c r="D96" s="2">
        <v>1.7755359427937699E-8</v>
      </c>
      <c r="E96" s="2">
        <v>1.1198812525928699E-5</v>
      </c>
      <c r="F96" s="2">
        <v>1.06940784597987E-3</v>
      </c>
      <c r="G96" s="2">
        <v>9.2839392467635895E-2</v>
      </c>
      <c r="H96" s="2">
        <v>0.90726457092268098</v>
      </c>
      <c r="I96" s="2">
        <v>0.99893191073510801</v>
      </c>
      <c r="J96" s="2">
        <v>0.99980642785038998</v>
      </c>
      <c r="K96" s="2">
        <v>0.99993808089188696</v>
      </c>
    </row>
    <row r="97" spans="1:11" x14ac:dyDescent="0.25">
      <c r="A97">
        <v>9.6</v>
      </c>
      <c r="B97" s="2">
        <v>2.3283131061627598E-10</v>
      </c>
      <c r="C97" s="2">
        <v>2.3594251155147699E-10</v>
      </c>
      <c r="D97" s="2">
        <v>1.47519724988478E-8</v>
      </c>
      <c r="E97" s="2">
        <v>9.9322538983076305E-6</v>
      </c>
      <c r="F97" s="2">
        <v>9.9515749725051809E-4</v>
      </c>
      <c r="G97" s="2">
        <v>9.08341994199688E-2</v>
      </c>
      <c r="H97" s="2">
        <v>0.90925984423192396</v>
      </c>
      <c r="I97" s="2">
        <v>0.99900597455692297</v>
      </c>
      <c r="J97" s="2">
        <v>0.99982309058347696</v>
      </c>
      <c r="K97" s="2">
        <v>0.99994408671118296</v>
      </c>
    </row>
    <row r="98" spans="1:11" x14ac:dyDescent="0.25">
      <c r="A98">
        <v>9.6999999999999993</v>
      </c>
      <c r="B98" s="2">
        <v>2.3283110711191098E-10</v>
      </c>
      <c r="C98" s="2">
        <v>2.3519192716002499E-10</v>
      </c>
      <c r="D98" s="2">
        <v>1.2263390698543099E-8</v>
      </c>
      <c r="E98" s="2">
        <v>8.8089594474447997E-6</v>
      </c>
      <c r="F98" s="2">
        <v>9.2606014274867305E-4</v>
      </c>
      <c r="G98" s="2">
        <v>8.8868343182673198E-2</v>
      </c>
      <c r="H98" s="2">
        <v>0.91121671242311697</v>
      </c>
      <c r="I98" s="2">
        <v>0.99907491168373197</v>
      </c>
      <c r="J98" s="2">
        <v>0.99983831880732799</v>
      </c>
      <c r="K98" s="2">
        <v>0.99994950988132303</v>
      </c>
    </row>
    <row r="99" spans="1:11" x14ac:dyDescent="0.25">
      <c r="A99">
        <v>9.8000000000000007</v>
      </c>
      <c r="B99" s="2">
        <v>2.3283096570153702E-10</v>
      </c>
      <c r="C99" s="2">
        <v>2.3462238693269601E-10</v>
      </c>
      <c r="D99" s="2">
        <v>1.0201367333158199E-8</v>
      </c>
      <c r="E99" s="2">
        <v>7.8127211222568694E-6</v>
      </c>
      <c r="F99" s="2">
        <v>8.6175845199936601E-4</v>
      </c>
      <c r="G99" s="2">
        <v>8.6941208772292097E-2</v>
      </c>
      <c r="H99" s="2">
        <v>0.91313570466348004</v>
      </c>
      <c r="I99" s="2">
        <v>0.99913907575219396</v>
      </c>
      <c r="J99" s="2">
        <v>0.99985223604824203</v>
      </c>
      <c r="K99" s="2">
        <v>0.999954406946992</v>
      </c>
    </row>
    <row r="100" spans="1:11" x14ac:dyDescent="0.25">
      <c r="A100">
        <v>9.9</v>
      </c>
      <c r="B100" s="2">
        <v>2.3283086743862899E-10</v>
      </c>
      <c r="C100" s="2">
        <v>2.3419022140055599E-10</v>
      </c>
      <c r="D100" s="2">
        <v>8.4927839230514004E-9</v>
      </c>
      <c r="E100" s="2">
        <v>6.9291651027783296E-6</v>
      </c>
      <c r="F100" s="2">
        <v>8.0191983720480202E-4</v>
      </c>
      <c r="G100" s="2">
        <v>8.5052185393744401E-2</v>
      </c>
      <c r="H100" s="2">
        <v>0.91501735364257697</v>
      </c>
      <c r="I100" s="2">
        <v>0.99919879617274598</v>
      </c>
      <c r="J100" s="2">
        <v>0.99986495519118002</v>
      </c>
      <c r="K100" s="2">
        <v>0.999958828962076</v>
      </c>
    </row>
    <row r="101" spans="1:11" x14ac:dyDescent="0.25">
      <c r="A101">
        <v>10</v>
      </c>
      <c r="B101" s="2">
        <v>2.3283079915781698E-10</v>
      </c>
      <c r="C101" s="2">
        <v>2.3386229481721102E-10</v>
      </c>
      <c r="D101" s="2">
        <v>7.0770564778977498E-9</v>
      </c>
      <c r="E101" s="2">
        <v>6.1455441248485003E-6</v>
      </c>
      <c r="F101" s="2">
        <v>7.4623474451213101E-4</v>
      </c>
      <c r="G101" s="2">
        <v>8.3200666532438503E-2</v>
      </c>
      <c r="H101" s="2">
        <v>0.916862194809697</v>
      </c>
      <c r="I101" s="2">
        <v>0.99925437976652598</v>
      </c>
      <c r="J101" s="2">
        <v>0.99987657939716201</v>
      </c>
      <c r="K101" s="2">
        <v>0.99996282202338804</v>
      </c>
    </row>
    <row r="102" spans="1:11" x14ac:dyDescent="0.25">
      <c r="A102">
        <v>10.1</v>
      </c>
      <c r="B102" s="2">
        <v>2.32830751710853E-10</v>
      </c>
      <c r="C102" s="2">
        <v>2.3361346419084801E-10</v>
      </c>
      <c r="D102" s="2">
        <v>5.9039865317438196E-9</v>
      </c>
      <c r="E102" s="2">
        <v>5.4505533359817601E-6</v>
      </c>
      <c r="F102" s="2">
        <v>6.9441506271582102E-4</v>
      </c>
      <c r="G102" s="2">
        <v>8.1386050053902606E-2</v>
      </c>
      <c r="H102" s="2">
        <v>0.91867076565942496</v>
      </c>
      <c r="I102" s="2">
        <v>0.99930611229477095</v>
      </c>
      <c r="J102" s="2">
        <v>0.99988720294146605</v>
      </c>
      <c r="K102" s="2">
        <v>0.99996642775243405</v>
      </c>
    </row>
    <row r="103" spans="1:11" x14ac:dyDescent="0.25">
      <c r="A103">
        <v>10.199999999999999</v>
      </c>
      <c r="B103" s="2">
        <v>2.3283071874086698E-10</v>
      </c>
      <c r="C103" s="2">
        <v>2.3342465127794301E-10</v>
      </c>
      <c r="D103" s="2">
        <v>4.9319806566602403E-9</v>
      </c>
      <c r="E103" s="2">
        <v>4.8341670130120896E-6</v>
      </c>
      <c r="F103" s="2">
        <v>6.4619264139649198E-4</v>
      </c>
      <c r="G103" s="2">
        <v>7.9607738309203202E-2</v>
      </c>
      <c r="H103" s="2">
        <v>0.92044360506280098</v>
      </c>
      <c r="I103" s="2">
        <v>0.99935425988734505</v>
      </c>
      <c r="J103" s="2">
        <v>0.99989691197949204</v>
      </c>
      <c r="K103" s="2">
        <v>0.99996968373027395</v>
      </c>
    </row>
    <row r="104" spans="1:11" x14ac:dyDescent="0.25">
      <c r="A104">
        <v>10.3</v>
      </c>
      <c r="B104" s="2">
        <v>2.3283069583062298E-10</v>
      </c>
      <c r="C104" s="2">
        <v>2.3328137966574199E-10</v>
      </c>
      <c r="D104" s="2">
        <v>4.1265752605363998E-9</v>
      </c>
      <c r="E104" s="2">
        <v>4.2874937754738302E-6</v>
      </c>
      <c r="F104" s="2">
        <v>6.0131791103358297E-4</v>
      </c>
      <c r="G104" s="2">
        <v>7.7865138244624404E-2</v>
      </c>
      <c r="H104" s="2">
        <v>0.922181252641609</v>
      </c>
      <c r="I104" s="2">
        <v>0.99939907037667497</v>
      </c>
      <c r="J104" s="2">
        <v>0.99990578524653695</v>
      </c>
      <c r="K104" s="2">
        <v>0.99997262389007502</v>
      </c>
    </row>
    <row r="105" spans="1:11" x14ac:dyDescent="0.25">
      <c r="A105">
        <v>10.4</v>
      </c>
      <c r="B105" s="2">
        <v>2.3283067991069499E-10</v>
      </c>
      <c r="C105" s="2">
        <v>2.33172664746128E-10</v>
      </c>
      <c r="D105" s="2">
        <v>3.4592143153727801E-9</v>
      </c>
      <c r="E105" s="2">
        <v>3.8026481974806701E-6</v>
      </c>
      <c r="F105" s="2">
        <v>5.5955859812973003E-4</v>
      </c>
      <c r="G105" s="2">
        <v>7.6157661514175204E-2</v>
      </c>
      <c r="H105" s="2">
        <v>0.92388424818342096</v>
      </c>
      <c r="I105" s="2">
        <v>0.99944077454304803</v>
      </c>
      <c r="J105" s="2">
        <v>0.99991389469720704</v>
      </c>
      <c r="K105" s="2">
        <v>0.99997527887146198</v>
      </c>
    </row>
    <row r="106" spans="1:11" x14ac:dyDescent="0.25">
      <c r="A106">
        <v>10.5</v>
      </c>
      <c r="B106" s="2">
        <v>2.3283066884820202E-10</v>
      </c>
      <c r="C106" s="2">
        <v>2.3309017145138501E-10</v>
      </c>
      <c r="D106" s="2">
        <v>2.90623664284394E-9</v>
      </c>
      <c r="E106" s="2">
        <v>3.3726369590491999E-6</v>
      </c>
      <c r="F106" s="2">
        <v>5.2069852885279196E-4</v>
      </c>
      <c r="G106" s="2">
        <v>7.4484724593709403E-2</v>
      </c>
      <c r="H106" s="2">
        <v>0.92555313109522397</v>
      </c>
      <c r="I106" s="2">
        <v>0.99947958727688602</v>
      </c>
      <c r="J106" s="2">
        <v>0.99992130608966601</v>
      </c>
      <c r="K106" s="2">
        <v>0.99997767634041501</v>
      </c>
    </row>
    <row r="107" spans="1:11" x14ac:dyDescent="0.25">
      <c r="A107">
        <v>10.6</v>
      </c>
      <c r="B107" s="2">
        <v>2.3283066116105201E-10</v>
      </c>
      <c r="C107" s="2">
        <v>2.33027575159552E-10</v>
      </c>
      <c r="D107" s="2">
        <v>2.4480368233520602E-9</v>
      </c>
      <c r="E107" s="2">
        <v>2.9912578888801102E-6</v>
      </c>
      <c r="F107" s="2">
        <v>4.8453651513959801E-4</v>
      </c>
      <c r="G107" s="2">
        <v>7.2845748895495693E-2</v>
      </c>
      <c r="H107" s="2">
        <v>0.92718843989347299</v>
      </c>
      <c r="I107" s="2">
        <v>0.99951570866329498</v>
      </c>
      <c r="J107" s="2">
        <v>0.99992807951950202</v>
      </c>
      <c r="K107" s="2">
        <v>0.99997984127804296</v>
      </c>
    </row>
    <row r="108" spans="1:11" x14ac:dyDescent="0.25">
      <c r="A108">
        <v>10.7</v>
      </c>
      <c r="B108" s="2">
        <v>2.3283065581936901E-10</v>
      </c>
      <c r="C108" s="2">
        <v>2.3298007675943599E-10</v>
      </c>
      <c r="D108" s="2">
        <v>2.06836995781379E-9</v>
      </c>
      <c r="E108" s="2">
        <v>2.6530104376605302E-6</v>
      </c>
      <c r="F108" s="2">
        <v>4.5088531761377799E-4</v>
      </c>
      <c r="G108" s="2">
        <v>7.1240160882267506E-2</v>
      </c>
      <c r="H108" s="2">
        <v>0.92879071172864203</v>
      </c>
      <c r="I108" s="2">
        <v>0.99954932499388105</v>
      </c>
      <c r="J108" s="2">
        <v>0.99993426990755996</v>
      </c>
      <c r="K108" s="2">
        <v>0.99998179624130601</v>
      </c>
    </row>
    <row r="109" spans="1:11" x14ac:dyDescent="0.25">
      <c r="A109">
        <v>10.8</v>
      </c>
      <c r="B109" s="2">
        <v>2.3283065210751301E-10</v>
      </c>
      <c r="C109" s="2">
        <v>2.32944034688376E-10</v>
      </c>
      <c r="D109" s="2">
        <v>1.75377561711512E-9</v>
      </c>
      <c r="E109" s="2">
        <v>2.3530162867246301E-6</v>
      </c>
      <c r="F109" s="2">
        <v>4.1957068005276602E-4</v>
      </c>
      <c r="G109" s="2">
        <v>6.9667392179859594E-2</v>
      </c>
      <c r="H109" s="2">
        <v>0.930360481942337</v>
      </c>
      <c r="I109" s="2">
        <v>0.99958060971054097</v>
      </c>
      <c r="J109" s="2">
        <v>0.99993992744571003</v>
      </c>
      <c r="K109" s="2">
        <v>0.99998356159836799</v>
      </c>
    </row>
    <row r="110" spans="1:11" x14ac:dyDescent="0.25">
      <c r="A110">
        <v>10.9</v>
      </c>
      <c r="B110" s="2">
        <v>2.3283064952819703E-10</v>
      </c>
      <c r="C110" s="2">
        <v>2.3291668572656301E-10</v>
      </c>
      <c r="D110" s="2">
        <v>1.4931005440014199E-9</v>
      </c>
      <c r="E110" s="2">
        <v>2.0869489438369499E-6</v>
      </c>
      <c r="F110" s="2">
        <v>3.9043043049534601E-4</v>
      </c>
      <c r="G110" s="2">
        <v>6.8126879687640501E-2</v>
      </c>
      <c r="H110" s="2">
        <v>0.93189828365523197</v>
      </c>
      <c r="I110" s="2">
        <v>0.99960972428564299</v>
      </c>
      <c r="J110" s="2">
        <v>0.99994509800419196</v>
      </c>
      <c r="K110" s="2">
        <v>0.99998515574110003</v>
      </c>
    </row>
    <row r="111" spans="1:11" x14ac:dyDescent="0.25">
      <c r="A111">
        <v>11</v>
      </c>
      <c r="B111" s="2">
        <v>2.32830647735866E-10</v>
      </c>
      <c r="C111" s="2">
        <v>2.3289593313826799E-10</v>
      </c>
      <c r="D111" s="2">
        <v>1.27710317644578E-9</v>
      </c>
      <c r="E111" s="2">
        <v>1.8509713080894899E-6</v>
      </c>
      <c r="F111" s="2">
        <v>3.6331364441483799E-4</v>
      </c>
      <c r="G111" s="2">
        <v>6.6618065686088399E-2</v>
      </c>
      <c r="H111" s="2">
        <v>0.933404647384108</v>
      </c>
      <c r="I111" s="2">
        <v>0.99963681904274704</v>
      </c>
      <c r="J111" s="2">
        <v>0.99994982350384298</v>
      </c>
      <c r="K111" s="2">
        <v>0.99998659527692302</v>
      </c>
    </row>
    <row r="112" spans="1:11" x14ac:dyDescent="0.25">
      <c r="A112">
        <v>11.1</v>
      </c>
      <c r="B112" s="2">
        <v>2.3283064649039902E-10</v>
      </c>
      <c r="C112" s="2">
        <v>2.32880185914911E-10</v>
      </c>
      <c r="D112" s="2">
        <v>1.09812596476068E-9</v>
      </c>
      <c r="E112" s="2">
        <v>1.6416803013379599E-6</v>
      </c>
      <c r="F112" s="2">
        <v>3.3807986569348399E-4</v>
      </c>
      <c r="G112" s="2">
        <v>6.5140397940893199E-2</v>
      </c>
      <c r="H112" s="2">
        <v>0.934880100686449</v>
      </c>
      <c r="I112" s="2">
        <v>0.99966203392178399</v>
      </c>
      <c r="J112" s="2">
        <v>0.99995414225624901</v>
      </c>
      <c r="K112" s="2">
        <v>0.99998789520201403</v>
      </c>
    </row>
    <row r="113" spans="1:11" x14ac:dyDescent="0.25">
      <c r="A113">
        <v>11.2</v>
      </c>
      <c r="B113" s="2">
        <v>2.3283064562494001E-10</v>
      </c>
      <c r="C113" s="2">
        <v>2.32868236793574E-10</v>
      </c>
      <c r="D113" s="2">
        <v>9.4982386000609794E-10</v>
      </c>
      <c r="E113" s="2">
        <v>1.4560577659236E-6</v>
      </c>
      <c r="F113" s="2">
        <v>3.1459838142434298E-4</v>
      </c>
      <c r="G113" s="2">
        <v>6.3693329803090198E-2</v>
      </c>
      <c r="H113" s="2">
        <v>0.93632516783103104</v>
      </c>
      <c r="I113" s="2">
        <v>0.99968549919233396</v>
      </c>
      <c r="J113" s="2">
        <v>0.99995808927458196</v>
      </c>
      <c r="K113" s="2">
        <v>0.99998906905769003</v>
      </c>
    </row>
    <row r="114" spans="1:11" x14ac:dyDescent="0.25">
      <c r="A114">
        <v>11.3</v>
      </c>
      <c r="B114" s="2">
        <v>2.3283064502354398E-10</v>
      </c>
      <c r="C114" s="2">
        <v>2.3285916969790199E-10</v>
      </c>
      <c r="D114" s="2">
        <v>8.2693934403242804E-10</v>
      </c>
      <c r="E114" s="2">
        <v>1.2914269191334199E-6</v>
      </c>
      <c r="F114" s="2">
        <v>2.9274754683755299E-4</v>
      </c>
      <c r="G114" s="2">
        <v>6.2276320304806898E-2</v>
      </c>
      <c r="H114" s="2">
        <v>0.937740369493132</v>
      </c>
      <c r="I114" s="2">
        <v>0.99970733611845397</v>
      </c>
      <c r="J114" s="2">
        <v>0.99996169655764899</v>
      </c>
      <c r="K114" s="2">
        <v>0.999990129071606</v>
      </c>
    </row>
    <row r="115" spans="1:11" x14ac:dyDescent="0.25">
      <c r="A115">
        <v>11.4</v>
      </c>
      <c r="B115" s="2">
        <v>2.3283064460563998E-10</v>
      </c>
      <c r="C115" s="2">
        <v>2.32852289504482E-10</v>
      </c>
      <c r="D115" s="2">
        <v>7.2511602253723304E-10</v>
      </c>
      <c r="E115" s="2">
        <v>1.1454137352607401E-6</v>
      </c>
      <c r="F115" s="2">
        <v>2.7241415690075699E-4</v>
      </c>
      <c r="G115" s="2">
        <v>6.0888834250235703E-2</v>
      </c>
      <c r="H115" s="2">
        <v>0.93912622247297695</v>
      </c>
      <c r="I115" s="2">
        <v>0.99972765757826698</v>
      </c>
      <c r="J115" s="2">
        <v>0.99996499334947397</v>
      </c>
      <c r="K115" s="2">
        <v>0.99999108628523203</v>
      </c>
    </row>
    <row r="116" spans="1:11" x14ac:dyDescent="0.25">
      <c r="A116">
        <v>11.5</v>
      </c>
      <c r="B116" s="2">
        <v>2.3283064431524401E-10</v>
      </c>
      <c r="C116" s="2">
        <v>2.3284706874964201E-10</v>
      </c>
      <c r="D116" s="2">
        <v>6.4074417043318205E-10</v>
      </c>
      <c r="E116" s="2">
        <v>1.0159126974143701E-6</v>
      </c>
      <c r="F116" s="2">
        <v>2.53492861378966E-4</v>
      </c>
      <c r="G116" s="2">
        <v>5.95303423015573E-2</v>
      </c>
      <c r="H116" s="2">
        <v>0.94048323943617096</v>
      </c>
      <c r="I116" s="2">
        <v>0.99974656864132005</v>
      </c>
      <c r="J116" s="2">
        <v>0.99996800637650696</v>
      </c>
      <c r="K116" s="2">
        <v>0.99999195066896196</v>
      </c>
    </row>
    <row r="117" spans="1:11" x14ac:dyDescent="0.25">
      <c r="A117">
        <v>11.6</v>
      </c>
      <c r="B117" s="2">
        <v>2.32830644113452E-10</v>
      </c>
      <c r="C117" s="2">
        <v>2.3284310719056102E-10</v>
      </c>
      <c r="D117" s="2">
        <v>5.7083275218147497E-10</v>
      </c>
      <c r="E117" s="2">
        <v>9.0105642442276605E-7</v>
      </c>
      <c r="F117" s="2">
        <v>2.3588562035921701E-4</v>
      </c>
      <c r="G117" s="2">
        <v>5.8200321059568703E-2</v>
      </c>
      <c r="H117" s="2">
        <v>0.94181192867488295</v>
      </c>
      <c r="I117" s="2">
        <v>0.99976416710655103</v>
      </c>
      <c r="J117" s="2">
        <v>0.99997076006440999</v>
      </c>
      <c r="K117" s="2">
        <v>0.99999273122604104</v>
      </c>
    </row>
    <row r="118" spans="1:11" x14ac:dyDescent="0.25">
      <c r="A118">
        <v>11.7</v>
      </c>
      <c r="B118" s="2">
        <v>2.3283064397322799E-10</v>
      </c>
      <c r="C118" s="2">
        <v>2.32840101120186E-10</v>
      </c>
      <c r="D118" s="2">
        <v>5.1290337876947104E-10</v>
      </c>
      <c r="E118" s="2">
        <v>7.99188734211172E-7</v>
      </c>
      <c r="F118" s="2">
        <v>2.1950119745018599E-4</v>
      </c>
      <c r="G118" s="2">
        <v>5.6898253138826703E-2</v>
      </c>
      <c r="H118" s="2">
        <v>0.94311279388867297</v>
      </c>
      <c r="I118" s="2">
        <v>0.99978054400348204</v>
      </c>
      <c r="J118" s="2">
        <v>0.99997327673615599</v>
      </c>
      <c r="K118" s="2">
        <v>0.99999343608640501</v>
      </c>
    </row>
    <row r="119" spans="1:11" x14ac:dyDescent="0.25">
      <c r="A119">
        <v>11.8</v>
      </c>
      <c r="B119" s="2">
        <v>2.32830643875789E-10</v>
      </c>
      <c r="C119" s="2">
        <v>2.3283782008332201E-10</v>
      </c>
      <c r="D119" s="2">
        <v>4.64902441030986E-10</v>
      </c>
      <c r="E119" s="2">
        <v>7.0884075470702901E-7</v>
      </c>
      <c r="F119" s="2">
        <v>2.0425468805824399E-4</v>
      </c>
      <c r="G119" s="2">
        <v>5.5623627237169099E-2</v>
      </c>
      <c r="H119" s="2">
        <v>0.94438633398384697</v>
      </c>
      <c r="I119" s="2">
        <v>0.99979578405913905</v>
      </c>
      <c r="J119" s="2">
        <v>0.99997557679307703</v>
      </c>
      <c r="K119" s="2">
        <v>0.99999407259141204</v>
      </c>
    </row>
    <row r="120" spans="1:11" x14ac:dyDescent="0.25">
      <c r="A120">
        <v>11.9</v>
      </c>
      <c r="B120" s="2">
        <v>2.32830643808079E-10</v>
      </c>
      <c r="C120" s="2">
        <v>2.3283608920872001E-10</v>
      </c>
      <c r="D120" s="2">
        <v>4.2512830363403799E-10</v>
      </c>
      <c r="E120" s="2">
        <v>6.2870973737485599E-7</v>
      </c>
      <c r="F120" s="2">
        <v>1.9006708031942701E-4</v>
      </c>
      <c r="G120" s="2">
        <v>5.4375938199517901E-2</v>
      </c>
      <c r="H120" s="2">
        <v>0.945633042890343</v>
      </c>
      <c r="I120" s="2">
        <v>0.99980996613297801</v>
      </c>
      <c r="J120" s="2">
        <v>0.99997767888030797</v>
      </c>
      <c r="K120" s="2">
        <v>0.99999464737034705</v>
      </c>
    </row>
    <row r="121" spans="1:11" x14ac:dyDescent="0.25">
      <c r="A121">
        <v>12</v>
      </c>
      <c r="B121" s="2">
        <v>2.3283064376102798E-10</v>
      </c>
      <c r="C121" s="2">
        <v>2.3283477580260299E-10</v>
      </c>
      <c r="D121" s="2">
        <v>3.9217097816707899E-10</v>
      </c>
      <c r="E121" s="2">
        <v>5.5764026753551395E-7</v>
      </c>
      <c r="F121" s="2">
        <v>1.76864846433163E-4</v>
      </c>
      <c r="G121" s="2">
        <v>5.3154687075909798E-2</v>
      </c>
      <c r="H121" s="2">
        <v>0.94685340939515705</v>
      </c>
      <c r="I121" s="2">
        <v>0.99982316362199497</v>
      </c>
      <c r="J121" s="2">
        <v>0.99997960003798902</v>
      </c>
      <c r="K121" s="2">
        <v>0.99999516640950203</v>
      </c>
    </row>
    <row r="122" spans="1:11" x14ac:dyDescent="0.25">
      <c r="A122">
        <v>12.1</v>
      </c>
      <c r="B122" s="2">
        <v>2.32830643728333E-10</v>
      </c>
      <c r="C122" s="2">
        <v>2.3283377917575799E-10</v>
      </c>
      <c r="D122" s="2">
        <v>3.6486213629294199E-10</v>
      </c>
      <c r="E122" s="2">
        <v>4.9460760025195899E-7</v>
      </c>
      <c r="F122" s="2">
        <v>1.6457956229813599E-4</v>
      </c>
      <c r="G122" s="2">
        <v>5.1959381173716498E-2</v>
      </c>
      <c r="H122" s="2">
        <v>0.948047916991412</v>
      </c>
      <c r="I122" s="2">
        <v>0.99983544483804199</v>
      </c>
      <c r="J122" s="2">
        <v>0.99998135583944603</v>
      </c>
      <c r="K122" s="2">
        <v>0.99999563511455802</v>
      </c>
    </row>
    <row r="123" spans="1:11" x14ac:dyDescent="0.25">
      <c r="A123">
        <v>12.2</v>
      </c>
      <c r="B123" s="2">
        <v>2.3283064370561298E-10</v>
      </c>
      <c r="C123" s="2">
        <v>2.3283302292428398E-10</v>
      </c>
      <c r="D123" s="2">
        <v>3.4223369061036299E-10</v>
      </c>
      <c r="E123" s="2">
        <v>4.3870288126845402E-7</v>
      </c>
      <c r="F123" s="2">
        <v>1.5314755349520601E-4</v>
      </c>
      <c r="G123" s="2">
        <v>5.0789534104088499E-2</v>
      </c>
      <c r="H123" s="2">
        <v>0.94921704374217097</v>
      </c>
      <c r="I123" s="2">
        <v>0.99984687335921796</v>
      </c>
      <c r="J123" s="2">
        <v>0.99998296051746505</v>
      </c>
      <c r="K123" s="2">
        <v>0.99999605836690197</v>
      </c>
    </row>
    <row r="124" spans="1:11" x14ac:dyDescent="0.25">
      <c r="A124">
        <v>12.3</v>
      </c>
      <c r="B124" s="2">
        <v>2.3283064368982598E-10</v>
      </c>
      <c r="C124" s="2">
        <v>2.3283244907217298E-10</v>
      </c>
      <c r="D124" s="2">
        <v>3.2348347467385501E-10</v>
      </c>
      <c r="E124" s="2">
        <v>3.8912003971551199E-7</v>
      </c>
      <c r="F124" s="2">
        <v>1.4250956579661E-4</v>
      </c>
      <c r="G124" s="2">
        <v>4.9644665822621802E-2</v>
      </c>
      <c r="H124" s="2">
        <v>0.95036126215820005</v>
      </c>
      <c r="I124" s="2">
        <v>0.99985750835710197</v>
      </c>
      <c r="J124" s="2">
        <v>0.99998442707970203</v>
      </c>
      <c r="K124" s="2">
        <v>0.999996440574489</v>
      </c>
    </row>
    <row r="125" spans="1:11" x14ac:dyDescent="0.25">
      <c r="A125">
        <v>12.4</v>
      </c>
      <c r="B125" s="2">
        <v>2.3283064367885498E-10</v>
      </c>
      <c r="C125" s="2">
        <v>2.3283201362665601E-10</v>
      </c>
      <c r="D125" s="2">
        <v>3.0794680535203002E-10</v>
      </c>
      <c r="E125" s="2">
        <v>3.4514416343473701E-7</v>
      </c>
      <c r="F125" s="2">
        <v>1.32610458506034E-4</v>
      </c>
      <c r="G125" s="2">
        <v>4.8524302664339602E-2</v>
      </c>
      <c r="H125" s="2">
        <v>0.95148103908887605</v>
      </c>
      <c r="I125" s="2">
        <v>0.99986740490148296</v>
      </c>
      <c r="J125" s="2">
        <v>0.99998576741415102</v>
      </c>
      <c r="K125" s="2">
        <v>0.99999678571776496</v>
      </c>
    </row>
    <row r="126" spans="1:11" x14ac:dyDescent="0.25">
      <c r="A126">
        <v>12.5</v>
      </c>
      <c r="B126" s="2">
        <v>2.3283064367123199E-10</v>
      </c>
      <c r="C126" s="2">
        <v>2.3283168320558001E-10</v>
      </c>
      <c r="D126" s="2">
        <v>2.9507291928067301E-10</v>
      </c>
      <c r="E126" s="2">
        <v>3.0614118918552E-7</v>
      </c>
      <c r="F126" s="2">
        <v>1.2339891905080899E-4</v>
      </c>
      <c r="G126" s="2">
        <v>4.74279773730448E-2</v>
      </c>
      <c r="H126" s="2">
        <v>0.95257683562550499</v>
      </c>
      <c r="I126" s="2">
        <v>0.99987661424410101</v>
      </c>
      <c r="J126" s="2">
        <v>0.99998699238552602</v>
      </c>
      <c r="K126" s="2">
        <v>0.99999709739113296</v>
      </c>
    </row>
    <row r="127" spans="1:11" x14ac:dyDescent="0.25">
      <c r="A127">
        <v>12.6</v>
      </c>
      <c r="B127" s="2">
        <v>2.3283064366593401E-10</v>
      </c>
      <c r="C127" s="2">
        <v>2.3283143247821597E-10</v>
      </c>
      <c r="D127" s="2">
        <v>2.8440544798882703E-10</v>
      </c>
      <c r="E127" s="2">
        <v>2.7154875897878698E-7</v>
      </c>
      <c r="F127" s="2">
        <v>1.1482719735635E-4</v>
      </c>
      <c r="G127" s="2">
        <v>4.6355229125163197E-2</v>
      </c>
      <c r="H127" s="2">
        <v>0.95364910701634498</v>
      </c>
      <c r="I127" s="2">
        <v>0.99988518408284799</v>
      </c>
      <c r="J127" s="2">
        <v>0.99998811192335502</v>
      </c>
      <c r="K127" s="2">
        <v>0.99999737884040196</v>
      </c>
    </row>
    <row r="128" spans="1:11" x14ac:dyDescent="0.25">
      <c r="A128">
        <v>12.7</v>
      </c>
      <c r="B128" s="2">
        <v>2.32830643662253E-10</v>
      </c>
      <c r="C128" s="2">
        <v>2.3283124222334098E-10</v>
      </c>
      <c r="D128" s="2">
        <v>2.7556623947305701E-10</v>
      </c>
      <c r="E128" s="2">
        <v>2.4086811061664002E-7</v>
      </c>
      <c r="F128" s="2">
        <v>1.06850858634152E-4</v>
      </c>
      <c r="G128" s="2">
        <v>4.5305603548159497E-2</v>
      </c>
      <c r="H128" s="2">
        <v>0.95469830259267996</v>
      </c>
      <c r="I128" s="2">
        <v>0.99989315880774698</v>
      </c>
      <c r="J128" s="2">
        <v>0.999989135102477</v>
      </c>
      <c r="K128" s="2">
        <v>0.99999763299659095</v>
      </c>
    </row>
    <row r="129" spans="1:11" x14ac:dyDescent="0.25">
      <c r="A129">
        <v>12.8</v>
      </c>
      <c r="B129" s="2">
        <v>2.32830643659695E-10</v>
      </c>
      <c r="C129" s="2">
        <v>2.3283109785568098E-10</v>
      </c>
      <c r="D129" s="2">
        <v>2.6824195264583298E-10</v>
      </c>
      <c r="E129" s="2">
        <v>2.13656885444981E-7</v>
      </c>
      <c r="F129" s="2">
        <v>9.94285533091112E-5</v>
      </c>
      <c r="G129" s="2">
        <v>4.4278652733696799E-2</v>
      </c>
      <c r="H129" s="2">
        <v>0.95572486570527304</v>
      </c>
      <c r="I129" s="2">
        <v>0.99990057972998203</v>
      </c>
      <c r="J129" s="2">
        <v>0.99999007021662301</v>
      </c>
      <c r="K129" s="2">
        <v>0.99999786250647005</v>
      </c>
    </row>
    <row r="130" spans="1:11" x14ac:dyDescent="0.25">
      <c r="A130">
        <v>12.9</v>
      </c>
      <c r="B130" s="2">
        <v>2.3283064365791801E-10</v>
      </c>
      <c r="C130" s="2">
        <v>2.3283098830777301E-10</v>
      </c>
      <c r="D130" s="2">
        <v>2.6217294939635698E-10</v>
      </c>
      <c r="E130" s="2">
        <v>1.8952274956395701E-7</v>
      </c>
      <c r="F130" s="2">
        <v>9.2521802899813506E-5</v>
      </c>
      <c r="G130" s="2">
        <v>4.3273935245643803E-2</v>
      </c>
      <c r="H130" s="2">
        <v>0.95672923367065299</v>
      </c>
      <c r="I130" s="2">
        <v>0.99990748529510498</v>
      </c>
      <c r="J130" s="2">
        <v>0.999990924845644</v>
      </c>
      <c r="K130" s="2">
        <v>0.99999806976012195</v>
      </c>
    </row>
    <row r="131" spans="1:11" x14ac:dyDescent="0.25">
      <c r="A131">
        <v>13</v>
      </c>
      <c r="B131" s="2">
        <v>2.3283064365668303E-10</v>
      </c>
      <c r="C131" s="2">
        <v>2.32830905181499E-10</v>
      </c>
      <c r="D131" s="2">
        <v>2.57144090462854E-10</v>
      </c>
      <c r="E131" s="2">
        <v>1.6811773648059E-7</v>
      </c>
      <c r="F131" s="2">
        <v>8.6094800747335293E-5</v>
      </c>
      <c r="G131" s="2">
        <v>4.2291016123093501E-2</v>
      </c>
      <c r="H131" s="2">
        <v>0.95771183772660295</v>
      </c>
      <c r="I131" s="2">
        <v>0.99991391128153495</v>
      </c>
      <c r="J131" s="2">
        <v>0.99999170591697095</v>
      </c>
      <c r="K131" s="2">
        <v>0.99999825691584099</v>
      </c>
    </row>
    <row r="132" spans="1:11" x14ac:dyDescent="0.25">
      <c r="A132">
        <v>13.1</v>
      </c>
      <c r="B132" s="2">
        <v>2.32830643655824E-10</v>
      </c>
      <c r="C132" s="2">
        <v>2.3283084210427198E-10</v>
      </c>
      <c r="D132" s="2">
        <v>2.5297710881286398E-10</v>
      </c>
      <c r="E132" s="2">
        <v>1.49133229598698E-7</v>
      </c>
      <c r="F132" s="2">
        <v>8.0114226564317003E-5</v>
      </c>
      <c r="G132" s="2">
        <v>4.1329466878558499E-2</v>
      </c>
      <c r="H132" s="2">
        <v>0.95867310299636399</v>
      </c>
      <c r="I132" s="2">
        <v>0.99991989098534395</v>
      </c>
      <c r="J132" s="2">
        <v>0.99999241976176501</v>
      </c>
      <c r="K132" s="2">
        <v>0.99999842592261401</v>
      </c>
    </row>
    <row r="133" spans="1:11" x14ac:dyDescent="0.25">
      <c r="A133">
        <v>13.2</v>
      </c>
      <c r="B133" s="2">
        <v>2.3283064365522801E-10</v>
      </c>
      <c r="C133" s="2">
        <v>2.3283079424050198E-10</v>
      </c>
      <c r="D133" s="2">
        <v>2.49524290156162E-10</v>
      </c>
      <c r="E133" s="2">
        <v>1.3229551217355201E-7</v>
      </c>
      <c r="F133" s="2">
        <v>7.4549073847116797E-5</v>
      </c>
      <c r="G133" s="2">
        <v>4.0388865491490199E-2</v>
      </c>
      <c r="H133" s="2">
        <v>0.95961344846099195</v>
      </c>
      <c r="I133" s="2">
        <v>0.99992545539226896</v>
      </c>
      <c r="J133" s="2">
        <v>0.999993072166252</v>
      </c>
      <c r="K133" s="2">
        <v>0.99999857854041896</v>
      </c>
    </row>
    <row r="134" spans="1:11" x14ac:dyDescent="0.25">
      <c r="A134">
        <v>13.3</v>
      </c>
      <c r="B134" s="2">
        <v>2.3283064365481401E-10</v>
      </c>
      <c r="C134" s="2">
        <v>2.3283075792088498E-10</v>
      </c>
      <c r="D134" s="2">
        <v>2.4666323655664198E-10</v>
      </c>
      <c r="E134" s="2">
        <v>1.17361820546389E-7</v>
      </c>
      <c r="F134" s="2">
        <v>6.9370489259994397E-5</v>
      </c>
      <c r="G134" s="2">
        <v>3.9468796397312898E-2</v>
      </c>
      <c r="H134" s="2">
        <v>0.96053328693941298</v>
      </c>
      <c r="I134" s="2">
        <v>0.99993063333784105</v>
      </c>
      <c r="J134" s="2">
        <v>0.99999366841862003</v>
      </c>
      <c r="K134" s="2">
        <v>0.99999871635855597</v>
      </c>
    </row>
    <row r="135" spans="1:11" x14ac:dyDescent="0.25">
      <c r="A135">
        <v>13.4</v>
      </c>
      <c r="B135" s="2">
        <v>2.32830643654526E-10</v>
      </c>
      <c r="C135" s="2">
        <v>2.3283073036111201E-10</v>
      </c>
      <c r="D135" s="2">
        <v>2.4429252750811602E-10</v>
      </c>
      <c r="E135" s="2">
        <v>1.04116843734851E-7</v>
      </c>
      <c r="F135" s="2">
        <v>6.4551623161817896E-5</v>
      </c>
      <c r="G135" s="2">
        <v>3.8568850472119498E-2</v>
      </c>
      <c r="H135" s="2">
        <v>0.96143302507568196</v>
      </c>
      <c r="I135" s="2">
        <v>0.99993545165643705</v>
      </c>
      <c r="J135" s="2">
        <v>0.99999421335189398</v>
      </c>
      <c r="K135" s="2">
        <v>0.99999884081220103</v>
      </c>
    </row>
    <row r="136" spans="1:11" x14ac:dyDescent="0.25">
      <c r="A136">
        <v>13.5</v>
      </c>
      <c r="B136" s="2">
        <v>2.3283064365432499E-10</v>
      </c>
      <c r="C136" s="2">
        <v>2.3283070944841402E-10</v>
      </c>
      <c r="D136" s="2">
        <v>2.42328124656008E-10</v>
      </c>
      <c r="E136" s="2">
        <v>9.2369618894866899E-8</v>
      </c>
      <c r="F136" s="2">
        <v>6.0067490503192099E-5</v>
      </c>
      <c r="G136" s="2">
        <v>3.7688625013234903E-2</v>
      </c>
      <c r="H136" s="2">
        <v>0.96231306333303701</v>
      </c>
      <c r="I136" s="2">
        <v>0.99993993532001801</v>
      </c>
      <c r="J136" s="2">
        <v>0.99999471138311202</v>
      </c>
      <c r="K136" s="2">
        <v>0.99999895319735099</v>
      </c>
    </row>
    <row r="137" spans="1:11" x14ac:dyDescent="0.25">
      <c r="A137">
        <v>13.6</v>
      </c>
      <c r="B137" s="2">
        <v>2.3283064365418603E-10</v>
      </c>
      <c r="C137" s="2">
        <v>2.3283069357959901E-10</v>
      </c>
      <c r="D137" s="2">
        <v>2.4070039271052501E-10</v>
      </c>
      <c r="E137" s="2">
        <v>8.1950777880259498E-8</v>
      </c>
      <c r="F137" s="2">
        <v>5.5894841375246801E-5</v>
      </c>
      <c r="G137" s="2">
        <v>3.6827723715804103E-2</v>
      </c>
      <c r="H137" s="2">
        <v>0.96317379599429698</v>
      </c>
      <c r="I137" s="2">
        <v>0.99994410756727403</v>
      </c>
      <c r="J137" s="2">
        <v>0.99999516654913201</v>
      </c>
      <c r="K137" s="2">
        <v>0.99999905468432504</v>
      </c>
    </row>
    <row r="138" spans="1:11" x14ac:dyDescent="0.25">
      <c r="A138">
        <v>13.7</v>
      </c>
      <c r="B138" s="2">
        <v>4.6566128730795898E-10</v>
      </c>
      <c r="C138" s="2">
        <v>4.6566132519203001E-10</v>
      </c>
      <c r="D138" s="2">
        <v>4.7218227922441399E-10</v>
      </c>
      <c r="E138" s="2">
        <v>7.2942987234948794E-8</v>
      </c>
      <c r="F138" s="2">
        <v>5.20122938115733E-5</v>
      </c>
      <c r="G138" s="2">
        <v>3.5985759195697603E-2</v>
      </c>
      <c r="H138" s="2">
        <v>0.96401561039908701</v>
      </c>
      <c r="I138" s="2">
        <v>0.99994798978693999</v>
      </c>
      <c r="J138" s="2">
        <v>0.999995582305506</v>
      </c>
      <c r="K138" s="2">
        <v>0.99999914609688301</v>
      </c>
    </row>
    <row r="139" spans="1:11" x14ac:dyDescent="0.25">
      <c r="A139">
        <v>13.8</v>
      </c>
      <c r="B139" s="2">
        <v>4.6566128730789198E-10</v>
      </c>
      <c r="C139" s="2">
        <v>4.6566131605481905E-10</v>
      </c>
      <c r="D139" s="2">
        <v>4.7106467536984296E-10</v>
      </c>
      <c r="E139" s="2">
        <v>6.4747250030682006E-8</v>
      </c>
      <c r="F139" s="2">
        <v>4.8399207830156102E-5</v>
      </c>
      <c r="G139" s="2">
        <v>3.5162342738850598E-2</v>
      </c>
      <c r="H139" s="2">
        <v>0.96483889004896095</v>
      </c>
      <c r="I139" s="2">
        <v>0.99995160257749105</v>
      </c>
      <c r="J139" s="2">
        <v>0.99999596249186196</v>
      </c>
      <c r="K139" s="2">
        <v>0.99999922885551595</v>
      </c>
    </row>
    <row r="140" spans="1:11" x14ac:dyDescent="0.25">
      <c r="A140">
        <v>13.9</v>
      </c>
      <c r="B140" s="2">
        <v>4.6566128730784503E-10</v>
      </c>
      <c r="C140" s="2">
        <v>4.6566130912138795E-10</v>
      </c>
      <c r="D140" s="2">
        <v>4.7013861284345797E-10</v>
      </c>
      <c r="E140" s="2">
        <v>5.7478289846847702E-8</v>
      </c>
      <c r="F140" s="2">
        <v>4.5037103064571603E-5</v>
      </c>
      <c r="G140" s="2">
        <v>3.4357099626019599E-2</v>
      </c>
      <c r="H140" s="2">
        <v>0.96564400995960697</v>
      </c>
      <c r="I140" s="2">
        <v>0.99995496442912102</v>
      </c>
      <c r="J140" s="2">
        <v>0.99999630995589595</v>
      </c>
      <c r="K140" s="2">
        <v>0.99999930358893097</v>
      </c>
    </row>
    <row r="141" spans="1:11" x14ac:dyDescent="0.25">
      <c r="A141">
        <v>14</v>
      </c>
      <c r="B141" s="2">
        <v>4.6566128730781298E-10</v>
      </c>
      <c r="C141" s="2">
        <v>4.6566130386021299E-10</v>
      </c>
      <c r="D141" s="2">
        <v>4.6937126415930197E-10</v>
      </c>
      <c r="E141" s="2">
        <v>5.10313058558125E-8</v>
      </c>
      <c r="F141" s="2">
        <v>4.1908546222024703E-5</v>
      </c>
      <c r="G141" s="2">
        <v>3.3569658836396003E-2</v>
      </c>
      <c r="H141" s="2">
        <v>0.96643133980976503</v>
      </c>
      <c r="I141" s="2">
        <v>0.999958092769066</v>
      </c>
      <c r="J141" s="2">
        <v>0.99999662751400498</v>
      </c>
      <c r="K141" s="2">
        <v>0.99999937107535097</v>
      </c>
    </row>
    <row r="142" spans="1:11" x14ac:dyDescent="0.25">
      <c r="A142">
        <v>14.1</v>
      </c>
      <c r="B142" s="2">
        <v>4.6566128730779096E-10</v>
      </c>
      <c r="C142" s="2">
        <v>4.6566129986796701E-10</v>
      </c>
      <c r="D142" s="2">
        <v>4.68735428009845E-10</v>
      </c>
      <c r="E142" s="2">
        <v>4.5313348307540797E-8</v>
      </c>
      <c r="F142" s="2">
        <v>3.8997314808398899E-5</v>
      </c>
      <c r="G142" s="2">
        <v>3.2799655576645201E-2</v>
      </c>
      <c r="H142" s="2">
        <v>0.96720124318182799</v>
      </c>
      <c r="I142" s="2">
        <v>0.99996100381463104</v>
      </c>
      <c r="J142" s="2">
        <v>0.99999691774017596</v>
      </c>
      <c r="K142" s="2">
        <v>0.99999943201753105</v>
      </c>
    </row>
    <row r="143" spans="1:11" x14ac:dyDescent="0.25">
      <c r="A143">
        <v>14.2</v>
      </c>
      <c r="B143" s="2">
        <v>4.6566128730777503E-10</v>
      </c>
      <c r="C143" s="2">
        <v>4.6566129683860103E-10</v>
      </c>
      <c r="D143" s="2">
        <v>4.6820856501421902E-10</v>
      </c>
      <c r="E143" s="2">
        <v>4.0241978368280598E-8</v>
      </c>
      <c r="F143" s="2">
        <v>3.6288313050628899E-5</v>
      </c>
      <c r="G143" s="2">
        <v>3.2046731237423E-2</v>
      </c>
      <c r="H143" s="2">
        <v>0.96795407759266305</v>
      </c>
      <c r="I143" s="2">
        <v>0.99996371265714001</v>
      </c>
      <c r="J143" s="2">
        <v>0.99999718298685303</v>
      </c>
      <c r="K143" s="2">
        <v>0.99999948705007902</v>
      </c>
    </row>
    <row r="144" spans="1:11" x14ac:dyDescent="0.25">
      <c r="A144">
        <v>14.3</v>
      </c>
      <c r="B144" s="2">
        <v>4.6566128730776397E-10</v>
      </c>
      <c r="C144" s="2">
        <v>4.6566129453987903E-10</v>
      </c>
      <c r="D144" s="2">
        <v>4.6777199872687902E-10</v>
      </c>
      <c r="E144" s="2">
        <v>3.5744079512923403E-8</v>
      </c>
      <c r="F144" s="2">
        <v>3.3767493655342099E-5</v>
      </c>
      <c r="G144" s="2">
        <v>3.1310533347137799E-2</v>
      </c>
      <c r="H144" s="2">
        <v>0.96869019452838501</v>
      </c>
      <c r="I144" s="2">
        <v>0.99996623334007395</v>
      </c>
      <c r="J144" s="2">
        <v>0.99999742540400405</v>
      </c>
      <c r="K144" s="2">
        <v>0.99999953674606201</v>
      </c>
    </row>
    <row r="145" spans="1:11" x14ac:dyDescent="0.25">
      <c r="A145">
        <v>14.4</v>
      </c>
      <c r="B145" s="2">
        <v>4.6566128730775601E-10</v>
      </c>
      <c r="C145" s="2">
        <v>4.6566129279557897E-10</v>
      </c>
      <c r="D145" s="2">
        <v>4.6741025358305402E-10</v>
      </c>
      <c r="E145" s="2">
        <v>3.1754803331751898E-8</v>
      </c>
      <c r="F145" s="2">
        <v>3.1421784998899599E-5</v>
      </c>
      <c r="G145" s="2">
        <v>3.0590715523149601E-2</v>
      </c>
      <c r="H145" s="2">
        <v>0.96940993948279097</v>
      </c>
      <c r="I145" s="2">
        <v>0.99996857893179203</v>
      </c>
      <c r="J145" s="2">
        <v>0.99999764695655002</v>
      </c>
      <c r="K145" s="2">
        <v>0.99999958162297398</v>
      </c>
    </row>
    <row r="146" spans="1:11" x14ac:dyDescent="0.25">
      <c r="A146">
        <v>14.5</v>
      </c>
      <c r="B146" s="2">
        <v>4.6566128730775105E-10</v>
      </c>
      <c r="C146" s="2">
        <v>4.6566129147198298E-10</v>
      </c>
      <c r="D146" s="2">
        <v>4.6711050631166405E-10</v>
      </c>
      <c r="E146" s="2">
        <v>2.8216634550704701E-8</v>
      </c>
      <c r="F146" s="2">
        <v>2.9239023372037201E-5</v>
      </c>
      <c r="G146" s="2">
        <v>2.9886937420555901E-2</v>
      </c>
      <c r="H146" s="2">
        <v>0.97011365199920097</v>
      </c>
      <c r="I146" s="2">
        <v>0.99997076159320397</v>
      </c>
      <c r="J146" s="2">
        <v>0.99999784944029302</v>
      </c>
      <c r="K146" s="2">
        <v>0.99999962214812999</v>
      </c>
    </row>
    <row r="147" spans="1:11" x14ac:dyDescent="0.25">
      <c r="A147">
        <v>14.6</v>
      </c>
      <c r="B147" s="2">
        <v>4.6566128730774805E-10</v>
      </c>
      <c r="C147" s="2">
        <v>4.65661290467621E-10</v>
      </c>
      <c r="D147" s="2">
        <v>4.6686213136879599E-10</v>
      </c>
      <c r="E147" s="2">
        <v>2.5078561783447999E-8</v>
      </c>
      <c r="F147" s="2">
        <v>2.7207889928395501E-5</v>
      </c>
      <c r="G147" s="2">
        <v>2.91988646787214E-2</v>
      </c>
      <c r="H147" s="2">
        <v>0.97080166571544901</v>
      </c>
      <c r="I147" s="2">
        <v>0.999972792640759</v>
      </c>
      <c r="J147" s="2">
        <v>0.99999803449646796</v>
      </c>
      <c r="K147" s="2">
        <v>0.99999965874352403</v>
      </c>
    </row>
    <row r="148" spans="1:11" x14ac:dyDescent="0.25">
      <c r="A148">
        <v>14.7</v>
      </c>
      <c r="B148" s="2">
        <v>4.6566128730774505E-10</v>
      </c>
      <c r="C148" s="2">
        <v>4.6566128970549804E-10</v>
      </c>
      <c r="D148" s="2">
        <v>4.6665632427778704E-10</v>
      </c>
      <c r="E148" s="2">
        <v>2.2295342058260301E-8</v>
      </c>
      <c r="F148" s="2">
        <v>2.5317852010544499E-5</v>
      </c>
      <c r="G148" s="2">
        <v>2.8526168865716701E-2</v>
      </c>
      <c r="H148" s="2">
        <v>0.97147430841178295</v>
      </c>
      <c r="I148" s="2">
        <v>0.99997468260505895</v>
      </c>
      <c r="J148" s="2">
        <v>0.99999820362505198</v>
      </c>
      <c r="K148" s="2">
        <v>0.99999969179022996</v>
      </c>
    </row>
    <row r="149" spans="1:11" x14ac:dyDescent="0.25">
      <c r="A149">
        <v>14.8</v>
      </c>
      <c r="B149" s="2">
        <v>4.6566128730774298E-10</v>
      </c>
      <c r="C149" s="2">
        <v>4.6566128912718898E-10</v>
      </c>
      <c r="D149" s="2">
        <v>4.6648578952373998E-10</v>
      </c>
      <c r="E149" s="2">
        <v>1.98268485149964E-8</v>
      </c>
      <c r="F149" s="2">
        <v>2.35591085497532E-5</v>
      </c>
      <c r="G149" s="2">
        <v>2.7868527420803601E-2</v>
      </c>
      <c r="H149" s="2">
        <v>0.97213190206144695</v>
      </c>
      <c r="I149" s="2">
        <v>0.99997644128541396</v>
      </c>
      <c r="J149" s="2">
        <v>0.99999835819691896</v>
      </c>
      <c r="K149" s="2">
        <v>0.99999972163237105</v>
      </c>
    </row>
    <row r="150" spans="1:11" x14ac:dyDescent="0.25">
      <c r="A150">
        <v>14.9</v>
      </c>
      <c r="B150" s="2">
        <v>4.6566128730774205E-10</v>
      </c>
      <c r="C150" s="2">
        <v>4.6566128868836098E-10</v>
      </c>
      <c r="D150" s="2">
        <v>4.6634448193865903E-10</v>
      </c>
      <c r="E150" s="2">
        <v>1.76374918667026E-8</v>
      </c>
      <c r="F150" s="2">
        <v>2.1922539256781601E-5</v>
      </c>
      <c r="G150" s="2">
        <v>2.72256235951241E-2</v>
      </c>
      <c r="H150" s="2">
        <v>0.97277476288373999</v>
      </c>
      <c r="I150" s="2">
        <v>0.99997807780060499</v>
      </c>
      <c r="J150" s="2">
        <v>0.99999849946495201</v>
      </c>
      <c r="K150" s="2">
        <v>0.99999974858069496</v>
      </c>
    </row>
    <row r="151" spans="1:11" x14ac:dyDescent="0.25">
      <c r="A151">
        <v>15</v>
      </c>
      <c r="B151" s="2">
        <v>4.6566128730774102E-10</v>
      </c>
      <c r="C151" s="2">
        <v>4.6566128835537302E-10</v>
      </c>
      <c r="D151" s="2">
        <v>4.6622739240962201E-10</v>
      </c>
      <c r="E151" s="2">
        <v>1.5695707284136901E-8</v>
      </c>
      <c r="F151" s="2">
        <v>2.03996573405962E-5</v>
      </c>
      <c r="G151" s="2">
        <v>2.6597146390725902E-2</v>
      </c>
      <c r="H151" s="2">
        <v>0.97340320139932501</v>
      </c>
      <c r="I151" s="2">
        <v>0.999979600636132</v>
      </c>
      <c r="J151" s="2">
        <v>0.99999862857419897</v>
      </c>
      <c r="K151" s="2">
        <v>0.99999977291581899</v>
      </c>
    </row>
    <row r="152" spans="1:11" x14ac:dyDescent="0.25">
      <c r="A152">
        <v>15.1</v>
      </c>
      <c r="B152" s="2">
        <v>4.6566128730774102E-10</v>
      </c>
      <c r="C152" s="2">
        <v>4.6566128810269705E-10</v>
      </c>
      <c r="D152" s="2">
        <v>4.6613037031362203E-10</v>
      </c>
      <c r="E152" s="2">
        <v>1.3973499304814E-8</v>
      </c>
      <c r="F152" s="2">
        <v>1.8982565510155799E-5</v>
      </c>
      <c r="G152" s="2">
        <v>2.59827904980677E-2</v>
      </c>
      <c r="H152" s="2">
        <v>0.97401752248761597</v>
      </c>
      <c r="I152" s="2">
        <v>0.99998101768817904</v>
      </c>
      <c r="J152" s="2">
        <v>0.99999874657115495</v>
      </c>
      <c r="K152" s="2">
        <v>0.99999979489114899</v>
      </c>
    </row>
    <row r="153" spans="1:11" x14ac:dyDescent="0.25">
      <c r="A153">
        <v>15.2</v>
      </c>
      <c r="B153" s="2">
        <v>4.6566128730773998E-10</v>
      </c>
      <c r="C153" s="2">
        <v>4.6566128791096299E-10</v>
      </c>
      <c r="D153" s="2">
        <v>4.6604997638458997E-10</v>
      </c>
      <c r="E153" s="2">
        <v>1.24460382048769E-8</v>
      </c>
      <c r="F153" s="2">
        <v>1.7663915031381202E-5</v>
      </c>
      <c r="G153" s="2">
        <v>2.5382256232130501E-2</v>
      </c>
      <c r="H153" s="2">
        <v>0.97461802544605103</v>
      </c>
      <c r="I153" s="2">
        <v>0.99998233630453304</v>
      </c>
      <c r="J153" s="2">
        <v>0.99999885441224401</v>
      </c>
      <c r="K153" s="2">
        <v>0.99999981473551602</v>
      </c>
    </row>
    <row r="154" spans="1:11" x14ac:dyDescent="0.25">
      <c r="A154">
        <v>15.3</v>
      </c>
      <c r="B154" s="2">
        <v>4.6566128730773998E-10</v>
      </c>
      <c r="C154" s="2">
        <v>4.6566128776547402E-10</v>
      </c>
      <c r="D154" s="2">
        <v>4.6598336079697203E-10</v>
      </c>
      <c r="E154" s="2">
        <v>1.1091302014144501E-8</v>
      </c>
      <c r="F154" s="2">
        <v>1.64368676272455E-5</v>
      </c>
      <c r="G154" s="2">
        <v>2.47952494672707E-2</v>
      </c>
      <c r="H154" s="2">
        <v>0.97520500405106902</v>
      </c>
      <c r="I154" s="2">
        <v>0.99998356332265903</v>
      </c>
      <c r="J154" s="2">
        <v>0.99999895297157204</v>
      </c>
      <c r="K154" s="2">
        <v>0.99999983265556103</v>
      </c>
    </row>
    <row r="155" spans="1:11" x14ac:dyDescent="0.25">
      <c r="A155">
        <v>15.4</v>
      </c>
      <c r="B155" s="2">
        <v>4.6566128730773998E-10</v>
      </c>
      <c r="C155" s="2">
        <v>4.6566128765507405E-10</v>
      </c>
      <c r="D155" s="2">
        <v>4.6592816214405498E-10</v>
      </c>
      <c r="E155" s="2">
        <v>9.8897590128194405E-9</v>
      </c>
      <c r="F155" s="2">
        <v>1.52950600236189E-5</v>
      </c>
      <c r="G155" s="2">
        <v>2.42214815709248E-2</v>
      </c>
      <c r="H155" s="2">
        <v>0.97577874662063302</v>
      </c>
      <c r="I155" s="2">
        <v>0.99998470510513504</v>
      </c>
      <c r="J155" s="2">
        <v>0.99999904304800902</v>
      </c>
      <c r="K155" s="2">
        <v>0.99999984883788695</v>
      </c>
    </row>
    <row r="156" spans="1:11" x14ac:dyDescent="0.25">
      <c r="A156">
        <v>15.5</v>
      </c>
      <c r="B156" s="2">
        <v>4.6566128730773998E-10</v>
      </c>
      <c r="C156" s="2">
        <v>4.6566128757130102E-10</v>
      </c>
      <c r="D156" s="2">
        <v>4.65882423729987E-10</v>
      </c>
      <c r="E156" s="2">
        <v>8.8240861320430606E-9</v>
      </c>
      <c r="F156" s="2">
        <v>1.42325709572026E-5</v>
      </c>
      <c r="G156" s="2">
        <v>2.36606693362993E-2</v>
      </c>
      <c r="H156" s="2">
        <v>0.97633953607815205</v>
      </c>
      <c r="I156" s="2">
        <v>0.99998576757263102</v>
      </c>
      <c r="J156" s="2">
        <v>0.99999912537167002</v>
      </c>
      <c r="K156" s="2">
        <v>0.999999863451003</v>
      </c>
    </row>
    <row r="157" spans="1:11" x14ac:dyDescent="0.25">
      <c r="A157">
        <v>15.6</v>
      </c>
      <c r="B157" s="2">
        <v>4.6566128730773998E-10</v>
      </c>
      <c r="C157" s="2">
        <v>4.6566128750773302E-10</v>
      </c>
      <c r="D157" s="2">
        <v>4.6584452420815997E-10</v>
      </c>
      <c r="E157" s="2">
        <v>7.8789191981682793E-9</v>
      </c>
      <c r="F157" s="2">
        <v>1.3243890474622901E-5</v>
      </c>
      <c r="G157" s="2">
        <v>2.3112534914145302E-2</v>
      </c>
      <c r="H157" s="2">
        <v>0.97688765001762601</v>
      </c>
      <c r="I157" s="2">
        <v>0.99998675623458899</v>
      </c>
      <c r="J157" s="2">
        <v>0.99999920060982705</v>
      </c>
      <c r="K157" s="2">
        <v>0.99999987664707601</v>
      </c>
    </row>
    <row r="158" spans="1:11" x14ac:dyDescent="0.25">
      <c r="A158">
        <v>15.7</v>
      </c>
      <c r="B158" s="2">
        <v>4.65661287307739E-10</v>
      </c>
      <c r="C158" s="2">
        <v>4.6566128745949702E-10</v>
      </c>
      <c r="D158" s="2">
        <v>4.6581312010718401E-10</v>
      </c>
      <c r="E158" s="2">
        <v>7.0406314197694503E-9</v>
      </c>
      <c r="F158" s="2">
        <v>1.2323891363622401E-5</v>
      </c>
      <c r="G158" s="2">
        <v>2.2576805743734801E-2</v>
      </c>
      <c r="H158" s="2">
        <v>0.97742336076990899</v>
      </c>
      <c r="I158" s="2">
        <v>0.99998767621778495</v>
      </c>
      <c r="J158" s="2">
        <v>0.99999926937232197</v>
      </c>
      <c r="K158" s="2">
        <v>0.99999988856351796</v>
      </c>
    </row>
    <row r="159" spans="1:11" x14ac:dyDescent="0.25">
      <c r="A159">
        <v>15.8</v>
      </c>
      <c r="B159" s="2">
        <v>4.65661287307739E-10</v>
      </c>
      <c r="C159" s="2">
        <v>4.65661287422895E-10</v>
      </c>
      <c r="D159" s="2">
        <v>4.6578709820709099E-10</v>
      </c>
      <c r="E159" s="2">
        <v>6.2971369236225502E-9</v>
      </c>
      <c r="F159" s="2">
        <v>1.1467802568315E-5</v>
      </c>
      <c r="G159" s="2">
        <v>2.2053214483139801E-2</v>
      </c>
      <c r="H159" s="2">
        <v>0.97794693546991396</v>
      </c>
      <c r="I159" s="2">
        <v>0.99998853229290097</v>
      </c>
      <c r="J159" s="2">
        <v>0.99999933221650805</v>
      </c>
      <c r="K159" s="2">
        <v>0.99999989932441502</v>
      </c>
    </row>
    <row r="160" spans="1:11" x14ac:dyDescent="0.25">
      <c r="A160">
        <v>15.9</v>
      </c>
      <c r="B160" s="2">
        <v>4.65661287307739E-10</v>
      </c>
      <c r="C160" s="2">
        <v>4.6566128739512096E-10</v>
      </c>
      <c r="D160" s="2">
        <v>4.6576553607757397E-10</v>
      </c>
      <c r="E160" s="2">
        <v>5.6377165070561198E-9</v>
      </c>
      <c r="F160" s="2">
        <v>1.0671184450753099E-5</v>
      </c>
      <c r="G160" s="2">
        <v>2.1541498938915299E-2</v>
      </c>
      <c r="H160" s="2">
        <v>0.97845863612469397</v>
      </c>
      <c r="I160" s="2">
        <v>0.99998932889925396</v>
      </c>
      <c r="J160" s="2">
        <v>0.99999938965176904</v>
      </c>
      <c r="K160" s="2">
        <v>0.99999990904182201</v>
      </c>
    </row>
    <row r="161" spans="1:11" x14ac:dyDescent="0.25">
      <c r="A161">
        <v>16</v>
      </c>
      <c r="B161" s="2">
        <v>4.65661287307739E-10</v>
      </c>
      <c r="C161" s="2">
        <v>4.6566128737404595E-10</v>
      </c>
      <c r="D161" s="2">
        <v>4.6574766937941098E-10</v>
      </c>
      <c r="E161" s="2">
        <v>5.0528630944002999E-9</v>
      </c>
      <c r="F161" s="2">
        <v>9.9299057706077495E-6</v>
      </c>
      <c r="G161" s="2">
        <v>2.1041401995278701E-2</v>
      </c>
      <c r="H161" s="2">
        <v>0.97895871968221004</v>
      </c>
      <c r="I161" s="2">
        <v>0.99999007016781005</v>
      </c>
      <c r="J161" s="2">
        <v>0.999999442143642</v>
      </c>
      <c r="K161" s="2">
        <v>0.99999991781692699</v>
      </c>
    </row>
    <row r="162" spans="1:11" x14ac:dyDescent="0.25">
      <c r="A162">
        <v>16.100000000000001</v>
      </c>
      <c r="B162" s="2">
        <v>4.65661287307739E-10</v>
      </c>
      <c r="C162" s="2">
        <v>4.6566128735805304E-10</v>
      </c>
      <c r="D162" s="2">
        <v>4.6573286476994396E-10</v>
      </c>
      <c r="E162" s="2">
        <v>4.5341446693523396E-9</v>
      </c>
      <c r="F162" s="2">
        <v>9.2401222636628997E-6</v>
      </c>
      <c r="G162" s="2">
        <v>2.0552671542878601E-2</v>
      </c>
      <c r="H162" s="2">
        <v>0.97944743810073298</v>
      </c>
      <c r="I162" s="2">
        <v>0.9999907599426</v>
      </c>
      <c r="J162" s="2">
        <v>0.99999949011760203</v>
      </c>
      <c r="K162" s="2">
        <v>0.99999992574110497</v>
      </c>
    </row>
    <row r="163" spans="1:11" x14ac:dyDescent="0.25">
      <c r="A163">
        <v>16.2</v>
      </c>
      <c r="B163" s="2">
        <v>4.65661287307739E-10</v>
      </c>
      <c r="C163" s="2">
        <v>4.6566128734591799E-10</v>
      </c>
      <c r="D163" s="2">
        <v>4.6572059745217805E-10</v>
      </c>
      <c r="E163" s="2">
        <v>4.0740827070538204E-9</v>
      </c>
      <c r="F163" s="2">
        <v>8.5982567081065402E-6</v>
      </c>
      <c r="G163" s="2">
        <v>2.0075060407236799E-2</v>
      </c>
      <c r="H163" s="2">
        <v>0.97992503841874301</v>
      </c>
      <c r="I163" s="2">
        <v>0.99999140180064405</v>
      </c>
      <c r="J163" s="2">
        <v>0.99999953396249797</v>
      </c>
      <c r="K163" s="2">
        <v>0.99999993289687095</v>
      </c>
    </row>
    <row r="164" spans="1:11" x14ac:dyDescent="0.25">
      <c r="A164">
        <v>16.3</v>
      </c>
      <c r="B164" s="2">
        <v>4.65661287307739E-10</v>
      </c>
      <c r="C164" s="2">
        <v>4.6566128733671002E-10</v>
      </c>
      <c r="D164" s="2">
        <v>4.6571043257163503E-10</v>
      </c>
      <c r="E164" s="2">
        <v>3.66604435314599E-9</v>
      </c>
      <c r="F164" s="2">
        <v>8.0009803753067807E-6</v>
      </c>
      <c r="G164" s="2">
        <v>1.96083262769523E-2</v>
      </c>
      <c r="H164" s="2">
        <v>0.98039176282523299</v>
      </c>
      <c r="I164" s="2">
        <v>0.99999199907049696</v>
      </c>
      <c r="J164" s="2">
        <v>0.99999957403371598</v>
      </c>
      <c r="K164" s="2">
        <v>0.99999993935873799</v>
      </c>
    </row>
    <row r="165" spans="1:11" x14ac:dyDescent="0.25">
      <c r="A165">
        <v>16.399999999999999</v>
      </c>
      <c r="B165" s="2">
        <v>4.65661287307739E-10</v>
      </c>
      <c r="C165" s="2">
        <v>4.6566128732972303E-10</v>
      </c>
      <c r="D165" s="2">
        <v>4.6570200980151803E-10</v>
      </c>
      <c r="E165" s="2">
        <v>3.30414679527783E-9</v>
      </c>
      <c r="F165" s="2">
        <v>7.44519576892912E-6</v>
      </c>
      <c r="G165" s="2">
        <v>1.91522316317345E-2</v>
      </c>
      <c r="H165" s="2">
        <v>0.98084784873032504</v>
      </c>
      <c r="I165" s="2">
        <v>0.99999255484951</v>
      </c>
      <c r="J165" s="2">
        <v>0.99999961065605103</v>
      </c>
      <c r="K165" s="2">
        <v>0.99999994519399504</v>
      </c>
    </row>
    <row r="166" spans="1:11" x14ac:dyDescent="0.25">
      <c r="A166">
        <v>16.5</v>
      </c>
      <c r="B166" s="2">
        <v>4.65661287307739E-10</v>
      </c>
      <c r="C166" s="2">
        <v>4.6566128732442101E-10</v>
      </c>
      <c r="D166" s="2">
        <v>4.6569503056975595E-10</v>
      </c>
      <c r="E166" s="2">
        <v>2.9831724483273801E-9</v>
      </c>
      <c r="F166" s="2">
        <v>6.9280205629306997E-6</v>
      </c>
      <c r="G166" s="2">
        <v>1.8706543670351398E-2</v>
      </c>
      <c r="H166" s="2">
        <v>0.98129352883610699</v>
      </c>
      <c r="I166" s="2">
        <v>0.99999307201988097</v>
      </c>
      <c r="J166" s="2">
        <v>0.99999964412634501</v>
      </c>
      <c r="K166" s="2">
        <v>0.99999995046340395</v>
      </c>
    </row>
    <row r="167" spans="1:11" x14ac:dyDescent="0.25">
      <c r="A167">
        <v>16.600000000000001</v>
      </c>
      <c r="B167" s="2">
        <v>4.65661287307739E-10</v>
      </c>
      <c r="C167" s="2">
        <v>4.6566128732039698E-10</v>
      </c>
      <c r="D167" s="2">
        <v>4.6568924747514703E-10</v>
      </c>
      <c r="E167" s="2">
        <v>2.69849373051101E-9</v>
      </c>
      <c r="F167" s="2">
        <v>6.4467726551725197E-6</v>
      </c>
      <c r="G167" s="2">
        <v>1.8271034238554602E-2</v>
      </c>
      <c r="H167" s="2">
        <v>0.98172903120761801</v>
      </c>
      <c r="I167" s="2">
        <v>0.99999355326360595</v>
      </c>
      <c r="J167" s="2">
        <v>0.99999967471589002</v>
      </c>
      <c r="K167" s="2">
        <v>0.99999995522183605</v>
      </c>
    </row>
    <row r="168" spans="1:11" x14ac:dyDescent="0.25">
      <c r="A168">
        <v>16.7</v>
      </c>
      <c r="B168" s="2">
        <v>4.65661287307739E-10</v>
      </c>
      <c r="C168" s="2">
        <v>4.6566128731734396E-10</v>
      </c>
      <c r="D168" s="2">
        <v>4.6568445551741996E-10</v>
      </c>
      <c r="E168" s="2">
        <v>2.4460063458336199E-9</v>
      </c>
      <c r="F168" s="2">
        <v>5.9989562591769599E-6</v>
      </c>
      <c r="G168" s="2">
        <v>1.78454797570506E-2</v>
      </c>
      <c r="H168" s="2">
        <v>0.98215457934388095</v>
      </c>
      <c r="I168" s="2">
        <v>0.99999400107637604</v>
      </c>
      <c r="J168" s="2">
        <v>0.99999970267262805</v>
      </c>
      <c r="K168" s="2">
        <v>0.99999995951884002</v>
      </c>
    </row>
    <row r="169" spans="1:11" x14ac:dyDescent="0.25">
      <c r="A169">
        <v>16.8</v>
      </c>
      <c r="B169" s="2">
        <v>4.65661287307739E-10</v>
      </c>
      <c r="C169" s="2">
        <v>4.6566128731502796E-10</v>
      </c>
      <c r="D169" s="2">
        <v>4.6568048483033303E-10</v>
      </c>
      <c r="E169" s="2">
        <v>2.2220701109751899E-9</v>
      </c>
      <c r="F169" s="2">
        <v>5.5822489619297903E-6</v>
      </c>
      <c r="G169" s="2">
        <v>1.7429661149583501E-2</v>
      </c>
      <c r="H169" s="2">
        <v>0.98257039224893405</v>
      </c>
      <c r="I169" s="2">
        <v>0.999994417780528</v>
      </c>
      <c r="J169" s="2">
        <v>0.99999972822316396</v>
      </c>
      <c r="K169" s="2">
        <v>0.99999996339916197</v>
      </c>
    </row>
    <row r="170" spans="1:11" x14ac:dyDescent="0.25">
      <c r="A170">
        <v>16.899999999999999</v>
      </c>
      <c r="B170" s="2">
        <v>4.65661287307739E-10</v>
      </c>
      <c r="C170" s="2">
        <v>4.6566128731326999E-10</v>
      </c>
      <c r="D170" s="2">
        <v>4.6567719466022202E-10</v>
      </c>
      <c r="E170" s="2">
        <v>2.0234564734843599E-9</v>
      </c>
      <c r="F170" s="2">
        <v>5.1944896806392903E-6</v>
      </c>
      <c r="G170" s="2">
        <v>1.7023363771184699E-2</v>
      </c>
      <c r="H170" s="2">
        <v>0.98297668450278097</v>
      </c>
      <c r="I170" s="2">
        <v>0.99999480553707398</v>
      </c>
      <c r="J170" s="2">
        <v>0.99999975157459497</v>
      </c>
      <c r="K170" s="2">
        <v>0.99999996690320703</v>
      </c>
    </row>
    <row r="171" spans="1:11" x14ac:dyDescent="0.25">
      <c r="A171">
        <v>17</v>
      </c>
      <c r="B171" s="2">
        <v>4.65661287307739E-10</v>
      </c>
      <c r="C171" s="2">
        <v>4.6566128731193596E-10</v>
      </c>
      <c r="D171" s="2">
        <v>4.6567446837652597E-10</v>
      </c>
      <c r="E171" s="2">
        <v>1.8473019646208799E-9</v>
      </c>
      <c r="F171" s="2">
        <v>4.8336674560150997E-6</v>
      </c>
      <c r="G171" s="2">
        <v>1.66263773366476E-2</v>
      </c>
      <c r="H171" s="2">
        <v>0.98337366633218903</v>
      </c>
      <c r="I171" s="2">
        <v>0.99999516635691699</v>
      </c>
      <c r="J171" s="2">
        <v>0.99999977291619502</v>
      </c>
      <c r="K171" s="2">
        <v>0.999999970067463</v>
      </c>
    </row>
    <row r="172" spans="1:11" x14ac:dyDescent="0.25">
      <c r="A172">
        <v>17.100000000000001</v>
      </c>
      <c r="B172" s="2">
        <v>4.65661287307739E-10</v>
      </c>
      <c r="C172" s="2">
        <v>4.6566128731092401E-10</v>
      </c>
      <c r="D172" s="2">
        <v>4.65672209337445E-10</v>
      </c>
      <c r="E172" s="2">
        <v>1.69106691575436E-9</v>
      </c>
      <c r="F172" s="2">
        <v>4.4979110239723299E-6</v>
      </c>
      <c r="G172" s="2">
        <v>1.6238495849277799E-2</v>
      </c>
      <c r="H172" s="2">
        <v>0.98376154368128799</v>
      </c>
      <c r="I172" s="2">
        <v>0.99999550211127097</v>
      </c>
      <c r="J172" s="2">
        <v>0.99999979242095005</v>
      </c>
      <c r="K172" s="2">
        <v>0.99999997292487897</v>
      </c>
    </row>
    <row r="173" spans="1:11" x14ac:dyDescent="0.25">
      <c r="A173">
        <v>17.2</v>
      </c>
      <c r="B173" s="2">
        <v>4.65661287307739E-10</v>
      </c>
      <c r="C173" s="2">
        <v>4.6566128731015597E-10</v>
      </c>
      <c r="D173" s="2">
        <v>4.6567033746416003E-10</v>
      </c>
      <c r="E173" s="2">
        <v>1.5524988431136E-9</v>
      </c>
      <c r="F173" s="2">
        <v>4.1854791116954802E-6</v>
      </c>
      <c r="G173" s="2">
        <v>1.5859517529973999E-2</v>
      </c>
      <c r="H173" s="2">
        <v>0.98414051828190696</v>
      </c>
      <c r="I173" s="2">
        <v>0.99999581454136599</v>
      </c>
      <c r="J173" s="2">
        <v>0.99999981024695295</v>
      </c>
      <c r="K173" s="2">
        <v>0.99999997550521103</v>
      </c>
    </row>
    <row r="174" spans="1:11" x14ac:dyDescent="0.25">
      <c r="A174">
        <v>17.3</v>
      </c>
      <c r="B174" s="2">
        <v>4.65661287307739E-10</v>
      </c>
      <c r="C174" s="2">
        <v>4.6566128730957301E-10</v>
      </c>
      <c r="D174" s="2">
        <v>4.6566878640217999E-10</v>
      </c>
      <c r="E174" s="2">
        <v>1.4295999729881899E-9</v>
      </c>
      <c r="F174" s="2">
        <v>3.8947514077523702E-6</v>
      </c>
      <c r="G174" s="2">
        <v>1.54892447466772E-2</v>
      </c>
      <c r="H174" s="2">
        <v>0.98451078772358902</v>
      </c>
      <c r="I174" s="2">
        <v>0.99999610526747695</v>
      </c>
      <c r="J174" s="2">
        <v>0.99999982653869401</v>
      </c>
      <c r="K174" s="2">
        <v>0.99999997783532601</v>
      </c>
    </row>
    <row r="175" spans="1:11" x14ac:dyDescent="0.25">
      <c r="A175">
        <v>17.399999999999999</v>
      </c>
      <c r="B175" s="2">
        <v>4.65661287307739E-10</v>
      </c>
      <c r="C175" s="2">
        <v>4.6566128730913099E-10</v>
      </c>
      <c r="D175" s="2">
        <v>4.6566750116919398E-10</v>
      </c>
      <c r="E175" s="2">
        <v>1.3205984391784699E-9</v>
      </c>
      <c r="F175" s="2">
        <v>3.6242201594425302E-6</v>
      </c>
      <c r="G175" s="2">
        <v>1.5127483944239E-2</v>
      </c>
      <c r="H175" s="2">
        <v>0.98487254552325199</v>
      </c>
      <c r="I175" s="2">
        <v>0.99999637579732503</v>
      </c>
      <c r="J175" s="2">
        <v>0.99999984142822296</v>
      </c>
      <c r="K175" s="2">
        <v>0.99999997993948997</v>
      </c>
    </row>
    <row r="176" spans="1:11" x14ac:dyDescent="0.25">
      <c r="A176">
        <v>17.5</v>
      </c>
      <c r="B176" s="2">
        <v>4.65661287307739E-10</v>
      </c>
      <c r="C176" s="2">
        <v>4.6566128730879505E-10</v>
      </c>
      <c r="D176" s="2">
        <v>4.6566643620604903E-10</v>
      </c>
      <c r="E176" s="2">
        <v>1.2239227374352201E-9</v>
      </c>
      <c r="F176" s="2">
        <v>3.3724823538143999E-6</v>
      </c>
      <c r="G176" s="2">
        <v>1.4774045574744901E-2</v>
      </c>
      <c r="H176" s="2">
        <v>0.98522598119443805</v>
      </c>
      <c r="I176" s="2">
        <v>0.99999662753389595</v>
      </c>
      <c r="J176" s="2">
        <v>0.99999985503622901</v>
      </c>
      <c r="K176" s="2">
        <v>0.99999998183961103</v>
      </c>
    </row>
    <row r="177" spans="1:11" x14ac:dyDescent="0.25">
      <c r="A177">
        <v>17.600000000000001</v>
      </c>
      <c r="B177" s="2">
        <v>4.65661287307739E-10</v>
      </c>
      <c r="C177" s="2">
        <v>4.6566128730853997E-10</v>
      </c>
      <c r="D177" s="2">
        <v>4.6566555376175597E-10</v>
      </c>
      <c r="E177" s="2">
        <v>1.1381790685882499E-9</v>
      </c>
      <c r="F177" s="2">
        <v>3.1382324418122598E-6</v>
      </c>
      <c r="G177" s="2">
        <v>1.44287440283337E-2</v>
      </c>
      <c r="H177" s="2">
        <v>0.98557128031609897</v>
      </c>
      <c r="I177" s="2">
        <v>0.99999686178271696</v>
      </c>
      <c r="J177" s="2">
        <v>0.99999986747300895</v>
      </c>
      <c r="K177" s="2">
        <v>0.99999998355547703</v>
      </c>
    </row>
    <row r="178" spans="1:11" x14ac:dyDescent="0.25">
      <c r="A178">
        <v>17.7</v>
      </c>
      <c r="B178" s="2">
        <v>4.65661287307739E-10</v>
      </c>
      <c r="C178" s="2">
        <v>4.6566128730834703E-10</v>
      </c>
      <c r="D178" s="2">
        <v>4.6566482255529004E-10</v>
      </c>
      <c r="E178" s="2">
        <v>1.0621312437106599E-9</v>
      </c>
      <c r="F178" s="2">
        <v>2.92025556782765E-6</v>
      </c>
      <c r="G178" s="2">
        <v>1.4091397564546099E-2</v>
      </c>
      <c r="H178" s="2">
        <v>0.985908624600909</v>
      </c>
      <c r="I178" s="2">
        <v>0.99999707975862395</v>
      </c>
      <c r="J178" s="2">
        <v>0.99999987883937103</v>
      </c>
      <c r="K178" s="2">
        <v>0.99999998510495403</v>
      </c>
    </row>
    <row r="179" spans="1:11" x14ac:dyDescent="0.25">
      <c r="A179">
        <v>17.8</v>
      </c>
      <c r="B179" s="2">
        <v>4.65661287307739E-10</v>
      </c>
      <c r="C179" s="2">
        <v>4.6566128730820103E-10</v>
      </c>
      <c r="D179" s="2">
        <v>4.65664216666729E-10</v>
      </c>
      <c r="E179" s="2">
        <v>9.9468286160328204E-10</v>
      </c>
      <c r="F179" s="2">
        <v>2.7174212695515002E-6</v>
      </c>
      <c r="G179" s="2">
        <v>1.3761828244234499E-2</v>
      </c>
      <c r="H179" s="2">
        <v>0.98623819196303897</v>
      </c>
      <c r="I179" s="2">
        <v>0.999997282592061</v>
      </c>
      <c r="J179" s="2">
        <v>0.99999988922744298</v>
      </c>
      <c r="K179" s="2">
        <v>0.99999998650417798</v>
      </c>
    </row>
    <row r="180" spans="1:11" x14ac:dyDescent="0.25">
      <c r="A180">
        <v>17.899999999999999</v>
      </c>
      <c r="B180" s="2">
        <v>4.65661287307739E-10</v>
      </c>
      <c r="C180" s="2">
        <v>4.6566128730808895E-10</v>
      </c>
      <c r="D180" s="2">
        <v>4.6566371461844405E-10</v>
      </c>
      <c r="E180" s="2">
        <v>9.3486150164565296E-10</v>
      </c>
      <c r="F180" s="2">
        <v>2.52867761545958E-6</v>
      </c>
      <c r="G180" s="2">
        <v>1.3439861862067699E-2</v>
      </c>
      <c r="H180" s="2">
        <v>0.986560156585365</v>
      </c>
      <c r="I180" s="2">
        <v>0.99999747133494599</v>
      </c>
      <c r="J180" s="2">
        <v>0.99999989872142703</v>
      </c>
      <c r="K180" s="2">
        <v>0.99999998776771903</v>
      </c>
    </row>
    <row r="181" spans="1:11" x14ac:dyDescent="0.25">
      <c r="A181">
        <v>18</v>
      </c>
      <c r="B181" s="2">
        <v>4.65661287307739E-10</v>
      </c>
      <c r="C181" s="2">
        <v>4.6566128730800499E-10</v>
      </c>
      <c r="D181" s="2">
        <v>4.6566329861375204E-10</v>
      </c>
      <c r="E181" s="2">
        <v>8.8180470411581699E-10</v>
      </c>
      <c r="F181" s="2">
        <v>2.3530457495341801E-6</v>
      </c>
      <c r="G181" s="2">
        <v>1.3125327879653099E-2</v>
      </c>
      <c r="H181" s="2">
        <v>0.98687468898609998</v>
      </c>
      <c r="I181" s="2">
        <v>0.99999764696612303</v>
      </c>
      <c r="J181" s="2">
        <v>0.99999990739827405</v>
      </c>
      <c r="K181" s="2">
        <v>0.99999998890873298</v>
      </c>
    </row>
    <row r="182" spans="1:11" x14ac:dyDescent="0.25">
      <c r="A182">
        <v>18.100000000000001</v>
      </c>
      <c r="B182" s="2">
        <v>4.65661287307739E-10</v>
      </c>
      <c r="C182" s="2">
        <v>4.6566128730794099E-10</v>
      </c>
      <c r="D182" s="2">
        <v>4.6566295390606197E-10</v>
      </c>
      <c r="E182" s="2">
        <v>8.3474753585198095E-10</v>
      </c>
      <c r="F182" s="2">
        <v>2.1896148149351099E-6</v>
      </c>
      <c r="G182" s="2">
        <v>1.28180593593081E-2</v>
      </c>
      <c r="H182" s="2">
        <v>0.98718195608478898</v>
      </c>
      <c r="I182" s="2">
        <v>0.99999781039643698</v>
      </c>
      <c r="J182" s="2">
        <v>0.999999915328316</v>
      </c>
      <c r="K182" s="2">
        <v>0.999999989939103</v>
      </c>
    </row>
    <row r="183" spans="1:11" x14ac:dyDescent="0.25">
      <c r="A183">
        <v>18.2</v>
      </c>
      <c r="B183" s="2">
        <v>4.65661287307739E-10</v>
      </c>
      <c r="C183" s="2">
        <v>4.6566128730789198E-10</v>
      </c>
      <c r="D183" s="2">
        <v>4.6566266827612399E-10</v>
      </c>
      <c r="E183" s="2">
        <v>7.9301156198582899E-10</v>
      </c>
      <c r="F183" s="2">
        <v>2.03753723029731E-6</v>
      </c>
      <c r="G183" s="2">
        <v>1.25178928984978E-2</v>
      </c>
      <c r="H183" s="2">
        <v>0.98748212126766599</v>
      </c>
      <c r="I183" s="2">
        <v>0.99999796247346096</v>
      </c>
      <c r="J183" s="2">
        <v>0.99999992257582804</v>
      </c>
      <c r="K183" s="2">
        <v>0.99999999086955704</v>
      </c>
    </row>
    <row r="184" spans="1:11" x14ac:dyDescent="0.25">
      <c r="A184">
        <v>18.3</v>
      </c>
      <c r="B184" s="2">
        <v>4.65661287307739E-10</v>
      </c>
      <c r="C184" s="2">
        <v>4.6566128730785496E-10</v>
      </c>
      <c r="D184" s="2">
        <v>4.65662431598891E-10</v>
      </c>
      <c r="E184" s="2">
        <v>7.5599506474905896E-10</v>
      </c>
      <c r="F184" s="2">
        <v>1.8960242941618099E-6</v>
      </c>
      <c r="G184" s="2">
        <v>1.22246685649668E-2</v>
      </c>
      <c r="H184" s="2">
        <v>0.98777534445233905</v>
      </c>
      <c r="I184" s="2">
        <v>0.99999810398588895</v>
      </c>
      <c r="J184" s="2">
        <v>0.99999992919955505</v>
      </c>
      <c r="K184" s="2">
        <v>0.99999999170978504</v>
      </c>
    </row>
    <row r="185" spans="1:11" x14ac:dyDescent="0.25">
      <c r="A185">
        <v>18.399999999999999</v>
      </c>
      <c r="B185" s="2">
        <v>4.65661287307739E-10</v>
      </c>
      <c r="C185" s="2">
        <v>4.6566128730782704E-10</v>
      </c>
      <c r="D185" s="2">
        <v>4.6566223548459803E-10</v>
      </c>
      <c r="E185" s="2">
        <v>7.2316436833426498E-10</v>
      </c>
      <c r="F185" s="2">
        <v>1.7643420947472E-6</v>
      </c>
      <c r="G185" s="2">
        <v>1.19382298325801E-2</v>
      </c>
      <c r="H185" s="2">
        <v>0.98806178215177998</v>
      </c>
      <c r="I185" s="2">
        <v>0.99999823566762602</v>
      </c>
      <c r="J185" s="2">
        <v>0.99999993525318598</v>
      </c>
      <c r="K185" s="2">
        <v>0.99999999246853499</v>
      </c>
    </row>
    <row r="186" spans="1:11" x14ac:dyDescent="0.25">
      <c r="A186">
        <v>18.5</v>
      </c>
      <c r="B186" s="2">
        <v>4.65661287307739E-10</v>
      </c>
      <c r="C186" s="2">
        <v>4.6566128730780595E-10</v>
      </c>
      <c r="D186" s="2">
        <v>4.6566207298136204E-10</v>
      </c>
      <c r="E186" s="2">
        <v>6.9404614473780204E-10</v>
      </c>
      <c r="F186" s="2">
        <v>1.6418077038515999E-6</v>
      </c>
      <c r="G186" s="2">
        <v>1.1658423517892799E-2</v>
      </c>
      <c r="H186" s="2">
        <v>0.98834158753760804</v>
      </c>
      <c r="I186" s="2">
        <v>0.999998358201594</v>
      </c>
      <c r="J186" s="2">
        <v>0.99999994078578902</v>
      </c>
      <c r="K186" s="2">
        <v>0.99999999315371002</v>
      </c>
    </row>
    <row r="187" spans="1:11" x14ac:dyDescent="0.25">
      <c r="A187">
        <v>18.600000000000001</v>
      </c>
      <c r="B187" s="2">
        <v>4.65661287307739E-10</v>
      </c>
      <c r="C187" s="2">
        <v>4.6566128730779003E-10</v>
      </c>
      <c r="D187" s="2">
        <v>4.6566193832874597E-10</v>
      </c>
      <c r="E187" s="2">
        <v>6.6822058965538098E-10</v>
      </c>
      <c r="F187" s="2">
        <v>1.52778563514887E-6</v>
      </c>
      <c r="G187" s="2">
        <v>1.1385099717463799E-2</v>
      </c>
      <c r="H187" s="2">
        <v>0.98861491050264105</v>
      </c>
      <c r="I187" s="2">
        <v>0.99999847222327398</v>
      </c>
      <c r="J187" s="2">
        <v>0.99999994584220697</v>
      </c>
      <c r="K187" s="2">
        <v>0.99999999377244198</v>
      </c>
    </row>
    <row r="188" spans="1:11" x14ac:dyDescent="0.25">
      <c r="A188">
        <v>18.7</v>
      </c>
      <c r="B188" s="2">
        <v>4.65661287307739E-10</v>
      </c>
      <c r="C188" s="2">
        <v>4.6566128730777803E-10</v>
      </c>
      <c r="D188" s="2">
        <v>4.6566182675357098E-10</v>
      </c>
      <c r="E188" s="2">
        <v>6.4531537004495101E-10</v>
      </c>
      <c r="F188" s="2">
        <v>1.4216845485135501E-6</v>
      </c>
      <c r="G188" s="2">
        <v>1.11181117459302E-2</v>
      </c>
      <c r="H188" s="2">
        <v>0.98888189772269397</v>
      </c>
      <c r="I188" s="2">
        <v>0.99999857832400296</v>
      </c>
      <c r="J188" s="2">
        <v>0.99999995046342505</v>
      </c>
      <c r="K188" s="2">
        <v>0.99999999433117603</v>
      </c>
    </row>
    <row r="189" spans="1:11" x14ac:dyDescent="0.25">
      <c r="A189">
        <v>18.8</v>
      </c>
      <c r="B189" s="2">
        <v>4.65661287307739E-10</v>
      </c>
      <c r="C189" s="2">
        <v>4.65661287307768E-10</v>
      </c>
      <c r="D189" s="2">
        <v>4.6566173430070802E-10</v>
      </c>
      <c r="E189" s="2">
        <v>6.2500025609707198E-10</v>
      </c>
      <c r="F189" s="2">
        <v>1.32295418328409E-6</v>
      </c>
      <c r="G189" s="2">
        <v>1.08573160748497E-2</v>
      </c>
      <c r="H189" s="2">
        <v>0.989142692717637</v>
      </c>
      <c r="I189" s="2">
        <v>0.999998677054037</v>
      </c>
      <c r="J189" s="2">
        <v>0.99999995468689995</v>
      </c>
      <c r="K189" s="2">
        <v>0.99999999483572899</v>
      </c>
    </row>
    <row r="190" spans="1:11" x14ac:dyDescent="0.25">
      <c r="A190">
        <v>18.899999999999999</v>
      </c>
      <c r="B190" s="2">
        <v>4.65661287307739E-10</v>
      </c>
      <c r="C190" s="2">
        <v>4.6566128730776097E-10</v>
      </c>
      <c r="D190" s="2">
        <v>4.6566165769287703E-10</v>
      </c>
      <c r="E190" s="2">
        <v>6.0698236022002102E-10</v>
      </c>
      <c r="F190" s="2">
        <v>1.23108250456192E-6</v>
      </c>
      <c r="G190" s="2">
        <v>1.0602572272329899E-2</v>
      </c>
      <c r="H190" s="2">
        <v>0.98939743591165896</v>
      </c>
      <c r="I190" s="2">
        <v>0.99999876892540696</v>
      </c>
      <c r="J190" s="2">
        <v>0.99999995854686496</v>
      </c>
      <c r="K190" s="2">
        <v>0.99999999529135497</v>
      </c>
    </row>
    <row r="191" spans="1:11" x14ac:dyDescent="0.25">
      <c r="A191">
        <v>19</v>
      </c>
      <c r="B191" s="2">
        <v>4.65661287307739E-10</v>
      </c>
      <c r="C191" s="2">
        <v>4.6566128730775601E-10</v>
      </c>
      <c r="D191" s="2">
        <v>4.6566159421447599E-10</v>
      </c>
      <c r="E191" s="2">
        <v>5.91001914398665E-10</v>
      </c>
      <c r="F191" s="2">
        <v>1.14559304774732E-6</v>
      </c>
      <c r="G191" s="2">
        <v>1.0353742943445699E-2</v>
      </c>
      <c r="H191" s="2">
        <v>0.98964626469276695</v>
      </c>
      <c r="I191" s="2">
        <v>0.99999885441457703</v>
      </c>
      <c r="J191" s="2">
        <v>0.99999996207460895</v>
      </c>
      <c r="K191" s="2">
        <v>0.99999999570279896</v>
      </c>
    </row>
    <row r="192" spans="1:11" x14ac:dyDescent="0.25">
      <c r="A192">
        <v>19.100000000000001</v>
      </c>
      <c r="B192" s="2">
        <v>4.65661287307739E-10</v>
      </c>
      <c r="C192" s="2">
        <v>4.6566128730775198E-10</v>
      </c>
      <c r="D192" s="2">
        <v>4.6566154161531898E-10</v>
      </c>
      <c r="E192" s="2">
        <v>5.7682852504795105E-10</v>
      </c>
      <c r="F192" s="2">
        <v>1.06604244754251E-6</v>
      </c>
      <c r="G192" s="2">
        <v>1.0110693671462299E-2</v>
      </c>
      <c r="H192" s="2">
        <v>0.98988931347148401</v>
      </c>
      <c r="I192" s="2">
        <v>0.99999893396490902</v>
      </c>
      <c r="J192" s="2">
        <v>0.99999996529872304</v>
      </c>
      <c r="K192" s="2">
        <v>0.99999999607434498</v>
      </c>
    </row>
    <row r="193" spans="1:11" x14ac:dyDescent="0.25">
      <c r="A193">
        <v>19.2</v>
      </c>
      <c r="B193" s="2">
        <v>4.65661287307739E-10</v>
      </c>
      <c r="C193" s="2">
        <v>4.6566128730774898E-10</v>
      </c>
      <c r="D193" s="2">
        <v>4.6566149803086397E-10</v>
      </c>
      <c r="E193" s="2">
        <v>5.6425785136603399E-10</v>
      </c>
      <c r="F193" s="2">
        <v>9.9201813860707691E-7</v>
      </c>
      <c r="G193" s="2">
        <v>9.8732929598620896E-3</v>
      </c>
      <c r="H193" s="2">
        <v>0.99012671373874706</v>
      </c>
      <c r="I193" s="2">
        <v>0.99999900798896602</v>
      </c>
      <c r="J193" s="2">
        <v>0.99999996824534199</v>
      </c>
      <c r="K193" s="2">
        <v>0.99999999640986204</v>
      </c>
    </row>
    <row r="194" spans="1:11" x14ac:dyDescent="0.25">
      <c r="A194">
        <v>19.3</v>
      </c>
      <c r="B194" s="2">
        <v>4.65661287307739E-10</v>
      </c>
      <c r="C194" s="2">
        <v>4.6566128730774701E-10</v>
      </c>
      <c r="D194" s="2">
        <v>4.6566146191612802E-10</v>
      </c>
      <c r="E194" s="2">
        <v>5.5310865929788599E-10</v>
      </c>
      <c r="F194" s="2">
        <v>9.2313621594267004E-7</v>
      </c>
      <c r="G194" s="2">
        <v>9.6414121751877795E-3</v>
      </c>
      <c r="H194" s="2">
        <v>0.99035859412300298</v>
      </c>
      <c r="I194" s="2">
        <v>0.99999907687065104</v>
      </c>
      <c r="J194" s="2">
        <v>0.99999997093834803</v>
      </c>
      <c r="K194" s="2">
        <v>0.99999999671284401</v>
      </c>
    </row>
    <row r="195" spans="1:11" x14ac:dyDescent="0.25">
      <c r="A195">
        <v>19.399999999999999</v>
      </c>
      <c r="B195" s="2">
        <v>4.65661287307739E-10</v>
      </c>
      <c r="C195" s="2">
        <v>4.6566128730774505E-10</v>
      </c>
      <c r="D195" s="2">
        <v>4.6566143199091298E-10</v>
      </c>
      <c r="E195" s="2">
        <v>5.4322020863546303E-10</v>
      </c>
      <c r="F195" s="2">
        <v>8.5903944391057099E-7</v>
      </c>
      <c r="G195" s="2">
        <v>9.4149254907037409E-3</v>
      </c>
      <c r="H195" s="2">
        <v>0.99058508044648796</v>
      </c>
      <c r="I195" s="2">
        <v>0.999999140967199</v>
      </c>
      <c r="J195" s="2">
        <v>0.99999997339957103</v>
      </c>
      <c r="K195" s="2">
        <v>0.99999999698644604</v>
      </c>
    </row>
    <row r="196" spans="1:11" x14ac:dyDescent="0.25">
      <c r="A196">
        <v>19.5</v>
      </c>
      <c r="B196" s="2">
        <v>4.65661287307739E-10</v>
      </c>
      <c r="C196" s="2">
        <v>4.6566128730774298E-10</v>
      </c>
      <c r="D196" s="2">
        <v>4.6566140719442701E-10</v>
      </c>
      <c r="E196" s="2">
        <v>5.3444993558346505E-10</v>
      </c>
      <c r="F196" s="2">
        <v>7.9939540355794195E-7</v>
      </c>
      <c r="G196" s="2">
        <v>9.1937098308798801E-3</v>
      </c>
      <c r="H196" s="2">
        <v>0.99080629578069301</v>
      </c>
      <c r="I196" s="2">
        <v>0.99999920061102698</v>
      </c>
      <c r="J196" s="2">
        <v>0.99999997564896004</v>
      </c>
      <c r="K196" s="2">
        <v>0.99999999723351596</v>
      </c>
    </row>
    <row r="197" spans="1:11" x14ac:dyDescent="0.25">
      <c r="A197">
        <v>19.600000000000001</v>
      </c>
      <c r="B197" s="2">
        <v>4.65661287307739E-10</v>
      </c>
      <c r="C197" s="2">
        <v>4.6566128730774298E-10</v>
      </c>
      <c r="D197" s="2">
        <v>4.6566138664768297E-10</v>
      </c>
      <c r="E197" s="2">
        <v>5.2667139737957002E-10</v>
      </c>
      <c r="F197" s="2">
        <v>7.4389476864459203E-7</v>
      </c>
      <c r="G197" s="2">
        <v>8.9776448167004398E-3</v>
      </c>
      <c r="H197" s="2">
        <v>0.99102236050100601</v>
      </c>
      <c r="I197" s="2">
        <v>0.99999925611146001</v>
      </c>
      <c r="J197" s="2">
        <v>0.99999997770474602</v>
      </c>
      <c r="K197" s="2">
        <v>0.99999999745662804</v>
      </c>
    </row>
    <row r="198" spans="1:11" x14ac:dyDescent="0.25">
      <c r="A198">
        <v>19.7</v>
      </c>
      <c r="B198" s="2">
        <v>4.65661287307739E-10</v>
      </c>
      <c r="C198" s="2">
        <v>4.6566128730774205E-10</v>
      </c>
      <c r="D198" s="2">
        <v>4.6566136962233903E-10</v>
      </c>
      <c r="E198" s="2">
        <v>5.1977244933608303E-10</v>
      </c>
      <c r="F198" s="2">
        <v>6.9224970142992798E-7</v>
      </c>
      <c r="G198" s="2">
        <v>8.7666127117996297E-3</v>
      </c>
      <c r="H198" s="2">
        <v>0.99123339234053798</v>
      </c>
      <c r="I198" s="2">
        <v>0.99999930775633505</v>
      </c>
      <c r="J198" s="2">
        <v>0.99999997958359299</v>
      </c>
      <c r="K198" s="2">
        <v>0.99999999765810399</v>
      </c>
    </row>
    <row r="199" spans="1:11" x14ac:dyDescent="0.25">
      <c r="A199">
        <v>19.8</v>
      </c>
      <c r="B199" s="2">
        <v>4.65661287307739E-10</v>
      </c>
      <c r="C199" s="2">
        <v>4.6566128730774102E-10</v>
      </c>
      <c r="D199" s="2">
        <v>4.6566135551488101E-10</v>
      </c>
      <c r="E199" s="2">
        <v>5.1365362802091498E-10</v>
      </c>
      <c r="F199" s="2">
        <v>6.4419235990111805E-7</v>
      </c>
      <c r="G199" s="2">
        <v>8.5604983694243901E-3</v>
      </c>
      <c r="H199" s="2">
        <v>0.99143950644311796</v>
      </c>
      <c r="I199" s="2">
        <v>0.99999935581349397</v>
      </c>
      <c r="J199" s="2">
        <v>0.99999998130072998</v>
      </c>
      <c r="K199" s="2">
        <v>0.99999999784004401</v>
      </c>
    </row>
    <row r="200" spans="1:11" x14ac:dyDescent="0.25">
      <c r="A200">
        <v>19.899999999999999</v>
      </c>
      <c r="B200" s="2">
        <v>4.65661287307739E-10</v>
      </c>
      <c r="C200" s="2">
        <v>4.6566128730774102E-10</v>
      </c>
      <c r="D200" s="2">
        <v>4.6566134382522705E-10</v>
      </c>
      <c r="E200" s="2">
        <v>5.0822671726772398E-10</v>
      </c>
      <c r="F200" s="2">
        <v>5.9947350870070205E-7</v>
      </c>
      <c r="G200" s="2">
        <v>8.3591891802248606E-3</v>
      </c>
      <c r="H200" s="2">
        <v>0.991640815415473</v>
      </c>
      <c r="I200" s="2">
        <v>0.99999940053216996</v>
      </c>
      <c r="J200" s="2">
        <v>0.99999998287007497</v>
      </c>
      <c r="K200" s="2">
        <v>0.99999999800434003</v>
      </c>
    </row>
    <row r="201" spans="1:11" x14ac:dyDescent="0.25">
      <c r="A201">
        <v>20</v>
      </c>
      <c r="B201" s="2">
        <v>4.65661287307739E-10</v>
      </c>
      <c r="C201" s="2">
        <v>4.6566128730773998E-10</v>
      </c>
      <c r="D201" s="2">
        <v>4.6566133413900205E-10</v>
      </c>
      <c r="E201" s="2">
        <v>5.0341347634094703E-10</v>
      </c>
      <c r="F201" s="2">
        <v>5.5786122655015705E-7</v>
      </c>
      <c r="G201" s="2">
        <v>8.1625750208723109E-3</v>
      </c>
      <c r="H201" s="2">
        <v>0.991837429378577</v>
      </c>
      <c r="I201" s="2">
        <v>0.99999944214428405</v>
      </c>
      <c r="J201" s="2">
        <v>0.999999984304348</v>
      </c>
      <c r="K201" s="2">
        <v>0.99999999815270502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019"/>
  <sheetViews>
    <sheetView workbookViewId="0">
      <selection activeCell="B16" sqref="B16:G16"/>
    </sheetView>
  </sheetViews>
  <sheetFormatPr defaultRowHeight="15" x14ac:dyDescent="0.25"/>
  <cols>
    <col min="1" max="12" width="9.140625" style="2"/>
    <col min="13" max="14" width="13" style="2" customWidth="1"/>
    <col min="15" max="17" width="9.140625" style="2" customWidth="1"/>
    <col min="18" max="18" width="10.140625" style="2" customWidth="1"/>
    <col min="19" max="26" width="9.140625" style="2"/>
    <col min="27" max="28" width="13" style="2" customWidth="1"/>
    <col min="29" max="31" width="9.140625" style="2" customWidth="1"/>
    <col min="32" max="32" width="10.140625" style="2" customWidth="1"/>
    <col min="33" max="41" width="9.140625" style="2"/>
    <col min="42" max="42" width="13.42578125" style="2" customWidth="1"/>
    <col min="43" max="16384" width="9.140625" style="2"/>
  </cols>
  <sheetData>
    <row r="3" spans="1:42" x14ac:dyDescent="0.25">
      <c r="B3" s="2" t="s">
        <v>22</v>
      </c>
    </row>
    <row r="5" spans="1:42" x14ac:dyDescent="0.25">
      <c r="B5" s="13" t="s">
        <v>6</v>
      </c>
      <c r="C5" s="13"/>
      <c r="D5" s="13"/>
      <c r="E5" s="13"/>
      <c r="F5" s="13"/>
      <c r="G5" s="13"/>
      <c r="H5" s="13"/>
      <c r="I5" s="13"/>
      <c r="J5" s="13"/>
      <c r="K5" s="13"/>
      <c r="O5" s="13" t="s">
        <v>6</v>
      </c>
      <c r="P5" s="13"/>
      <c r="Q5" s="13"/>
      <c r="R5" s="13"/>
      <c r="S5" s="13"/>
      <c r="T5" s="13"/>
      <c r="U5" s="13"/>
      <c r="V5" s="13"/>
      <c r="W5" s="13"/>
      <c r="X5" s="13"/>
      <c r="Y5" s="7"/>
      <c r="AC5" s="13" t="s">
        <v>6</v>
      </c>
      <c r="AD5" s="13"/>
      <c r="AE5" s="13"/>
      <c r="AF5" s="13"/>
      <c r="AG5" s="13"/>
      <c r="AH5" s="13"/>
      <c r="AI5" s="13"/>
      <c r="AJ5" s="13"/>
      <c r="AK5" s="13"/>
      <c r="AL5" s="13"/>
      <c r="AM5" s="7"/>
    </row>
    <row r="6" spans="1:42" x14ac:dyDescent="0.25">
      <c r="A6" s="5" t="s">
        <v>0</v>
      </c>
      <c r="B6" s="6">
        <v>0.5</v>
      </c>
      <c r="C6" s="6">
        <v>1.5</v>
      </c>
      <c r="D6" s="6">
        <v>2.5</v>
      </c>
      <c r="E6" s="6">
        <v>3.5</v>
      </c>
      <c r="F6" s="6">
        <v>4.5</v>
      </c>
      <c r="G6" s="6">
        <v>5.5</v>
      </c>
      <c r="H6" s="6">
        <v>6.5</v>
      </c>
      <c r="I6" s="6">
        <v>7.5</v>
      </c>
      <c r="J6" s="6">
        <v>8.5</v>
      </c>
      <c r="K6" s="6">
        <v>9.5</v>
      </c>
      <c r="N6" s="5" t="s">
        <v>0</v>
      </c>
      <c r="O6" s="6">
        <v>0.5</v>
      </c>
      <c r="P6" s="6">
        <v>1.5</v>
      </c>
      <c r="Q6" s="6">
        <v>2.5</v>
      </c>
      <c r="R6" s="6">
        <v>3.5</v>
      </c>
      <c r="S6" s="6">
        <v>4.5</v>
      </c>
      <c r="T6" s="6">
        <v>5.5</v>
      </c>
      <c r="U6" s="6">
        <v>6.5</v>
      </c>
      <c r="V6" s="6">
        <v>7.5</v>
      </c>
      <c r="W6" s="6">
        <v>8.5</v>
      </c>
      <c r="X6" s="6">
        <v>9.5</v>
      </c>
      <c r="Y6" s="10" t="s">
        <v>23</v>
      </c>
      <c r="AB6" s="5" t="s">
        <v>0</v>
      </c>
      <c r="AC6" s="6">
        <v>0.5</v>
      </c>
      <c r="AD6" s="6">
        <v>1.5</v>
      </c>
      <c r="AE6" s="6">
        <v>2.5</v>
      </c>
      <c r="AF6" s="6">
        <v>3.5</v>
      </c>
      <c r="AG6" s="6">
        <v>4.5</v>
      </c>
      <c r="AH6" s="6">
        <v>5.5</v>
      </c>
      <c r="AI6" s="6">
        <v>6.5</v>
      </c>
      <c r="AJ6" s="6">
        <v>7.5</v>
      </c>
      <c r="AK6" s="6">
        <v>8.5</v>
      </c>
      <c r="AL6" s="6">
        <v>9.5</v>
      </c>
      <c r="AM6" s="10" t="s">
        <v>24</v>
      </c>
      <c r="AP6" s="10" t="s">
        <v>25</v>
      </c>
    </row>
    <row r="7" spans="1:42" x14ac:dyDescent="0.25">
      <c r="A7" s="4">
        <v>0.1</v>
      </c>
      <c r="B7" s="2">
        <v>0.41828725908025099</v>
      </c>
      <c r="C7" s="2">
        <v>0.44114570232906702</v>
      </c>
      <c r="D7" s="2">
        <v>0.46425636974303203</v>
      </c>
      <c r="E7" s="2">
        <v>0.48142548657553302</v>
      </c>
      <c r="F7" s="2">
        <v>0.49253708233044602</v>
      </c>
      <c r="G7" s="2">
        <v>0.50365605604989805</v>
      </c>
      <c r="H7" s="2">
        <v>0.51477141471972199</v>
      </c>
      <c r="I7" s="2">
        <v>0.52587217961278598</v>
      </c>
      <c r="J7" s="2">
        <v>0.51860443953457203</v>
      </c>
      <c r="K7" s="2">
        <v>0.52108226328481499</v>
      </c>
      <c r="M7" s="2" t="s">
        <v>26</v>
      </c>
      <c r="N7" s="4">
        <v>0.1</v>
      </c>
      <c r="O7" s="2">
        <f>B7*($T$6+2)+(1-B7)*(2.4+0.6*$T$6)</f>
        <v>6.4529170663444511</v>
      </c>
      <c r="P7" s="2">
        <f t="shared" ref="P7:Q7" si="0">C7*($T$6+2)+(1-C7)*(2.4+0.6*$T$6)</f>
        <v>6.4940622641923209</v>
      </c>
      <c r="Q7" s="2">
        <f t="shared" si="0"/>
        <v>6.5356614655374567</v>
      </c>
      <c r="R7" s="2">
        <f t="shared" ref="R7:X22" si="1">E7*($T$6+2)+(1-E7)*($T$6+2)</f>
        <v>7.5</v>
      </c>
      <c r="S7" s="2">
        <f t="shared" si="1"/>
        <v>7.5</v>
      </c>
      <c r="T7" s="2">
        <f t="shared" si="1"/>
        <v>7.5</v>
      </c>
      <c r="U7" s="2">
        <f t="shared" si="1"/>
        <v>7.5</v>
      </c>
      <c r="V7" s="2">
        <f t="shared" si="1"/>
        <v>7.5</v>
      </c>
      <c r="W7" s="2">
        <f t="shared" si="1"/>
        <v>7.5</v>
      </c>
      <c r="X7" s="2">
        <f t="shared" si="1"/>
        <v>7.5</v>
      </c>
      <c r="Y7" s="2">
        <f>SUM(O7:X7)/10</f>
        <v>7.1982640796074238</v>
      </c>
      <c r="AA7" s="2" t="s">
        <v>27</v>
      </c>
      <c r="AB7" s="4">
        <v>0.1</v>
      </c>
      <c r="AC7" s="2">
        <f t="shared" ref="AC7:AJ22" si="2">B7*($AH$6+2)+(1-B7)*(7)</f>
        <v>7.2091436295401259</v>
      </c>
      <c r="AD7" s="2">
        <f t="shared" si="2"/>
        <v>7.2205728511645333</v>
      </c>
      <c r="AE7" s="2">
        <f t="shared" si="2"/>
        <v>7.2321281848715167</v>
      </c>
      <c r="AF7" s="2">
        <f t="shared" si="2"/>
        <v>7.2407127432877667</v>
      </c>
      <c r="AG7" s="2">
        <f t="shared" si="2"/>
        <v>7.2462685411652235</v>
      </c>
      <c r="AH7" s="2">
        <f t="shared" si="2"/>
        <v>7.2518280280249492</v>
      </c>
      <c r="AI7" s="2">
        <f t="shared" si="2"/>
        <v>7.2573857073598607</v>
      </c>
      <c r="AJ7" s="2">
        <f t="shared" si="2"/>
        <v>7.2629360898063933</v>
      </c>
      <c r="AK7" s="2">
        <f>J7*($AH$6+2)+(1-J7)*(5)</f>
        <v>6.2965110988364295</v>
      </c>
      <c r="AL7" s="2">
        <f>K7*($AH$6+2)+(1-K7)*(5)</f>
        <v>6.3027056582120373</v>
      </c>
      <c r="AM7" s="2">
        <f>SUM(AC7:AL7)/10</f>
        <v>7.0520192532268826</v>
      </c>
      <c r="AP7" s="2">
        <f t="shared" ref="AP7:AP26" si="3">(EXP(A7*Y7))/(EXP(A7*Y7)+EXP(A7*AM7))</f>
        <v>0.50365605549802339</v>
      </c>
    </row>
    <row r="8" spans="1:42" x14ac:dyDescent="0.25">
      <c r="A8" s="4">
        <v>0.2</v>
      </c>
      <c r="B8" s="2">
        <v>0.339498412773099</v>
      </c>
      <c r="C8" s="2">
        <v>0.38217114274138497</v>
      </c>
      <c r="D8" s="2">
        <v>0.4267421446088</v>
      </c>
      <c r="E8" s="2">
        <v>0.460700344767832</v>
      </c>
      <c r="F8" s="2">
        <v>0.483144744382763</v>
      </c>
      <c r="G8" s="2">
        <v>0.505657354775777</v>
      </c>
      <c r="H8" s="2">
        <v>0.52814704760777598</v>
      </c>
      <c r="I8" s="2">
        <v>0.55052306474092705</v>
      </c>
      <c r="J8" s="2">
        <v>0.53700959698073902</v>
      </c>
      <c r="K8" s="2">
        <v>0.54192241060562296</v>
      </c>
      <c r="N8" s="4">
        <v>0.2</v>
      </c>
      <c r="O8" s="2">
        <f t="shared" ref="O8:O26" si="4">B8*($T$6+2)+(1-B8)*(2.4+0.6*$T$6)</f>
        <v>6.3110971429915779</v>
      </c>
      <c r="P8" s="2">
        <f t="shared" ref="P8:P26" si="5">C8*($T$6+2)+(1-C8)*(2.4+0.6*$T$6)</f>
        <v>6.3879080569344922</v>
      </c>
      <c r="Q8" s="2">
        <f t="shared" ref="Q8:Q26" si="6">D8*($T$6+2)+(1-D8)*(2.4+0.6*$T$6)</f>
        <v>6.4681358602958392</v>
      </c>
      <c r="R8" s="2">
        <f t="shared" si="1"/>
        <v>7.5</v>
      </c>
      <c r="S8" s="2">
        <f t="shared" si="1"/>
        <v>7.5</v>
      </c>
      <c r="T8" s="2">
        <f t="shared" si="1"/>
        <v>7.5</v>
      </c>
      <c r="U8" s="2">
        <f t="shared" ref="U8:U26" si="7">H8*($T$6+2)+(1-H8)*($T$6+2)</f>
        <v>7.5</v>
      </c>
      <c r="V8" s="2">
        <f t="shared" ref="V8:V26" si="8">I8*($T$6+2)+(1-I8)*($T$6+2)</f>
        <v>7.5</v>
      </c>
      <c r="W8" s="2">
        <f t="shared" si="1"/>
        <v>7.5</v>
      </c>
      <c r="X8" s="2">
        <f t="shared" si="1"/>
        <v>7.5</v>
      </c>
      <c r="Y8" s="2">
        <f t="shared" ref="Y8:Y26" si="9">SUM(O8:X8)/10</f>
        <v>7.1667141060221908</v>
      </c>
      <c r="AB8" s="4">
        <v>0.2</v>
      </c>
      <c r="AC8" s="2">
        <f t="shared" si="2"/>
        <v>7.16974920638655</v>
      </c>
      <c r="AD8" s="2">
        <f t="shared" si="2"/>
        <v>7.1910855713706923</v>
      </c>
      <c r="AE8" s="2">
        <f t="shared" si="2"/>
        <v>7.2133710723044002</v>
      </c>
      <c r="AF8" s="2">
        <f t="shared" si="2"/>
        <v>7.2303501723839165</v>
      </c>
      <c r="AG8" s="2">
        <f t="shared" si="2"/>
        <v>7.2415723721913814</v>
      </c>
      <c r="AH8" s="2">
        <f t="shared" si="2"/>
        <v>7.2528286773878889</v>
      </c>
      <c r="AI8" s="2">
        <f t="shared" ref="AI8:AI26" si="10">H8*($AH$6+2)+(1-H8)*(7)</f>
        <v>7.264073523803888</v>
      </c>
      <c r="AJ8" s="2">
        <f t="shared" ref="AJ8:AJ26" si="11">I8*($AH$6+2)+(1-I8)*(7)</f>
        <v>7.2752615323704628</v>
      </c>
      <c r="AK8" s="2">
        <f t="shared" ref="AK8:AL26" si="12">J8*($AH$6+2)+(1-J8)*(5)</f>
        <v>6.3425239924518468</v>
      </c>
      <c r="AL8" s="2">
        <f t="shared" si="12"/>
        <v>6.3548060265140567</v>
      </c>
      <c r="AM8" s="2">
        <f t="shared" ref="AM8:AM26" si="13">SUM(AC8:AL8)/10</f>
        <v>7.0535622147165089</v>
      </c>
      <c r="AP8" s="2">
        <f t="shared" si="3"/>
        <v>0.5056573531237617</v>
      </c>
    </row>
    <row r="9" spans="1:42" x14ac:dyDescent="0.25">
      <c r="A9" s="4">
        <v>0.3</v>
      </c>
      <c r="B9" s="2">
        <v>0.2675196651201</v>
      </c>
      <c r="C9" s="2">
        <v>0.32487032099062102</v>
      </c>
      <c r="D9" s="2">
        <v>0.38800307761365399</v>
      </c>
      <c r="E9" s="2">
        <v>0.43797639478068001</v>
      </c>
      <c r="F9" s="2">
        <v>0.471911289698981</v>
      </c>
      <c r="G9" s="2">
        <v>0.50610777545818397</v>
      </c>
      <c r="H9" s="2">
        <v>0.54024720859047104</v>
      </c>
      <c r="I9" s="2">
        <v>0.57401306234208005</v>
      </c>
      <c r="J9" s="2">
        <v>0.55534157638642401</v>
      </c>
      <c r="K9" s="2">
        <v>0.56264752259602502</v>
      </c>
      <c r="N9" s="4">
        <v>0.3</v>
      </c>
      <c r="O9" s="2">
        <f t="shared" si="4"/>
        <v>6.1815353972161793</v>
      </c>
      <c r="P9" s="2">
        <f t="shared" si="5"/>
        <v>6.2847665777831176</v>
      </c>
      <c r="Q9" s="2">
        <f t="shared" si="6"/>
        <v>6.3984055397045765</v>
      </c>
      <c r="R9" s="2">
        <f t="shared" si="1"/>
        <v>7.5</v>
      </c>
      <c r="S9" s="2">
        <f t="shared" si="1"/>
        <v>7.5</v>
      </c>
      <c r="T9" s="2">
        <f t="shared" si="1"/>
        <v>7.5</v>
      </c>
      <c r="U9" s="2">
        <f t="shared" si="7"/>
        <v>7.5</v>
      </c>
      <c r="V9" s="2">
        <f t="shared" si="8"/>
        <v>7.5</v>
      </c>
      <c r="W9" s="2">
        <f t="shared" si="1"/>
        <v>7.5</v>
      </c>
      <c r="X9" s="2">
        <f t="shared" si="1"/>
        <v>7.5</v>
      </c>
      <c r="Y9" s="2">
        <f t="shared" si="9"/>
        <v>7.1364707514703865</v>
      </c>
      <c r="AB9" s="4">
        <v>0.3</v>
      </c>
      <c r="AC9" s="2">
        <f t="shared" si="2"/>
        <v>7.1337598325600498</v>
      </c>
      <c r="AD9" s="2">
        <f t="shared" si="2"/>
        <v>7.1624351604953116</v>
      </c>
      <c r="AE9" s="2">
        <f t="shared" si="2"/>
        <v>7.1940015388068268</v>
      </c>
      <c r="AF9" s="2">
        <f t="shared" si="2"/>
        <v>7.21898819739034</v>
      </c>
      <c r="AG9" s="2">
        <f t="shared" si="2"/>
        <v>7.2359556448494899</v>
      </c>
      <c r="AH9" s="2">
        <f t="shared" si="2"/>
        <v>7.2530538877290915</v>
      </c>
      <c r="AI9" s="2">
        <f t="shared" si="10"/>
        <v>7.2701236042952351</v>
      </c>
      <c r="AJ9" s="2">
        <f t="shared" si="11"/>
        <v>7.2870065311710395</v>
      </c>
      <c r="AK9" s="2">
        <f t="shared" si="12"/>
        <v>6.3883539409660601</v>
      </c>
      <c r="AL9" s="2">
        <f t="shared" si="12"/>
        <v>6.4066188064900622</v>
      </c>
      <c r="AM9" s="2">
        <f t="shared" si="13"/>
        <v>7.0550297144753502</v>
      </c>
      <c r="AP9" s="2">
        <f t="shared" si="3"/>
        <v>0.50610777394754214</v>
      </c>
    </row>
    <row r="10" spans="1:42" x14ac:dyDescent="0.25">
      <c r="A10" s="4">
        <v>0.4</v>
      </c>
      <c r="B10" s="2">
        <v>0.20512483636913101</v>
      </c>
      <c r="C10" s="2">
        <v>0.27103724791630801</v>
      </c>
      <c r="D10" s="2">
        <v>0.34883445534678797</v>
      </c>
      <c r="E10" s="2">
        <v>0.41359684492804999</v>
      </c>
      <c r="F10" s="2">
        <v>0.45903836079272597</v>
      </c>
      <c r="G10" s="2">
        <v>0.50517148068274698</v>
      </c>
      <c r="H10" s="2">
        <v>0.551216708681325</v>
      </c>
      <c r="I10" s="2">
        <v>0.59640044832584604</v>
      </c>
      <c r="J10" s="2">
        <v>0.57369653704378798</v>
      </c>
      <c r="K10" s="2">
        <v>0.58335037358697295</v>
      </c>
      <c r="N10" s="4">
        <v>0.4</v>
      </c>
      <c r="O10" s="2">
        <f t="shared" si="4"/>
        <v>6.0692247054644346</v>
      </c>
      <c r="P10" s="2">
        <f t="shared" si="5"/>
        <v>6.1878670462493544</v>
      </c>
      <c r="Q10" s="2">
        <f t="shared" si="6"/>
        <v>6.3279020196242186</v>
      </c>
      <c r="R10" s="2">
        <f t="shared" si="1"/>
        <v>7.4999999999999991</v>
      </c>
      <c r="S10" s="2">
        <f t="shared" si="1"/>
        <v>7.5</v>
      </c>
      <c r="T10" s="2">
        <f t="shared" si="1"/>
        <v>7.5</v>
      </c>
      <c r="U10" s="2">
        <f t="shared" si="7"/>
        <v>7.5</v>
      </c>
      <c r="V10" s="2">
        <f t="shared" si="8"/>
        <v>7.5</v>
      </c>
      <c r="W10" s="2">
        <f t="shared" si="1"/>
        <v>7.5</v>
      </c>
      <c r="X10" s="2">
        <f t="shared" si="1"/>
        <v>7.5</v>
      </c>
      <c r="Y10" s="2">
        <f t="shared" si="9"/>
        <v>7.1084993771338008</v>
      </c>
      <c r="AB10" s="4">
        <v>0.4</v>
      </c>
      <c r="AC10" s="2">
        <f t="shared" si="2"/>
        <v>7.102562418184565</v>
      </c>
      <c r="AD10" s="2">
        <f t="shared" si="2"/>
        <v>7.1355186239581538</v>
      </c>
      <c r="AE10" s="2">
        <f t="shared" si="2"/>
        <v>7.1744172276733948</v>
      </c>
      <c r="AF10" s="2">
        <f t="shared" si="2"/>
        <v>7.2067984224640247</v>
      </c>
      <c r="AG10" s="2">
        <f t="shared" si="2"/>
        <v>7.2295191803963625</v>
      </c>
      <c r="AH10" s="2">
        <f t="shared" si="2"/>
        <v>7.2525857403413738</v>
      </c>
      <c r="AI10" s="2">
        <f t="shared" si="10"/>
        <v>7.2756083543406618</v>
      </c>
      <c r="AJ10" s="2">
        <f t="shared" si="11"/>
        <v>7.2982002241629225</v>
      </c>
      <c r="AK10" s="2">
        <f t="shared" si="12"/>
        <v>6.4342413426094698</v>
      </c>
      <c r="AL10" s="2">
        <f t="shared" si="12"/>
        <v>6.4583759339674325</v>
      </c>
      <c r="AM10" s="2">
        <f t="shared" si="13"/>
        <v>7.0567827468098354</v>
      </c>
      <c r="AP10" s="2">
        <f t="shared" si="3"/>
        <v>0.50517147861121003</v>
      </c>
    </row>
    <row r="11" spans="1:42" x14ac:dyDescent="0.25">
      <c r="A11" s="4">
        <v>0.5</v>
      </c>
      <c r="B11" s="2">
        <v>0.15358125319795199</v>
      </c>
      <c r="C11" s="2">
        <v>0.22216982965906101</v>
      </c>
      <c r="D11" s="2">
        <v>0.31016504836247699</v>
      </c>
      <c r="E11" s="2">
        <v>0.38804123488272302</v>
      </c>
      <c r="F11" s="2">
        <v>0.444805200551114</v>
      </c>
      <c r="G11" s="2">
        <v>0.50304698196453701</v>
      </c>
      <c r="H11" s="2">
        <v>0.56120619207295697</v>
      </c>
      <c r="I11" s="2">
        <v>0.61773121551249699</v>
      </c>
      <c r="J11" s="2">
        <v>0.592129433311402</v>
      </c>
      <c r="K11" s="2">
        <v>0.60407623923556997</v>
      </c>
      <c r="N11" s="4">
        <v>0.5</v>
      </c>
      <c r="O11" s="2">
        <f t="shared" si="4"/>
        <v>5.9764462557563132</v>
      </c>
      <c r="P11" s="2">
        <f t="shared" si="5"/>
        <v>6.0999056933863089</v>
      </c>
      <c r="Q11" s="2">
        <f t="shared" si="6"/>
        <v>6.2582970870524584</v>
      </c>
      <c r="R11" s="2">
        <f t="shared" si="1"/>
        <v>7.5</v>
      </c>
      <c r="S11" s="2">
        <f t="shared" si="1"/>
        <v>7.5</v>
      </c>
      <c r="T11" s="2">
        <f t="shared" si="1"/>
        <v>7.5</v>
      </c>
      <c r="U11" s="2">
        <f t="shared" si="7"/>
        <v>7.5</v>
      </c>
      <c r="V11" s="2">
        <f t="shared" si="8"/>
        <v>7.5</v>
      </c>
      <c r="W11" s="2">
        <f t="shared" si="1"/>
        <v>7.5</v>
      </c>
      <c r="X11" s="2">
        <f t="shared" si="1"/>
        <v>7.5</v>
      </c>
      <c r="Y11" s="2">
        <f t="shared" si="9"/>
        <v>7.0834649036195092</v>
      </c>
      <c r="AB11" s="4">
        <v>0.5</v>
      </c>
      <c r="AC11" s="2">
        <f t="shared" si="2"/>
        <v>7.0767906265989762</v>
      </c>
      <c r="AD11" s="2">
        <f t="shared" si="2"/>
        <v>7.1110849148295294</v>
      </c>
      <c r="AE11" s="2">
        <f t="shared" si="2"/>
        <v>7.155082524181239</v>
      </c>
      <c r="AF11" s="2">
        <f t="shared" si="2"/>
        <v>7.1940206174413621</v>
      </c>
      <c r="AG11" s="2">
        <f t="shared" si="2"/>
        <v>7.2224026002755561</v>
      </c>
      <c r="AH11" s="2">
        <f t="shared" si="2"/>
        <v>7.2515234909822688</v>
      </c>
      <c r="AI11" s="2">
        <f t="shared" si="10"/>
        <v>7.2806030960364785</v>
      </c>
      <c r="AJ11" s="2">
        <f t="shared" si="11"/>
        <v>7.3088656077562479</v>
      </c>
      <c r="AK11" s="2">
        <f t="shared" si="12"/>
        <v>6.4803235832785049</v>
      </c>
      <c r="AL11" s="2">
        <f t="shared" si="12"/>
        <v>6.5101905980889256</v>
      </c>
      <c r="AM11" s="2">
        <f t="shared" si="13"/>
        <v>7.0590887659469086</v>
      </c>
      <c r="AP11" s="2">
        <f t="shared" si="3"/>
        <v>0.50304697949034993</v>
      </c>
    </row>
    <row r="12" spans="1:42" x14ac:dyDescent="0.25">
      <c r="A12" s="4">
        <v>0.6</v>
      </c>
      <c r="B12" s="2">
        <v>0.112742664569115</v>
      </c>
      <c r="C12" s="2">
        <v>0.179245213724952</v>
      </c>
      <c r="D12" s="2">
        <v>0.272909229531209</v>
      </c>
      <c r="E12" s="2">
        <v>0.36184699022155697</v>
      </c>
      <c r="F12" s="2">
        <v>0.42952159661574801</v>
      </c>
      <c r="G12" s="2">
        <v>0.49993751474133902</v>
      </c>
      <c r="H12" s="2">
        <v>0.57035591157044996</v>
      </c>
      <c r="I12" s="2">
        <v>0.638037572167786</v>
      </c>
      <c r="J12" s="2">
        <v>0.61065208690787298</v>
      </c>
      <c r="K12" s="2">
        <v>0.62482083676852096</v>
      </c>
      <c r="N12" s="4">
        <v>0.6</v>
      </c>
      <c r="O12" s="2">
        <f t="shared" si="4"/>
        <v>5.9029367962244059</v>
      </c>
      <c r="P12" s="2">
        <f t="shared" si="5"/>
        <v>6.0226413847049134</v>
      </c>
      <c r="Q12" s="2">
        <f t="shared" si="6"/>
        <v>6.1912366131561756</v>
      </c>
      <c r="R12" s="2">
        <f t="shared" si="1"/>
        <v>7.5</v>
      </c>
      <c r="S12" s="2">
        <f t="shared" si="1"/>
        <v>7.5</v>
      </c>
      <c r="T12" s="2">
        <f t="shared" si="1"/>
        <v>7.5</v>
      </c>
      <c r="U12" s="2">
        <f t="shared" si="7"/>
        <v>7.5</v>
      </c>
      <c r="V12" s="2">
        <f t="shared" si="8"/>
        <v>7.5</v>
      </c>
      <c r="W12" s="2">
        <f t="shared" si="1"/>
        <v>7.5</v>
      </c>
      <c r="X12" s="2">
        <f t="shared" si="1"/>
        <v>7.5</v>
      </c>
      <c r="Y12" s="2">
        <f t="shared" si="9"/>
        <v>7.0616814794085503</v>
      </c>
      <c r="AB12" s="4">
        <v>0.6</v>
      </c>
      <c r="AC12" s="2">
        <f t="shared" si="2"/>
        <v>7.0563713322845576</v>
      </c>
      <c r="AD12" s="2">
        <f t="shared" si="2"/>
        <v>7.0896226068624761</v>
      </c>
      <c r="AE12" s="2">
        <f t="shared" si="2"/>
        <v>7.1364546147656043</v>
      </c>
      <c r="AF12" s="2">
        <f t="shared" si="2"/>
        <v>7.180923495110779</v>
      </c>
      <c r="AG12" s="2">
        <f t="shared" si="2"/>
        <v>7.214760798307875</v>
      </c>
      <c r="AH12" s="2">
        <f t="shared" si="2"/>
        <v>7.2499687573706701</v>
      </c>
      <c r="AI12" s="2">
        <f t="shared" si="10"/>
        <v>7.2851779557852243</v>
      </c>
      <c r="AJ12" s="2">
        <f t="shared" si="11"/>
        <v>7.3190187860838929</v>
      </c>
      <c r="AK12" s="2">
        <f t="shared" si="12"/>
        <v>6.5266302172696822</v>
      </c>
      <c r="AL12" s="2">
        <f t="shared" si="12"/>
        <v>6.5620520919213021</v>
      </c>
      <c r="AM12" s="2">
        <f t="shared" si="13"/>
        <v>7.0620980655762065</v>
      </c>
      <c r="AP12" s="2">
        <f t="shared" si="3"/>
        <v>0.49993751207517695</v>
      </c>
    </row>
    <row r="13" spans="1:42" x14ac:dyDescent="0.25">
      <c r="A13" s="4">
        <v>0.7</v>
      </c>
      <c r="B13" s="2">
        <v>8.1478405323860595E-2</v>
      </c>
      <c r="C13" s="2">
        <v>0.142645077033351</v>
      </c>
      <c r="D13" s="2">
        <v>0.237840163060696</v>
      </c>
      <c r="E13" s="2">
        <v>0.33553640684761199</v>
      </c>
      <c r="F13" s="2">
        <v>0.413486943105146</v>
      </c>
      <c r="G13" s="2">
        <v>0.49602799280766502</v>
      </c>
      <c r="H13" s="2">
        <v>0.57878611662860402</v>
      </c>
      <c r="I13" s="2">
        <v>0.65734229975713399</v>
      </c>
      <c r="J13" s="2">
        <v>0.629238704093671</v>
      </c>
      <c r="K13" s="2">
        <v>0.64553714607317203</v>
      </c>
      <c r="N13" s="4">
        <v>0.7</v>
      </c>
      <c r="O13" s="2">
        <f t="shared" si="4"/>
        <v>5.846661129582948</v>
      </c>
      <c r="P13" s="2">
        <f t="shared" si="5"/>
        <v>5.9567611386600312</v>
      </c>
      <c r="Q13" s="2">
        <f t="shared" si="6"/>
        <v>6.1281122935092522</v>
      </c>
      <c r="R13" s="2">
        <f t="shared" si="1"/>
        <v>7.5</v>
      </c>
      <c r="S13" s="2">
        <f t="shared" si="1"/>
        <v>7.5</v>
      </c>
      <c r="T13" s="2">
        <f t="shared" si="1"/>
        <v>7.5</v>
      </c>
      <c r="U13" s="2">
        <f t="shared" si="7"/>
        <v>7.5</v>
      </c>
      <c r="V13" s="2">
        <f t="shared" si="8"/>
        <v>7.5</v>
      </c>
      <c r="W13" s="2">
        <f t="shared" si="1"/>
        <v>7.5</v>
      </c>
      <c r="X13" s="2">
        <f t="shared" si="1"/>
        <v>7.5</v>
      </c>
      <c r="Y13" s="2">
        <f t="shared" si="9"/>
        <v>7.0431534561752231</v>
      </c>
      <c r="AB13" s="4">
        <v>0.7</v>
      </c>
      <c r="AC13" s="2">
        <f t="shared" si="2"/>
        <v>7.0407392026619302</v>
      </c>
      <c r="AD13" s="2">
        <f t="shared" si="2"/>
        <v>7.071322538516676</v>
      </c>
      <c r="AE13" s="2">
        <f t="shared" si="2"/>
        <v>7.1189200815303479</v>
      </c>
      <c r="AF13" s="2">
        <f t="shared" si="2"/>
        <v>7.1677682034238064</v>
      </c>
      <c r="AG13" s="2">
        <f t="shared" si="2"/>
        <v>7.2067434715525724</v>
      </c>
      <c r="AH13" s="2">
        <f t="shared" si="2"/>
        <v>7.2480139964038326</v>
      </c>
      <c r="AI13" s="2">
        <f t="shared" si="10"/>
        <v>7.2893930583143014</v>
      </c>
      <c r="AJ13" s="2">
        <f t="shared" si="11"/>
        <v>7.3286711498785664</v>
      </c>
      <c r="AK13" s="2">
        <f t="shared" si="12"/>
        <v>6.5730967602341774</v>
      </c>
      <c r="AL13" s="2">
        <f t="shared" si="12"/>
        <v>6.6138428651829297</v>
      </c>
      <c r="AM13" s="2">
        <f t="shared" si="13"/>
        <v>7.0658511327699145</v>
      </c>
      <c r="AP13" s="2">
        <f t="shared" si="3"/>
        <v>0.4960279901535623</v>
      </c>
    </row>
    <row r="14" spans="1:42" x14ac:dyDescent="0.25">
      <c r="A14" s="4">
        <v>0.8</v>
      </c>
      <c r="B14" s="2">
        <v>5.81826510250954E-2</v>
      </c>
      <c r="C14" s="2">
        <v>0.112226797698446</v>
      </c>
      <c r="D14" s="2">
        <v>0.205516667798428</v>
      </c>
      <c r="E14" s="2">
        <v>0.30956747614497798</v>
      </c>
      <c r="F14" s="2">
        <v>0.39696517567855799</v>
      </c>
      <c r="G14" s="2">
        <v>0.49147317300847898</v>
      </c>
      <c r="H14" s="2">
        <v>0.58659457996485498</v>
      </c>
      <c r="I14" s="2">
        <v>0.67566510378302702</v>
      </c>
      <c r="J14" s="2">
        <v>0.64783500988262599</v>
      </c>
      <c r="K14" s="2">
        <v>0.66614659365153095</v>
      </c>
      <c r="N14" s="4">
        <v>0.8</v>
      </c>
      <c r="O14" s="2">
        <f t="shared" si="4"/>
        <v>5.8047287718451717</v>
      </c>
      <c r="P14" s="2">
        <f t="shared" si="5"/>
        <v>5.9020082358572026</v>
      </c>
      <c r="Q14" s="2">
        <f t="shared" si="6"/>
        <v>6.0699300020371698</v>
      </c>
      <c r="R14" s="2">
        <f t="shared" si="1"/>
        <v>7.4999999999999991</v>
      </c>
      <c r="S14" s="2">
        <f t="shared" si="1"/>
        <v>7.5</v>
      </c>
      <c r="T14" s="2">
        <f t="shared" si="1"/>
        <v>7.5</v>
      </c>
      <c r="U14" s="2">
        <f t="shared" si="7"/>
        <v>7.5</v>
      </c>
      <c r="V14" s="2">
        <f t="shared" si="8"/>
        <v>7.5</v>
      </c>
      <c r="W14" s="2">
        <f t="shared" si="1"/>
        <v>7.5</v>
      </c>
      <c r="X14" s="2">
        <f t="shared" si="1"/>
        <v>7.5</v>
      </c>
      <c r="Y14" s="2">
        <f t="shared" si="9"/>
        <v>7.0276667009739544</v>
      </c>
      <c r="AB14" s="4">
        <v>0.8</v>
      </c>
      <c r="AC14" s="2">
        <f t="shared" si="2"/>
        <v>7.0290913255125487</v>
      </c>
      <c r="AD14" s="2">
        <f t="shared" si="2"/>
        <v>7.0561133988492228</v>
      </c>
      <c r="AE14" s="2">
        <f t="shared" si="2"/>
        <v>7.1027583338992137</v>
      </c>
      <c r="AF14" s="2">
        <f t="shared" si="2"/>
        <v>7.1547837380724886</v>
      </c>
      <c r="AG14" s="2">
        <f t="shared" si="2"/>
        <v>7.1984825878392797</v>
      </c>
      <c r="AH14" s="2">
        <f t="shared" si="2"/>
        <v>7.2457365865042398</v>
      </c>
      <c r="AI14" s="2">
        <f t="shared" si="10"/>
        <v>7.2932972899824282</v>
      </c>
      <c r="AJ14" s="2">
        <f t="shared" si="11"/>
        <v>7.3378325518915135</v>
      </c>
      <c r="AK14" s="2">
        <f t="shared" si="12"/>
        <v>6.6195875247065645</v>
      </c>
      <c r="AL14" s="2">
        <f t="shared" si="12"/>
        <v>6.6653664841288274</v>
      </c>
      <c r="AM14" s="2">
        <f t="shared" si="13"/>
        <v>7.0703049821386319</v>
      </c>
      <c r="AP14" s="2">
        <f t="shared" si="3"/>
        <v>0.49147317052288703</v>
      </c>
    </row>
    <row r="15" spans="1:42" x14ac:dyDescent="0.25">
      <c r="A15" s="4">
        <v>0.9</v>
      </c>
      <c r="B15" s="2">
        <v>4.1177895296494599E-2</v>
      </c>
      <c r="C15" s="2">
        <v>8.7477848234840797E-2</v>
      </c>
      <c r="D15" s="2">
        <v>0.17626656417169301</v>
      </c>
      <c r="E15" s="2">
        <v>0.28431144093850302</v>
      </c>
      <c r="F15" s="2">
        <v>0.38017568461110501</v>
      </c>
      <c r="G15" s="2">
        <v>0.48639576732060702</v>
      </c>
      <c r="H15" s="2">
        <v>0.59385908305345303</v>
      </c>
      <c r="I15" s="2">
        <v>0.69302805200826001</v>
      </c>
      <c r="J15" s="2">
        <v>0.66636768789157896</v>
      </c>
      <c r="K15" s="2">
        <v>0.68655067926187396</v>
      </c>
      <c r="N15" s="4">
        <v>0.9</v>
      </c>
      <c r="O15" s="2">
        <f t="shared" si="4"/>
        <v>5.7741202115336892</v>
      </c>
      <c r="P15" s="2">
        <f t="shared" si="5"/>
        <v>5.857460126822712</v>
      </c>
      <c r="Q15" s="2">
        <f t="shared" si="6"/>
        <v>6.0172798155090472</v>
      </c>
      <c r="R15" s="2">
        <f t="shared" si="1"/>
        <v>7.5</v>
      </c>
      <c r="S15" s="2">
        <f t="shared" si="1"/>
        <v>7.5</v>
      </c>
      <c r="T15" s="2">
        <f t="shared" si="1"/>
        <v>7.5</v>
      </c>
      <c r="U15" s="2">
        <f t="shared" si="7"/>
        <v>7.5</v>
      </c>
      <c r="V15" s="2">
        <f t="shared" si="8"/>
        <v>7.5</v>
      </c>
      <c r="W15" s="2">
        <f t="shared" si="1"/>
        <v>7.5</v>
      </c>
      <c r="X15" s="2">
        <f t="shared" si="1"/>
        <v>7.5</v>
      </c>
      <c r="Y15" s="2">
        <f t="shared" si="9"/>
        <v>7.014886015386546</v>
      </c>
      <c r="AB15" s="4">
        <v>0.9</v>
      </c>
      <c r="AC15" s="2">
        <f t="shared" si="2"/>
        <v>7.020588947648247</v>
      </c>
      <c r="AD15" s="2">
        <f t="shared" si="2"/>
        <v>7.0437389241174193</v>
      </c>
      <c r="AE15" s="2">
        <f t="shared" si="2"/>
        <v>7.0881332820858463</v>
      </c>
      <c r="AF15" s="2">
        <f t="shared" si="2"/>
        <v>7.1421557204692512</v>
      </c>
      <c r="AG15" s="2">
        <f t="shared" si="2"/>
        <v>7.1900878423055516</v>
      </c>
      <c r="AH15" s="2">
        <f t="shared" si="2"/>
        <v>7.2431978836603044</v>
      </c>
      <c r="AI15" s="2">
        <f t="shared" si="10"/>
        <v>7.296929541526727</v>
      </c>
      <c r="AJ15" s="2">
        <f t="shared" si="11"/>
        <v>7.3465140260041295</v>
      </c>
      <c r="AK15" s="2">
        <f t="shared" si="12"/>
        <v>6.6659192197289467</v>
      </c>
      <c r="AL15" s="2">
        <f t="shared" si="12"/>
        <v>6.7163766981546846</v>
      </c>
      <c r="AM15" s="2">
        <f t="shared" si="13"/>
        <v>7.0753642085701101</v>
      </c>
      <c r="AP15" s="2">
        <f t="shared" si="3"/>
        <v>0.486395765101091</v>
      </c>
    </row>
    <row r="16" spans="1:42" x14ac:dyDescent="0.25">
      <c r="A16" s="4">
        <v>1</v>
      </c>
      <c r="B16" s="2">
        <v>2.8953024984051799E-2</v>
      </c>
      <c r="C16" s="2">
        <v>6.7683730237081394E-2</v>
      </c>
      <c r="D16" s="2">
        <v>0.15021032632730599</v>
      </c>
      <c r="E16" s="2">
        <v>0.26005025588630098</v>
      </c>
      <c r="F16" s="2">
        <v>0.363295013337536</v>
      </c>
      <c r="G16" s="2">
        <v>0.48089055107536999</v>
      </c>
      <c r="H16" s="2">
        <v>0.60064206943009701</v>
      </c>
      <c r="I16" s="2">
        <v>0.70945884949951299</v>
      </c>
      <c r="J16" s="2">
        <v>0.68475240099341605</v>
      </c>
      <c r="K16" s="2">
        <v>0.70664096697632595</v>
      </c>
      <c r="N16" s="4">
        <v>1</v>
      </c>
      <c r="O16" s="2">
        <f t="shared" si="4"/>
        <v>5.7521154449712926</v>
      </c>
      <c r="P16" s="2">
        <f t="shared" si="5"/>
        <v>5.8218307144267456</v>
      </c>
      <c r="Q16" s="2">
        <f t="shared" si="6"/>
        <v>5.9703785873891499</v>
      </c>
      <c r="R16" s="2">
        <f t="shared" si="1"/>
        <v>7.5</v>
      </c>
      <c r="S16" s="2">
        <f t="shared" si="1"/>
        <v>7.5</v>
      </c>
      <c r="T16" s="2">
        <f t="shared" si="1"/>
        <v>7.5</v>
      </c>
      <c r="U16" s="2">
        <f t="shared" si="7"/>
        <v>7.5</v>
      </c>
      <c r="V16" s="2">
        <f t="shared" si="8"/>
        <v>7.5</v>
      </c>
      <c r="W16" s="2">
        <f t="shared" si="1"/>
        <v>7.5</v>
      </c>
      <c r="X16" s="2">
        <f t="shared" si="1"/>
        <v>7.5</v>
      </c>
      <c r="Y16" s="2">
        <f t="shared" si="9"/>
        <v>7.0044324746787181</v>
      </c>
      <c r="AB16" s="4">
        <v>1</v>
      </c>
      <c r="AC16" s="2">
        <f t="shared" si="2"/>
        <v>7.0144765124920259</v>
      </c>
      <c r="AD16" s="2">
        <f t="shared" si="2"/>
        <v>7.0338418651185401</v>
      </c>
      <c r="AE16" s="2">
        <f t="shared" si="2"/>
        <v>7.075105163163653</v>
      </c>
      <c r="AF16" s="2">
        <f t="shared" si="2"/>
        <v>7.130025127943151</v>
      </c>
      <c r="AG16" s="2">
        <f t="shared" si="2"/>
        <v>7.1816475066687682</v>
      </c>
      <c r="AH16" s="2">
        <f t="shared" si="2"/>
        <v>7.2404452755376845</v>
      </c>
      <c r="AI16" s="2">
        <f t="shared" si="10"/>
        <v>7.300321034715048</v>
      </c>
      <c r="AJ16" s="2">
        <f t="shared" si="11"/>
        <v>7.354729424749757</v>
      </c>
      <c r="AK16" s="2">
        <f t="shared" si="12"/>
        <v>6.7118810024835405</v>
      </c>
      <c r="AL16" s="2">
        <f t="shared" si="12"/>
        <v>6.766602417440815</v>
      </c>
      <c r="AM16" s="2">
        <f t="shared" si="13"/>
        <v>7.0809075330312963</v>
      </c>
      <c r="AP16" s="2">
        <f t="shared" si="3"/>
        <v>0.48089054786917784</v>
      </c>
    </row>
    <row r="17" spans="1:43" x14ac:dyDescent="0.25">
      <c r="A17" s="4">
        <v>1.1000000000000001</v>
      </c>
      <c r="B17" s="2">
        <v>2.02613585455996E-2</v>
      </c>
      <c r="C17" s="2">
        <v>5.2065320186217699E-2</v>
      </c>
      <c r="D17" s="2">
        <v>0.12730473519771601</v>
      </c>
      <c r="E17" s="2">
        <v>0.23698502143325101</v>
      </c>
      <c r="F17" s="2">
        <v>0.346463592549413</v>
      </c>
      <c r="G17" s="2">
        <v>0.47503071775656402</v>
      </c>
      <c r="H17" s="2">
        <v>0.60699541093119003</v>
      </c>
      <c r="I17" s="2">
        <v>0.72499194651274002</v>
      </c>
      <c r="J17" s="2">
        <v>0.702900025437592</v>
      </c>
      <c r="K17" s="2">
        <v>0.72630693767551002</v>
      </c>
      <c r="N17" s="4">
        <v>1.1000000000000001</v>
      </c>
      <c r="O17" s="2">
        <f t="shared" si="4"/>
        <v>5.7364704453820785</v>
      </c>
      <c r="P17" s="2">
        <f t="shared" si="5"/>
        <v>5.7937175763351911</v>
      </c>
      <c r="Q17" s="2">
        <f t="shared" si="6"/>
        <v>5.929148523355888</v>
      </c>
      <c r="R17" s="2">
        <f t="shared" si="1"/>
        <v>7.5</v>
      </c>
      <c r="S17" s="2">
        <f t="shared" si="1"/>
        <v>7.4999999999999991</v>
      </c>
      <c r="T17" s="2">
        <f t="shared" si="1"/>
        <v>7.5</v>
      </c>
      <c r="U17" s="2">
        <f t="shared" si="7"/>
        <v>7.5</v>
      </c>
      <c r="V17" s="2">
        <f t="shared" si="8"/>
        <v>7.5</v>
      </c>
      <c r="W17" s="2">
        <f t="shared" si="1"/>
        <v>7.5</v>
      </c>
      <c r="X17" s="2">
        <f t="shared" si="1"/>
        <v>7.5</v>
      </c>
      <c r="Y17" s="2">
        <f t="shared" si="9"/>
        <v>6.9959336545073159</v>
      </c>
      <c r="AB17" s="4">
        <v>1.1000000000000001</v>
      </c>
      <c r="AC17" s="2">
        <f t="shared" si="2"/>
        <v>7.0101306792728</v>
      </c>
      <c r="AD17" s="2">
        <f t="shared" si="2"/>
        <v>7.0260326600931089</v>
      </c>
      <c r="AE17" s="2">
        <f t="shared" si="2"/>
        <v>7.0636523675988574</v>
      </c>
      <c r="AF17" s="2">
        <f t="shared" si="2"/>
        <v>7.1184925107166253</v>
      </c>
      <c r="AG17" s="2">
        <f t="shared" si="2"/>
        <v>7.1732317962747061</v>
      </c>
      <c r="AH17" s="2">
        <f t="shared" si="2"/>
        <v>7.2375153588782819</v>
      </c>
      <c r="AI17" s="2">
        <f t="shared" si="10"/>
        <v>7.3034977054655945</v>
      </c>
      <c r="AJ17" s="2">
        <f t="shared" si="11"/>
        <v>7.3624959732563706</v>
      </c>
      <c r="AK17" s="2">
        <f t="shared" si="12"/>
        <v>6.7572500635939807</v>
      </c>
      <c r="AL17" s="2">
        <f t="shared" si="12"/>
        <v>6.8157673441887754</v>
      </c>
      <c r="AM17" s="2">
        <f t="shared" si="13"/>
        <v>7.0868066459339101</v>
      </c>
      <c r="AP17" s="2">
        <f t="shared" si="3"/>
        <v>0.47503071511147882</v>
      </c>
    </row>
    <row r="18" spans="1:43" x14ac:dyDescent="0.25">
      <c r="A18" s="4">
        <v>1.2</v>
      </c>
      <c r="B18" s="2">
        <v>1.4130791138551599E-2</v>
      </c>
      <c r="C18" s="2">
        <v>3.9870913414048803E-2</v>
      </c>
      <c r="D18" s="2">
        <v>0.107390849399136</v>
      </c>
      <c r="E18" s="2">
        <v>0.215248615084076</v>
      </c>
      <c r="F18" s="2">
        <v>0.32979355056472298</v>
      </c>
      <c r="G18" s="2">
        <v>0.46887414161780999</v>
      </c>
      <c r="H18" s="2">
        <v>0.61296427888631</v>
      </c>
      <c r="I18" s="2">
        <v>0.73966805392100199</v>
      </c>
      <c r="J18" s="2">
        <v>0.72072133128306404</v>
      </c>
      <c r="K18" s="2">
        <v>0.74544190553437095</v>
      </c>
      <c r="N18" s="4">
        <v>1.2</v>
      </c>
      <c r="O18" s="2">
        <f t="shared" si="4"/>
        <v>5.7254354240493921</v>
      </c>
      <c r="P18" s="2">
        <f t="shared" si="5"/>
        <v>5.771767644145287</v>
      </c>
      <c r="Q18" s="2">
        <f t="shared" si="6"/>
        <v>5.8933035289184437</v>
      </c>
      <c r="R18" s="2">
        <f t="shared" si="1"/>
        <v>7.5</v>
      </c>
      <c r="S18" s="2">
        <f t="shared" si="1"/>
        <v>7.5</v>
      </c>
      <c r="T18" s="2">
        <f t="shared" si="1"/>
        <v>7.5</v>
      </c>
      <c r="U18" s="2">
        <f t="shared" si="7"/>
        <v>7.5</v>
      </c>
      <c r="V18" s="2">
        <f t="shared" si="8"/>
        <v>7.5</v>
      </c>
      <c r="W18" s="2">
        <f t="shared" si="1"/>
        <v>7.5</v>
      </c>
      <c r="X18" s="2">
        <f t="shared" si="1"/>
        <v>7.5</v>
      </c>
      <c r="Y18" s="2">
        <f t="shared" si="9"/>
        <v>6.9890506597113129</v>
      </c>
      <c r="AB18" s="4">
        <v>1.2</v>
      </c>
      <c r="AC18" s="2">
        <f t="shared" si="2"/>
        <v>7.0070653955692759</v>
      </c>
      <c r="AD18" s="2">
        <f t="shared" si="2"/>
        <v>7.0199354567070245</v>
      </c>
      <c r="AE18" s="2">
        <f t="shared" si="2"/>
        <v>7.0536954246995682</v>
      </c>
      <c r="AF18" s="2">
        <f t="shared" si="2"/>
        <v>7.1076243075420376</v>
      </c>
      <c r="AG18" s="2">
        <f t="shared" si="2"/>
        <v>7.1648967752823616</v>
      </c>
      <c r="AH18" s="2">
        <f t="shared" si="2"/>
        <v>7.2344370708089052</v>
      </c>
      <c r="AI18" s="2">
        <f t="shared" si="10"/>
        <v>7.3064821394431547</v>
      </c>
      <c r="AJ18" s="2">
        <f t="shared" si="11"/>
        <v>7.3698340269605005</v>
      </c>
      <c r="AK18" s="2">
        <f t="shared" si="12"/>
        <v>6.8018033282076598</v>
      </c>
      <c r="AL18" s="2">
        <f t="shared" si="12"/>
        <v>6.8636047638359274</v>
      </c>
      <c r="AM18" s="2">
        <f t="shared" si="13"/>
        <v>7.0929378689056408</v>
      </c>
      <c r="AP18" s="2">
        <f t="shared" si="3"/>
        <v>0.46887413810292383</v>
      </c>
    </row>
    <row r="19" spans="1:43" x14ac:dyDescent="0.25">
      <c r="A19" s="4">
        <v>1.3</v>
      </c>
      <c r="B19" s="2">
        <v>9.8312044570505307E-3</v>
      </c>
      <c r="C19" s="2">
        <v>3.0426916744419299E-2</v>
      </c>
      <c r="D19" s="2">
        <v>9.0237174113864005E-2</v>
      </c>
      <c r="E19" s="2">
        <v>0.19491857636332599</v>
      </c>
      <c r="F19" s="2">
        <v>0.31337551389048801</v>
      </c>
      <c r="G19" s="2">
        <v>0.46246843239519603</v>
      </c>
      <c r="H19" s="2">
        <v>0.61858980832633403</v>
      </c>
      <c r="I19" s="2">
        <v>0.75353270772382697</v>
      </c>
      <c r="J19" s="2">
        <v>0.73813058970414702</v>
      </c>
      <c r="K19" s="2">
        <v>0.76394749240183601</v>
      </c>
      <c r="N19" s="4">
        <v>1.3</v>
      </c>
      <c r="O19" s="2">
        <f t="shared" si="4"/>
        <v>5.7176961680226901</v>
      </c>
      <c r="P19" s="2">
        <f t="shared" si="5"/>
        <v>5.7547684501399541</v>
      </c>
      <c r="Q19" s="2">
        <f t="shared" si="6"/>
        <v>5.8624269134049545</v>
      </c>
      <c r="R19" s="2">
        <f t="shared" si="1"/>
        <v>7.5</v>
      </c>
      <c r="S19" s="2">
        <f t="shared" si="1"/>
        <v>7.5</v>
      </c>
      <c r="T19" s="2">
        <f t="shared" si="1"/>
        <v>7.5</v>
      </c>
      <c r="U19" s="2">
        <f t="shared" si="7"/>
        <v>7.5</v>
      </c>
      <c r="V19" s="2">
        <f t="shared" si="8"/>
        <v>7.5</v>
      </c>
      <c r="W19" s="2">
        <f t="shared" si="1"/>
        <v>7.5</v>
      </c>
      <c r="X19" s="2">
        <f t="shared" si="1"/>
        <v>7.5</v>
      </c>
      <c r="Y19" s="2">
        <f t="shared" si="9"/>
        <v>6.9834891531567589</v>
      </c>
      <c r="AB19" s="4">
        <v>1.3</v>
      </c>
      <c r="AC19" s="2">
        <f t="shared" si="2"/>
        <v>7.0049156022285253</v>
      </c>
      <c r="AD19" s="2">
        <f t="shared" si="2"/>
        <v>7.0152134583722097</v>
      </c>
      <c r="AE19" s="2">
        <f t="shared" si="2"/>
        <v>7.0451185870569315</v>
      </c>
      <c r="AF19" s="2">
        <f t="shared" si="2"/>
        <v>7.0974592881816632</v>
      </c>
      <c r="AG19" s="2">
        <f t="shared" si="2"/>
        <v>7.1566877569452441</v>
      </c>
      <c r="AH19" s="2">
        <f t="shared" si="2"/>
        <v>7.2312342161975982</v>
      </c>
      <c r="AI19" s="2">
        <f t="shared" si="10"/>
        <v>7.309294904163167</v>
      </c>
      <c r="AJ19" s="2">
        <f t="shared" si="11"/>
        <v>7.376766353861913</v>
      </c>
      <c r="AK19" s="2">
        <f t="shared" si="12"/>
        <v>6.8453264742603679</v>
      </c>
      <c r="AL19" s="2">
        <f t="shared" si="12"/>
        <v>6.9098687310045896</v>
      </c>
      <c r="AM19" s="2">
        <f t="shared" si="13"/>
        <v>7.0991885372272208</v>
      </c>
      <c r="AP19" s="2">
        <f t="shared" si="3"/>
        <v>0.46246842967829188</v>
      </c>
    </row>
    <row r="20" spans="1:43" x14ac:dyDescent="0.25">
      <c r="A20" s="4">
        <v>1.4</v>
      </c>
      <c r="B20" s="2">
        <v>6.8279508661585504E-3</v>
      </c>
      <c r="C20" s="2">
        <v>2.31583782116031E-2</v>
      </c>
      <c r="D20" s="2">
        <v>7.5574292267316601E-2</v>
      </c>
      <c r="E20" s="2">
        <v>0.176028623233461</v>
      </c>
      <c r="F20" s="2">
        <v>0.29728379315744102</v>
      </c>
      <c r="G20" s="2">
        <v>0.45585458934914402</v>
      </c>
      <c r="H20" s="2">
        <v>0.62391070084631595</v>
      </c>
      <c r="I20" s="2">
        <v>0.76663443698568501</v>
      </c>
      <c r="J20" s="2">
        <v>0.75504833718741704</v>
      </c>
      <c r="K20" s="2">
        <v>0.78173689435263904</v>
      </c>
      <c r="N20" s="4">
        <v>1.4</v>
      </c>
      <c r="O20" s="2">
        <f t="shared" si="4"/>
        <v>5.7122903115590846</v>
      </c>
      <c r="P20" s="2">
        <f t="shared" si="5"/>
        <v>5.7416850807808846</v>
      </c>
      <c r="Q20" s="2">
        <f t="shared" si="6"/>
        <v>5.836033726081169</v>
      </c>
      <c r="R20" s="2">
        <f t="shared" si="1"/>
        <v>7.5</v>
      </c>
      <c r="S20" s="2">
        <f t="shared" si="1"/>
        <v>7.5</v>
      </c>
      <c r="T20" s="2">
        <f t="shared" si="1"/>
        <v>7.5</v>
      </c>
      <c r="U20" s="2">
        <f t="shared" si="7"/>
        <v>7.5</v>
      </c>
      <c r="V20" s="2">
        <f t="shared" si="8"/>
        <v>7.5</v>
      </c>
      <c r="W20" s="2">
        <f t="shared" si="1"/>
        <v>7.5</v>
      </c>
      <c r="X20" s="2">
        <f t="shared" si="1"/>
        <v>7.5</v>
      </c>
      <c r="Y20" s="2">
        <f t="shared" si="9"/>
        <v>6.9790009118421139</v>
      </c>
      <c r="AB20" s="4">
        <v>1.4</v>
      </c>
      <c r="AC20" s="2">
        <f t="shared" si="2"/>
        <v>7.0034139754330793</v>
      </c>
      <c r="AD20" s="2">
        <f t="shared" si="2"/>
        <v>7.0115791891058015</v>
      </c>
      <c r="AE20" s="2">
        <f t="shared" si="2"/>
        <v>7.0377871461336579</v>
      </c>
      <c r="AF20" s="2">
        <f t="shared" si="2"/>
        <v>7.08801431161673</v>
      </c>
      <c r="AG20" s="2">
        <f t="shared" si="2"/>
        <v>7.1486418965787202</v>
      </c>
      <c r="AH20" s="2">
        <f t="shared" si="2"/>
        <v>7.2279272946745721</v>
      </c>
      <c r="AI20" s="2">
        <f t="shared" si="10"/>
        <v>7.3119553504231583</v>
      </c>
      <c r="AJ20" s="2">
        <f t="shared" si="11"/>
        <v>7.3833172184928424</v>
      </c>
      <c r="AK20" s="2">
        <f t="shared" si="12"/>
        <v>6.8876208429685422</v>
      </c>
      <c r="AL20" s="2">
        <f t="shared" si="12"/>
        <v>6.9543422358815974</v>
      </c>
      <c r="AM20" s="2">
        <f t="shared" si="13"/>
        <v>7.1054599461308694</v>
      </c>
      <c r="AP20" s="2">
        <f t="shared" si="3"/>
        <v>0.45585458599303436</v>
      </c>
    </row>
    <row r="21" spans="1:43" x14ac:dyDescent="0.25">
      <c r="A21" s="4">
        <v>1.5</v>
      </c>
      <c r="B21" s="2">
        <v>4.7362368973135902E-3</v>
      </c>
      <c r="C21" s="2">
        <v>1.7590693688258299E-2</v>
      </c>
      <c r="D21" s="2">
        <v>6.3120374444257402E-2</v>
      </c>
      <c r="E21" s="2">
        <v>0.15857829123518</v>
      </c>
      <c r="F21" s="2">
        <v>0.28157993229910799</v>
      </c>
      <c r="G21" s="2">
        <v>0.449069343684939</v>
      </c>
      <c r="H21" s="2">
        <v>0.62896397535731896</v>
      </c>
      <c r="I21" s="2">
        <v>0.77902288524853902</v>
      </c>
      <c r="J21" s="2">
        <v>0.77140355875585698</v>
      </c>
      <c r="K21" s="2">
        <v>0.79873722279677095</v>
      </c>
      <c r="N21" s="4">
        <v>1.5</v>
      </c>
      <c r="O21" s="2">
        <f t="shared" si="4"/>
        <v>5.7085252264151638</v>
      </c>
      <c r="P21" s="2">
        <f t="shared" si="5"/>
        <v>5.7316632486388643</v>
      </c>
      <c r="Q21" s="2">
        <f t="shared" si="6"/>
        <v>5.813616673999662</v>
      </c>
      <c r="R21" s="2">
        <f t="shared" si="1"/>
        <v>7.5</v>
      </c>
      <c r="S21" s="2">
        <f t="shared" si="1"/>
        <v>7.5</v>
      </c>
      <c r="T21" s="2">
        <f t="shared" si="1"/>
        <v>7.5</v>
      </c>
      <c r="U21" s="2">
        <f t="shared" si="7"/>
        <v>7.5</v>
      </c>
      <c r="V21" s="2">
        <f t="shared" si="8"/>
        <v>7.5</v>
      </c>
      <c r="W21" s="2">
        <f t="shared" si="1"/>
        <v>7.5</v>
      </c>
      <c r="X21" s="2">
        <f t="shared" si="1"/>
        <v>7.5</v>
      </c>
      <c r="Y21" s="2">
        <f t="shared" si="9"/>
        <v>6.9753805149053694</v>
      </c>
      <c r="AB21" s="4">
        <v>1.5</v>
      </c>
      <c r="AC21" s="2">
        <f t="shared" si="2"/>
        <v>7.0023681184486568</v>
      </c>
      <c r="AD21" s="2">
        <f t="shared" si="2"/>
        <v>7.0087953468441295</v>
      </c>
      <c r="AE21" s="2">
        <f t="shared" si="2"/>
        <v>7.0315601872221283</v>
      </c>
      <c r="AF21" s="2">
        <f t="shared" si="2"/>
        <v>7.0792891456175902</v>
      </c>
      <c r="AG21" s="2">
        <f t="shared" si="2"/>
        <v>7.1407899661495549</v>
      </c>
      <c r="AH21" s="2">
        <f t="shared" si="2"/>
        <v>7.2245346718424699</v>
      </c>
      <c r="AI21" s="2">
        <f t="shared" si="10"/>
        <v>7.3144819876786595</v>
      </c>
      <c r="AJ21" s="2">
        <f t="shared" si="11"/>
        <v>7.3895114426242694</v>
      </c>
      <c r="AK21" s="2">
        <f t="shared" si="12"/>
        <v>6.9285088968896424</v>
      </c>
      <c r="AL21" s="2">
        <f t="shared" si="12"/>
        <v>6.9968430569919278</v>
      </c>
      <c r="AM21" s="2">
        <f t="shared" si="13"/>
        <v>7.1116682820309025</v>
      </c>
      <c r="AP21" s="2">
        <f t="shared" si="3"/>
        <v>0.44906933968711554</v>
      </c>
    </row>
    <row r="22" spans="1:43" x14ac:dyDescent="0.25">
      <c r="A22" s="4">
        <v>1.6</v>
      </c>
      <c r="B22" s="2">
        <v>3.28239921553487E-3</v>
      </c>
      <c r="C22" s="2">
        <v>1.3341261389951901E-2</v>
      </c>
      <c r="D22" s="2">
        <v>5.2598647951902597E-2</v>
      </c>
      <c r="E22" s="2">
        <v>0.14254085985756099</v>
      </c>
      <c r="F22" s="2">
        <v>0.26631500763813698</v>
      </c>
      <c r="G22" s="2">
        <v>0.44214652334308302</v>
      </c>
      <c r="H22" s="2">
        <v>0.63378516459427603</v>
      </c>
      <c r="I22" s="2">
        <v>0.79074712983615503</v>
      </c>
      <c r="J22" s="2">
        <v>0.78713528798853305</v>
      </c>
      <c r="K22" s="2">
        <v>0.81489093723231998</v>
      </c>
      <c r="N22" s="4">
        <v>1.6</v>
      </c>
      <c r="O22" s="2">
        <f t="shared" si="4"/>
        <v>5.7059083185879622</v>
      </c>
      <c r="P22" s="2">
        <f t="shared" si="5"/>
        <v>5.7240142705019128</v>
      </c>
      <c r="Q22" s="2">
        <f t="shared" si="6"/>
        <v>5.7946775663134238</v>
      </c>
      <c r="R22" s="2">
        <f t="shared" si="1"/>
        <v>7.5</v>
      </c>
      <c r="S22" s="2">
        <f t="shared" si="1"/>
        <v>7.5</v>
      </c>
      <c r="T22" s="2">
        <f t="shared" si="1"/>
        <v>7.5</v>
      </c>
      <c r="U22" s="2">
        <f t="shared" si="7"/>
        <v>7.5</v>
      </c>
      <c r="V22" s="2">
        <f t="shared" si="8"/>
        <v>7.5</v>
      </c>
      <c r="W22" s="2">
        <f t="shared" si="1"/>
        <v>7.5</v>
      </c>
      <c r="X22" s="2">
        <f t="shared" si="1"/>
        <v>7.5</v>
      </c>
      <c r="Y22" s="2">
        <f t="shared" si="9"/>
        <v>6.9724600155403298</v>
      </c>
      <c r="AB22" s="4">
        <v>1.6</v>
      </c>
      <c r="AC22" s="2">
        <f t="shared" si="2"/>
        <v>7.0016411996077679</v>
      </c>
      <c r="AD22" s="2">
        <f t="shared" si="2"/>
        <v>7.006670630694976</v>
      </c>
      <c r="AE22" s="2">
        <f t="shared" si="2"/>
        <v>7.0262993239759508</v>
      </c>
      <c r="AF22" s="2">
        <f t="shared" si="2"/>
        <v>7.0712704299287807</v>
      </c>
      <c r="AG22" s="2">
        <f t="shared" si="2"/>
        <v>7.1331575038190689</v>
      </c>
      <c r="AH22" s="2">
        <f t="shared" si="2"/>
        <v>7.2210732616715418</v>
      </c>
      <c r="AI22" s="2">
        <f t="shared" si="10"/>
        <v>7.3168925822971378</v>
      </c>
      <c r="AJ22" s="2">
        <f t="shared" si="11"/>
        <v>7.395373564918077</v>
      </c>
      <c r="AK22" s="2">
        <f t="shared" si="12"/>
        <v>6.9678382199713322</v>
      </c>
      <c r="AL22" s="2">
        <f t="shared" si="12"/>
        <v>7.0372273430807999</v>
      </c>
      <c r="AM22" s="2">
        <f t="shared" si="13"/>
        <v>7.1177444059965422</v>
      </c>
      <c r="AP22" s="2">
        <f t="shared" si="3"/>
        <v>0.44214652053455744</v>
      </c>
    </row>
    <row r="23" spans="1:43" x14ac:dyDescent="0.25">
      <c r="A23" s="4">
        <v>1.7</v>
      </c>
      <c r="B23" s="2">
        <v>2.27340851066092E-3</v>
      </c>
      <c r="C23" s="2">
        <v>1.0106863165228399E-2</v>
      </c>
      <c r="D23" s="2">
        <v>4.3748420434420801E-2</v>
      </c>
      <c r="E23" s="2">
        <v>0.127869832896681</v>
      </c>
      <c r="F23" s="2">
        <v>0.251531044914652</v>
      </c>
      <c r="G23" s="2">
        <v>0.43511771987789799</v>
      </c>
      <c r="H23" s="2">
        <v>0.63840817343434098</v>
      </c>
      <c r="I23" s="2">
        <v>0.80185431390872697</v>
      </c>
      <c r="J23" s="2">
        <v>0.80219366658096702</v>
      </c>
      <c r="K23" s="2">
        <v>0.83015645636691304</v>
      </c>
      <c r="N23" s="4">
        <v>1.7</v>
      </c>
      <c r="O23" s="2">
        <f t="shared" si="4"/>
        <v>5.7040921353191889</v>
      </c>
      <c r="P23" s="2">
        <f t="shared" si="5"/>
        <v>5.7181923536974111</v>
      </c>
      <c r="Q23" s="2">
        <f t="shared" si="6"/>
        <v>5.7787471567819564</v>
      </c>
      <c r="R23" s="2">
        <f t="shared" ref="R23:X26" si="14">E23*($T$6+2)+(1-E23)*($T$6+2)</f>
        <v>7.5000000000000009</v>
      </c>
      <c r="S23" s="2">
        <f t="shared" si="14"/>
        <v>7.5</v>
      </c>
      <c r="T23" s="2">
        <f t="shared" si="14"/>
        <v>7.5</v>
      </c>
      <c r="U23" s="2">
        <f t="shared" si="7"/>
        <v>7.5</v>
      </c>
      <c r="V23" s="2">
        <f t="shared" si="8"/>
        <v>7.5</v>
      </c>
      <c r="W23" s="2">
        <f t="shared" si="14"/>
        <v>7.5</v>
      </c>
      <c r="X23" s="2">
        <f t="shared" si="14"/>
        <v>7.5</v>
      </c>
      <c r="Y23" s="2">
        <f t="shared" si="9"/>
        <v>6.9701031645798563</v>
      </c>
      <c r="AB23" s="4">
        <v>1.7</v>
      </c>
      <c r="AC23" s="2">
        <f t="shared" ref="AC23:AH26" si="15">B23*($AH$6+2)+(1-B23)*(7)</f>
        <v>7.0011367042553303</v>
      </c>
      <c r="AD23" s="2">
        <f t="shared" si="15"/>
        <v>7.0050534315826152</v>
      </c>
      <c r="AE23" s="2">
        <f t="shared" si="15"/>
        <v>7.0218742102172094</v>
      </c>
      <c r="AF23" s="2">
        <f t="shared" si="15"/>
        <v>7.0639349164483409</v>
      </c>
      <c r="AG23" s="2">
        <f t="shared" si="15"/>
        <v>7.1257655224573258</v>
      </c>
      <c r="AH23" s="2">
        <f t="shared" si="15"/>
        <v>7.2175588599389489</v>
      </c>
      <c r="AI23" s="2">
        <f t="shared" si="10"/>
        <v>7.3192040867171704</v>
      </c>
      <c r="AJ23" s="2">
        <f t="shared" si="11"/>
        <v>7.4009271569543635</v>
      </c>
      <c r="AK23" s="2">
        <f t="shared" si="12"/>
        <v>7.0054841664524172</v>
      </c>
      <c r="AL23" s="2">
        <f t="shared" si="12"/>
        <v>7.0753911409172829</v>
      </c>
      <c r="AM23" s="2">
        <f t="shared" si="13"/>
        <v>7.1236330195941004</v>
      </c>
      <c r="AP23" s="2">
        <f t="shared" si="3"/>
        <v>0.43511771674673289</v>
      </c>
    </row>
    <row r="24" spans="1:43" x14ac:dyDescent="0.25">
      <c r="A24" s="4">
        <v>1.8</v>
      </c>
      <c r="B24" s="2">
        <v>1.57389224999733E-3</v>
      </c>
      <c r="C24" s="2">
        <v>7.6501650956521602E-3</v>
      </c>
      <c r="D24" s="2">
        <v>3.6331280618382499E-2</v>
      </c>
      <c r="E24" s="2">
        <v>0.114504246416683</v>
      </c>
      <c r="F24" s="2">
        <v>0.237261874893227</v>
      </c>
      <c r="G24" s="2">
        <v>0.42801248949385401</v>
      </c>
      <c r="H24" s="2">
        <v>0.64286495842033897</v>
      </c>
      <c r="I24" s="2">
        <v>0.81238863013552898</v>
      </c>
      <c r="J24" s="2">
        <v>0.81654050069315698</v>
      </c>
      <c r="K24" s="2">
        <v>0.84450804397808199</v>
      </c>
      <c r="N24" s="4">
        <v>1.8</v>
      </c>
      <c r="O24" s="2">
        <f t="shared" si="4"/>
        <v>5.7028330060499934</v>
      </c>
      <c r="P24" s="2">
        <f t="shared" si="5"/>
        <v>5.7137702971721733</v>
      </c>
      <c r="Q24" s="2">
        <f t="shared" si="6"/>
        <v>5.7653963051130876</v>
      </c>
      <c r="R24" s="2">
        <f t="shared" si="14"/>
        <v>7.5</v>
      </c>
      <c r="S24" s="2">
        <f t="shared" si="14"/>
        <v>7.5</v>
      </c>
      <c r="T24" s="2">
        <f t="shared" si="14"/>
        <v>7.5</v>
      </c>
      <c r="U24" s="2">
        <f t="shared" si="7"/>
        <v>7.5</v>
      </c>
      <c r="V24" s="2">
        <f t="shared" si="8"/>
        <v>7.5</v>
      </c>
      <c r="W24" s="2">
        <f t="shared" si="14"/>
        <v>7.5</v>
      </c>
      <c r="X24" s="2">
        <f t="shared" si="14"/>
        <v>7.5</v>
      </c>
      <c r="Y24" s="2">
        <f t="shared" si="9"/>
        <v>6.968199960833525</v>
      </c>
      <c r="AB24" s="4">
        <v>1.8</v>
      </c>
      <c r="AC24" s="2">
        <f t="shared" si="15"/>
        <v>7.0007869461249976</v>
      </c>
      <c r="AD24" s="2">
        <f t="shared" si="15"/>
        <v>7.0038250825478263</v>
      </c>
      <c r="AE24" s="2">
        <f t="shared" si="15"/>
        <v>7.0181656403091912</v>
      </c>
      <c r="AF24" s="2">
        <f t="shared" si="15"/>
        <v>7.0572521232083414</v>
      </c>
      <c r="AG24" s="2">
        <f t="shared" si="15"/>
        <v>7.1186309374466141</v>
      </c>
      <c r="AH24" s="2">
        <f t="shared" si="15"/>
        <v>7.214006244746928</v>
      </c>
      <c r="AI24" s="2">
        <f t="shared" si="10"/>
        <v>7.321432479210169</v>
      </c>
      <c r="AJ24" s="2">
        <f t="shared" si="11"/>
        <v>7.406194315067764</v>
      </c>
      <c r="AK24" s="2">
        <f t="shared" si="12"/>
        <v>7.041351251732892</v>
      </c>
      <c r="AL24" s="2">
        <f t="shared" si="12"/>
        <v>7.1112701099452043</v>
      </c>
      <c r="AM24" s="2">
        <f t="shared" si="13"/>
        <v>7.1292915130339933</v>
      </c>
      <c r="AP24" s="2">
        <f t="shared" si="3"/>
        <v>0.42801248611161358</v>
      </c>
    </row>
    <row r="25" spans="1:43" x14ac:dyDescent="0.25">
      <c r="A25" s="4">
        <v>1.9</v>
      </c>
      <c r="B25" s="2">
        <v>1.08929696654024E-3</v>
      </c>
      <c r="C25" s="2">
        <v>5.7870997771875604E-3</v>
      </c>
      <c r="D25" s="2">
        <v>3.01338974876737E-2</v>
      </c>
      <c r="E25" s="2">
        <v>0.102373063308092</v>
      </c>
      <c r="F25" s="2">
        <v>0.22353372782728301</v>
      </c>
      <c r="G25" s="2">
        <v>0.42085832695478598</v>
      </c>
      <c r="H25" s="2">
        <v>0.64718518347347598</v>
      </c>
      <c r="I25" s="2">
        <v>0.82239066840088804</v>
      </c>
      <c r="J25" s="2">
        <v>0.83014928128987098</v>
      </c>
      <c r="K25" s="2">
        <v>0.85793500706080705</v>
      </c>
      <c r="N25" s="4">
        <v>1.9</v>
      </c>
      <c r="O25" s="2">
        <f t="shared" si="4"/>
        <v>5.7019607345397718</v>
      </c>
      <c r="P25" s="2">
        <f t="shared" si="5"/>
        <v>5.710416779598936</v>
      </c>
      <c r="Q25" s="2">
        <f t="shared" si="6"/>
        <v>5.7542410154778114</v>
      </c>
      <c r="R25" s="2">
        <f t="shared" si="14"/>
        <v>7.4999999999999991</v>
      </c>
      <c r="S25" s="2">
        <f t="shared" si="14"/>
        <v>7.5</v>
      </c>
      <c r="T25" s="2">
        <f t="shared" si="14"/>
        <v>7.5</v>
      </c>
      <c r="U25" s="2">
        <f t="shared" si="7"/>
        <v>7.5</v>
      </c>
      <c r="V25" s="2">
        <f t="shared" si="8"/>
        <v>7.5</v>
      </c>
      <c r="W25" s="2">
        <f t="shared" si="14"/>
        <v>7.5</v>
      </c>
      <c r="X25" s="2">
        <f t="shared" si="14"/>
        <v>7.5</v>
      </c>
      <c r="Y25" s="2">
        <f t="shared" si="9"/>
        <v>6.9666618529616526</v>
      </c>
      <c r="AB25" s="4">
        <v>1.9</v>
      </c>
      <c r="AC25" s="2">
        <f t="shared" si="15"/>
        <v>7.0005446484832703</v>
      </c>
      <c r="AD25" s="2">
        <f t="shared" si="15"/>
        <v>7.0028935498885927</v>
      </c>
      <c r="AE25" s="2">
        <f t="shared" si="15"/>
        <v>7.0150669487438364</v>
      </c>
      <c r="AF25" s="2">
        <f t="shared" si="15"/>
        <v>7.0511865316540456</v>
      </c>
      <c r="AG25" s="2">
        <f t="shared" si="15"/>
        <v>7.1117668639136413</v>
      </c>
      <c r="AH25" s="2">
        <f t="shared" si="15"/>
        <v>7.2104291634773929</v>
      </c>
      <c r="AI25" s="2">
        <f t="shared" si="10"/>
        <v>7.3235925917367375</v>
      </c>
      <c r="AJ25" s="2">
        <f t="shared" si="11"/>
        <v>7.4111953342004435</v>
      </c>
      <c r="AK25" s="2">
        <f t="shared" si="12"/>
        <v>7.0753732032246779</v>
      </c>
      <c r="AL25" s="2">
        <f t="shared" si="12"/>
        <v>7.144837517652018</v>
      </c>
      <c r="AM25" s="2">
        <f t="shared" si="13"/>
        <v>7.134688635297465</v>
      </c>
      <c r="AP25" s="2">
        <f t="shared" si="3"/>
        <v>0.42085832340739848</v>
      </c>
    </row>
    <row r="26" spans="1:43" x14ac:dyDescent="0.25">
      <c r="A26" s="4">
        <v>2</v>
      </c>
      <c r="B26" s="2">
        <v>7.5376985070607899E-4</v>
      </c>
      <c r="C26" s="2">
        <v>4.3758825469201396E-3</v>
      </c>
      <c r="D26" s="2">
        <v>2.4968525119603499E-2</v>
      </c>
      <c r="E26" s="2">
        <v>9.1398793939954606E-2</v>
      </c>
      <c r="F26" s="2">
        <v>0.21036571104926599</v>
      </c>
      <c r="G26" s="2">
        <v>0.41368052246348302</v>
      </c>
      <c r="H26" s="2">
        <v>0.65139591006644804</v>
      </c>
      <c r="I26" s="2">
        <v>0.83189708145991403</v>
      </c>
      <c r="J26" s="2">
        <v>0.84300476494712495</v>
      </c>
      <c r="K26" s="2">
        <v>0.87044038037343296</v>
      </c>
      <c r="N26" s="4">
        <v>2</v>
      </c>
      <c r="O26" s="2">
        <f t="shared" si="4"/>
        <v>5.7013567857312708</v>
      </c>
      <c r="P26" s="2">
        <f t="shared" si="5"/>
        <v>5.7078765885844556</v>
      </c>
      <c r="Q26" s="2">
        <f t="shared" si="6"/>
        <v>5.7449433452152858</v>
      </c>
      <c r="R26" s="2">
        <f t="shared" si="14"/>
        <v>7.5</v>
      </c>
      <c r="S26" s="2">
        <f t="shared" si="14"/>
        <v>7.5</v>
      </c>
      <c r="T26" s="2">
        <f t="shared" si="14"/>
        <v>7.5</v>
      </c>
      <c r="U26" s="2">
        <f t="shared" si="7"/>
        <v>7.5</v>
      </c>
      <c r="V26" s="2">
        <f t="shared" si="8"/>
        <v>7.5</v>
      </c>
      <c r="W26" s="2">
        <f t="shared" si="14"/>
        <v>7.5</v>
      </c>
      <c r="X26" s="2">
        <f t="shared" si="14"/>
        <v>7.5</v>
      </c>
      <c r="Y26" s="2">
        <f t="shared" si="9"/>
        <v>6.9654176719531007</v>
      </c>
      <c r="AB26" s="4">
        <v>2</v>
      </c>
      <c r="AC26" s="2">
        <f t="shared" si="15"/>
        <v>7.0003768849253536</v>
      </c>
      <c r="AD26" s="2">
        <f t="shared" si="15"/>
        <v>7.0021879412734602</v>
      </c>
      <c r="AE26" s="2">
        <f t="shared" si="15"/>
        <v>7.0124842625598021</v>
      </c>
      <c r="AF26" s="2">
        <f t="shared" si="15"/>
        <v>7.0456993969699768</v>
      </c>
      <c r="AG26" s="2">
        <f t="shared" si="15"/>
        <v>7.1051828555246326</v>
      </c>
      <c r="AH26" s="2">
        <f t="shared" si="15"/>
        <v>7.2068402612317417</v>
      </c>
      <c r="AI26" s="2">
        <f t="shared" si="10"/>
        <v>7.325697955033224</v>
      </c>
      <c r="AJ26" s="2">
        <f t="shared" si="11"/>
        <v>7.415948540729957</v>
      </c>
      <c r="AK26" s="2">
        <f t="shared" si="12"/>
        <v>7.1075119123678121</v>
      </c>
      <c r="AL26" s="2">
        <f t="shared" si="12"/>
        <v>7.1761009509335825</v>
      </c>
      <c r="AM26" s="2">
        <f t="shared" si="13"/>
        <v>7.1398030961549548</v>
      </c>
      <c r="AP26" s="2">
        <f t="shared" si="3"/>
        <v>0.41368051884264406</v>
      </c>
    </row>
    <row r="27" spans="1:43" x14ac:dyDescent="0.25">
      <c r="A27" s="4">
        <v>2.1</v>
      </c>
      <c r="B27" s="2">
        <v>5.21541587751212E-4</v>
      </c>
      <c r="C27" s="2">
        <v>3.3078558303656601E-3</v>
      </c>
      <c r="D27" s="2">
        <v>2.0672058105714701E-2</v>
      </c>
      <c r="E27" s="2">
        <v>8.1500467182084396E-2</v>
      </c>
      <c r="F27" s="2">
        <v>0.197770286612484</v>
      </c>
      <c r="G27" s="2">
        <v>0.40650200741845999</v>
      </c>
      <c r="H27" s="2">
        <v>0.65552137631719198</v>
      </c>
      <c r="I27" s="2">
        <v>0.84094052037861799</v>
      </c>
      <c r="J27" s="2">
        <v>0.855102175697801</v>
      </c>
      <c r="K27" s="2">
        <v>0.88203922935198498</v>
      </c>
    </row>
    <row r="28" spans="1:43" x14ac:dyDescent="0.25">
      <c r="A28" s="4">
        <v>2.2000000000000002</v>
      </c>
      <c r="B28" s="2">
        <v>3.6084886130471899E-4</v>
      </c>
      <c r="C28" s="2">
        <v>2.5000695829196199E-3</v>
      </c>
      <c r="D28" s="2">
        <v>1.7104241757625201E-2</v>
      </c>
      <c r="E28" s="2">
        <v>7.2596033643613805E-2</v>
      </c>
      <c r="F28" s="2">
        <v>0.185753797026914</v>
      </c>
      <c r="G28" s="2">
        <v>0.39934324203524901</v>
      </c>
      <c r="H28" s="2">
        <v>0.65958288205807603</v>
      </c>
      <c r="I28" s="2">
        <v>0.84954977840576595</v>
      </c>
      <c r="J28" s="2">
        <v>0.86644612553390499</v>
      </c>
      <c r="K28" s="2">
        <v>0.89275672934495698</v>
      </c>
    </row>
    <row r="29" spans="1:43" x14ac:dyDescent="0.25">
      <c r="A29" s="4">
        <v>2.2999999999999998</v>
      </c>
      <c r="B29" s="2">
        <v>2.4967228458991402E-4</v>
      </c>
      <c r="C29" s="2">
        <v>1.8893835282088E-3</v>
      </c>
      <c r="D29" s="2">
        <v>1.41454566248991E-2</v>
      </c>
      <c r="E29" s="2">
        <v>6.4604269036036097E-2</v>
      </c>
      <c r="F29" s="2">
        <v>0.174317053653927</v>
      </c>
      <c r="G29" s="2">
        <v>0.392222173600484</v>
      </c>
      <c r="H29" s="2">
        <v>0.66359878113064297</v>
      </c>
      <c r="I29" s="2">
        <v>0.85775008310441303</v>
      </c>
      <c r="J29" s="2">
        <v>0.87704935094686098</v>
      </c>
      <c r="K29" s="2">
        <v>0.90262616285657504</v>
      </c>
      <c r="AQ29" s="8"/>
    </row>
    <row r="30" spans="1:43" x14ac:dyDescent="0.25">
      <c r="A30" s="4">
        <v>2.4</v>
      </c>
      <c r="B30" s="2">
        <v>1.72759324237715E-4</v>
      </c>
      <c r="C30" s="2">
        <v>1.4278421925361801E-3</v>
      </c>
      <c r="D30" s="2">
        <v>1.1694355046910699E-2</v>
      </c>
      <c r="E30" s="2">
        <v>5.7446230484595899E-2</v>
      </c>
      <c r="F30" s="2">
        <v>0.16345596416144401</v>
      </c>
      <c r="G30" s="2">
        <v>0.385154254428971</v>
      </c>
      <c r="H30" s="2">
        <v>0.66758455687052198</v>
      </c>
      <c r="I30" s="2">
        <v>0.86556347737575501</v>
      </c>
      <c r="J30" s="2">
        <v>0.88693137914825904</v>
      </c>
      <c r="K30" s="2">
        <v>0.911686973670783</v>
      </c>
      <c r="AQ30" s="8"/>
    </row>
    <row r="31" spans="1:43" x14ac:dyDescent="0.25">
      <c r="A31" s="4">
        <v>2.5</v>
      </c>
      <c r="B31" s="2">
        <v>1.1955083108028701E-4</v>
      </c>
      <c r="C31" s="2">
        <v>1.0790840945674499E-3</v>
      </c>
      <c r="D31" s="2">
        <v>9.6655319702003296E-3</v>
      </c>
      <c r="E31" s="2">
        <v>5.1046340080793902E-2</v>
      </c>
      <c r="F31" s="2">
        <v>0.153162210145219</v>
      </c>
      <c r="G31" s="2">
        <v>0.37815255503384998</v>
      </c>
      <c r="H31" s="2">
        <v>0.67155299034729099</v>
      </c>
      <c r="I31" s="2">
        <v>0.87300925208921398</v>
      </c>
      <c r="J31" s="2">
        <v>0.89611715996429098</v>
      </c>
      <c r="K31" s="2">
        <v>0.91998292757032796</v>
      </c>
      <c r="AQ31" s="8"/>
    </row>
    <row r="32" spans="1:43" x14ac:dyDescent="0.25">
      <c r="A32" s="4">
        <v>2.6</v>
      </c>
      <c r="B32" s="2">
        <v>8.2739765705787602E-5</v>
      </c>
      <c r="C32" s="2">
        <v>8.1557321282906101E-4</v>
      </c>
      <c r="D32" s="2">
        <v>7.9873298804648205E-3</v>
      </c>
      <c r="E32" s="2">
        <v>4.5333128099556003E-2</v>
      </c>
      <c r="F32" s="2">
        <v>0.14342390491049301</v>
      </c>
      <c r="G32" s="2">
        <v>0.37122790211552198</v>
      </c>
      <c r="H32" s="2">
        <v>0.67551436167446699</v>
      </c>
      <c r="I32" s="2">
        <v>0.88010437992525803</v>
      </c>
      <c r="J32" s="2">
        <v>0.90463579112798398</v>
      </c>
      <c r="K32" s="2">
        <v>0.92756050021874104</v>
      </c>
      <c r="AQ32" s="8"/>
    </row>
    <row r="33" spans="1:43" x14ac:dyDescent="0.25">
      <c r="A33" s="4">
        <v>2.7</v>
      </c>
      <c r="B33" s="2">
        <v>5.72709810198395E-5</v>
      </c>
      <c r="C33" s="2">
        <v>6.1647643278376003E-4</v>
      </c>
      <c r="D33" s="2">
        <v>6.5998393268053204E-3</v>
      </c>
      <c r="E33" s="2">
        <v>4.0239708190174001E-2</v>
      </c>
      <c r="F33" s="2">
        <v>0.134226242033571</v>
      </c>
      <c r="G33" s="2">
        <v>0.36438906839983598</v>
      </c>
      <c r="H33" s="2">
        <v>0.67947669351126505</v>
      </c>
      <c r="I33" s="2">
        <v>0.88686393365623895</v>
      </c>
      <c r="J33" s="2">
        <v>0.91251933531843998</v>
      </c>
      <c r="K33" s="2">
        <v>0.93446748158426696</v>
      </c>
      <c r="AQ33" s="8"/>
    </row>
    <row r="34" spans="1:43" x14ac:dyDescent="0.25">
      <c r="A34" s="4">
        <v>2.8</v>
      </c>
      <c r="B34" s="2">
        <v>3.9647839203507401E-5</v>
      </c>
      <c r="C34" s="2">
        <v>4.6604265576732597E-4</v>
      </c>
      <c r="D34" s="2">
        <v>5.4531169961058897E-3</v>
      </c>
      <c r="E34" s="2">
        <v>3.5704028533596999E-2</v>
      </c>
      <c r="F34" s="2">
        <v>0.12555210221457799</v>
      </c>
      <c r="G34" s="2">
        <v>0.35764298155405899</v>
      </c>
      <c r="H34" s="2">
        <v>0.68344600755415896</v>
      </c>
      <c r="I34" s="2">
        <v>0.89330146679637901</v>
      </c>
      <c r="J34" s="2">
        <v>0.91980177661122497</v>
      </c>
      <c r="K34" s="2">
        <v>0.94075182551481396</v>
      </c>
      <c r="O34" s="13" t="s">
        <v>6</v>
      </c>
      <c r="P34" s="13"/>
      <c r="Q34" s="13"/>
      <c r="R34" s="13"/>
      <c r="S34" s="13"/>
      <c r="T34" s="13"/>
      <c r="U34" s="13"/>
      <c r="V34" s="13"/>
      <c r="W34" s="13"/>
      <c r="X34" s="13"/>
      <c r="Y34" s="7"/>
      <c r="AC34" s="13" t="s">
        <v>6</v>
      </c>
      <c r="AD34" s="13"/>
      <c r="AE34" s="13"/>
      <c r="AF34" s="13"/>
      <c r="AG34" s="13"/>
      <c r="AH34" s="13"/>
      <c r="AI34" s="13"/>
      <c r="AJ34" s="13"/>
      <c r="AK34" s="13"/>
      <c r="AL34" s="13"/>
      <c r="AM34" s="7"/>
      <c r="AQ34" s="8"/>
    </row>
    <row r="35" spans="1:43" x14ac:dyDescent="0.25">
      <c r="A35" s="4">
        <v>2.9</v>
      </c>
      <c r="B35" s="2">
        <v>2.7451952521411201E-5</v>
      </c>
      <c r="C35" s="2">
        <v>3.52368865454775E-4</v>
      </c>
      <c r="D35" s="2">
        <v>4.5056247488011302E-3</v>
      </c>
      <c r="E35" s="2">
        <v>3.1668947915550402E-2</v>
      </c>
      <c r="F35" s="2">
        <v>0.117382609319245</v>
      </c>
      <c r="G35" s="2">
        <v>0.35099494435551398</v>
      </c>
      <c r="H35" s="2">
        <v>0.68742658366058995</v>
      </c>
      <c r="I35" s="2">
        <v>0.89942934735597702</v>
      </c>
      <c r="J35" s="2">
        <v>0.92651812397877897</v>
      </c>
      <c r="K35" s="2">
        <v>0.94646073244497597</v>
      </c>
      <c r="N35" s="5" t="s">
        <v>0</v>
      </c>
      <c r="O35" s="6">
        <v>0.5</v>
      </c>
      <c r="P35" s="6">
        <v>1.5</v>
      </c>
      <c r="Q35" s="6">
        <v>2.5</v>
      </c>
      <c r="R35" s="6">
        <v>3.5</v>
      </c>
      <c r="S35" s="6">
        <v>4.5</v>
      </c>
      <c r="T35" s="6">
        <v>5.5</v>
      </c>
      <c r="U35" s="6">
        <v>6.5</v>
      </c>
      <c r="V35" s="6">
        <v>7.5</v>
      </c>
      <c r="W35" s="6">
        <v>8.5</v>
      </c>
      <c r="X35" s="6">
        <v>9.5</v>
      </c>
      <c r="Y35" s="10" t="s">
        <v>30</v>
      </c>
      <c r="AB35" s="5" t="s">
        <v>0</v>
      </c>
      <c r="AC35" s="6">
        <v>0.5</v>
      </c>
      <c r="AD35" s="6">
        <v>1.5</v>
      </c>
      <c r="AE35" s="6">
        <v>2.5</v>
      </c>
      <c r="AF35" s="6">
        <v>3.5</v>
      </c>
      <c r="AG35" s="6">
        <v>4.5</v>
      </c>
      <c r="AH35" s="6">
        <v>5.5</v>
      </c>
      <c r="AI35" s="6">
        <v>6.5</v>
      </c>
      <c r="AJ35" s="6">
        <v>7.5</v>
      </c>
      <c r="AK35" s="6">
        <v>8.5</v>
      </c>
      <c r="AL35" s="6">
        <v>9.5</v>
      </c>
      <c r="AM35" s="10" t="s">
        <v>24</v>
      </c>
      <c r="AP35" s="10" t="s">
        <v>31</v>
      </c>
      <c r="AQ35" s="8"/>
    </row>
    <row r="36" spans="1:43" x14ac:dyDescent="0.25">
      <c r="A36" s="4">
        <v>3</v>
      </c>
      <c r="B36" s="2">
        <v>1.9010703992554701E-5</v>
      </c>
      <c r="C36" s="2">
        <v>2.6646289225991599E-4</v>
      </c>
      <c r="D36" s="2">
        <v>3.72287916462499E-3</v>
      </c>
      <c r="E36" s="2">
        <v>2.80821743520458E-2</v>
      </c>
      <c r="F36" s="2">
        <v>0.10969761731291799</v>
      </c>
      <c r="G36" s="2">
        <v>0.344448838818606</v>
      </c>
      <c r="H36" s="2">
        <v>0.69142120171289101</v>
      </c>
      <c r="I36" s="2">
        <v>0.90525903900756899</v>
      </c>
      <c r="J36" s="2">
        <v>0.93270367729913695</v>
      </c>
      <c r="K36" s="2">
        <v>0.95163995832395798</v>
      </c>
      <c r="M36" s="2" t="s">
        <v>28</v>
      </c>
      <c r="N36" s="4">
        <v>0.1</v>
      </c>
      <c r="O36" s="2">
        <f>B7*($U$35+2)+(1-B7)*(2.4+0.6*$U$35)</f>
        <v>7.2202319699765525</v>
      </c>
      <c r="P36" s="2">
        <f t="shared" ref="P36:Q36" si="16">C7*($U$35+2)+(1-C7)*(2.4+0.6*$U$35)</f>
        <v>7.2705205451239472</v>
      </c>
      <c r="Q36" s="2">
        <f t="shared" si="16"/>
        <v>7.3213640134346711</v>
      </c>
      <c r="R36" s="2">
        <f t="shared" ref="R36:X51" si="17">E7*($U$35+2)+(1-E7)*($U$35+2)</f>
        <v>8.5</v>
      </c>
      <c r="S36" s="2">
        <f t="shared" si="17"/>
        <v>8.5</v>
      </c>
      <c r="T36" s="2">
        <f t="shared" si="17"/>
        <v>8.5</v>
      </c>
      <c r="U36" s="2">
        <f t="shared" si="17"/>
        <v>8.5</v>
      </c>
      <c r="V36" s="2">
        <f t="shared" si="17"/>
        <v>8.5</v>
      </c>
      <c r="W36" s="2">
        <f t="shared" si="17"/>
        <v>8.5</v>
      </c>
      <c r="X36" s="2">
        <f t="shared" si="17"/>
        <v>8.5</v>
      </c>
      <c r="Y36" s="2">
        <f>SUM(O36:X36)/10</f>
        <v>8.1312116528535174</v>
      </c>
      <c r="AA36" s="2" t="s">
        <v>29</v>
      </c>
      <c r="AB36" s="4">
        <v>0.1</v>
      </c>
      <c r="AC36" s="2">
        <f t="shared" ref="AC36:AJ51" si="18">B7*($AI$35+2)+(1-B7)*(7)</f>
        <v>7.6274308886203759</v>
      </c>
      <c r="AD36" s="2">
        <f t="shared" si="18"/>
        <v>7.6617185534935999</v>
      </c>
      <c r="AE36" s="2">
        <f t="shared" si="18"/>
        <v>7.6963845546145482</v>
      </c>
      <c r="AF36" s="2">
        <f t="shared" si="18"/>
        <v>7.7221382298632992</v>
      </c>
      <c r="AG36" s="2">
        <f t="shared" si="18"/>
        <v>7.7388056234956695</v>
      </c>
      <c r="AH36" s="2">
        <f t="shared" si="18"/>
        <v>7.7554840840748476</v>
      </c>
      <c r="AI36" s="2">
        <f t="shared" si="18"/>
        <v>7.7721571220795829</v>
      </c>
      <c r="AJ36" s="2">
        <f t="shared" si="18"/>
        <v>7.7888082694191798</v>
      </c>
      <c r="AK36" s="2">
        <f>J7*($AI$35+2)+(1-J7)*(5)</f>
        <v>6.8151155383710016</v>
      </c>
      <c r="AL36" s="2">
        <f>K7*($AI$35+2)+(1-K7)*(5)</f>
        <v>6.8237879214968515</v>
      </c>
      <c r="AM36" s="2">
        <f>SUM(AC36:AL36)/10</f>
        <v>7.5401830785528947</v>
      </c>
      <c r="AP36" s="2">
        <f t="shared" ref="AP36:AP55" si="19">(EXP(A7*Y36))/(EXP(A7*Y36)+EXP(A7*AM36))</f>
        <v>0.51477141471331711</v>
      </c>
      <c r="AQ36" s="8"/>
    </row>
    <row r="37" spans="1:43" x14ac:dyDescent="0.25">
      <c r="A37" s="4">
        <v>3.1</v>
      </c>
      <c r="B37" s="2">
        <v>1.3167274632755999E-5</v>
      </c>
      <c r="C37" s="2">
        <v>2.01533016552724E-4</v>
      </c>
      <c r="D37" s="2">
        <v>3.0762966109690402E-3</v>
      </c>
      <c r="E37" s="2">
        <v>2.4896112586993299E-2</v>
      </c>
      <c r="F37" s="2">
        <v>0.102476152132113</v>
      </c>
      <c r="G37" s="2">
        <v>0.33800734883776801</v>
      </c>
      <c r="H37" s="2">
        <v>0.69543138385760495</v>
      </c>
      <c r="I37" s="2">
        <v>0.91080133376646999</v>
      </c>
      <c r="J37" s="2">
        <v>0.93839341261441001</v>
      </c>
      <c r="K37" s="2">
        <v>0.95633329345381202</v>
      </c>
      <c r="N37" s="4">
        <v>0.2</v>
      </c>
      <c r="O37" s="2">
        <f t="shared" ref="O37:O55" si="20">B8*($U$35+2)+(1-B8)*(2.4+0.6*$U$35)</f>
        <v>7.0468965081008186</v>
      </c>
      <c r="P37" s="2">
        <f t="shared" ref="P37:P55" si="21">C8*($U$35+2)+(1-C8)*(2.4+0.6*$U$35)</f>
        <v>7.140776514031046</v>
      </c>
      <c r="Q37" s="2">
        <f t="shared" ref="Q37:Q55" si="22">D8*($U$35+2)+(1-D8)*(2.4+0.6*$U$35)</f>
        <v>7.2388327181393599</v>
      </c>
      <c r="R37" s="2">
        <f t="shared" ref="R37:R54" si="23">E8*($U$35+2)+(1-E8)*($U$35+2)</f>
        <v>8.5</v>
      </c>
      <c r="S37" s="2">
        <f t="shared" ref="S37:S54" si="24">F8*($U$35+2)+(1-F8)*($U$35+2)</f>
        <v>8.5</v>
      </c>
      <c r="T37" s="2">
        <f t="shared" ref="T37:T54" si="25">G8*($U$35+2)+(1-G8)*($U$35+2)</f>
        <v>8.5</v>
      </c>
      <c r="U37" s="2">
        <f t="shared" ref="U37:U54" si="26">H8*($U$35+2)+(1-H8)*($U$35+2)</f>
        <v>8.5</v>
      </c>
      <c r="V37" s="2">
        <f t="shared" ref="V37:V54" si="27">I8*($U$35+2)+(1-I8)*($U$35+2)</f>
        <v>8.5</v>
      </c>
      <c r="W37" s="2">
        <f t="shared" si="17"/>
        <v>8.5</v>
      </c>
      <c r="X37" s="2">
        <f t="shared" si="17"/>
        <v>8.5</v>
      </c>
      <c r="Y37" s="2">
        <f t="shared" ref="Y37:Y55" si="28">SUM(O37:X37)/10</f>
        <v>8.0926505740271217</v>
      </c>
      <c r="AB37" s="4">
        <v>0.2</v>
      </c>
      <c r="AC37" s="2">
        <f t="shared" si="18"/>
        <v>7.5092476191596482</v>
      </c>
      <c r="AD37" s="2">
        <f t="shared" si="18"/>
        <v>7.5732567141120768</v>
      </c>
      <c r="AE37" s="2">
        <f t="shared" si="18"/>
        <v>7.6401132169132007</v>
      </c>
      <c r="AF37" s="2">
        <f t="shared" si="18"/>
        <v>7.6910505171517487</v>
      </c>
      <c r="AG37" s="2">
        <f t="shared" ref="AG37:AG55" si="29">F8*($AI$35+2)+(1-F8)*(7)</f>
        <v>7.7247171165741442</v>
      </c>
      <c r="AH37" s="2">
        <f t="shared" ref="AH37:AH55" si="30">G8*($AI$35+2)+(1-G8)*(7)</f>
        <v>7.7584860321636659</v>
      </c>
      <c r="AI37" s="2">
        <f t="shared" ref="AI37:AI55" si="31">H8*($AI$35+2)+(1-H8)*(7)</f>
        <v>7.7922205714116641</v>
      </c>
      <c r="AJ37" s="2">
        <f t="shared" ref="AJ37:AJ55" si="32">I8*($AI$35+2)+(1-I8)*(7)</f>
        <v>7.8257845971113902</v>
      </c>
      <c r="AK37" s="2">
        <f t="shared" ref="AK37:AL52" si="33">J8*($AI$35+2)+(1-J8)*(5)</f>
        <v>6.8795335894325866</v>
      </c>
      <c r="AL37" s="2">
        <f t="shared" si="33"/>
        <v>6.8967284371196804</v>
      </c>
      <c r="AM37" s="2">
        <f t="shared" ref="AM37:AM55" si="34">SUM(AC37:AL37)/10</f>
        <v>7.5291138411149792</v>
      </c>
      <c r="AP37" s="2">
        <f t="shared" si="19"/>
        <v>0.52814704708375293</v>
      </c>
      <c r="AQ37" s="8"/>
    </row>
    <row r="38" spans="1:43" x14ac:dyDescent="0.25">
      <c r="A38" s="4">
        <v>3.2</v>
      </c>
      <c r="B38" s="2">
        <v>9.1215092826843393E-6</v>
      </c>
      <c r="C38" s="2">
        <v>1.5244997759485999E-4</v>
      </c>
      <c r="D38" s="2">
        <v>2.5422112056771901E-3</v>
      </c>
      <c r="E38" s="2">
        <v>2.20676359096834E-2</v>
      </c>
      <c r="F38" s="2">
        <v>9.5696772051773599E-2</v>
      </c>
      <c r="G38" s="2">
        <v>0.33167213868733197</v>
      </c>
      <c r="H38" s="2">
        <v>0.69945759934575202</v>
      </c>
      <c r="I38" s="2">
        <v>0.91606653378027203</v>
      </c>
      <c r="J38" s="2">
        <v>0.94362152353999096</v>
      </c>
      <c r="K38" s="2">
        <v>0.96058222470642696</v>
      </c>
      <c r="N38" s="4">
        <v>0.3</v>
      </c>
      <c r="O38" s="2">
        <f t="shared" si="20"/>
        <v>6.8885432632642205</v>
      </c>
      <c r="P38" s="2">
        <f t="shared" si="21"/>
        <v>7.0147147061793671</v>
      </c>
      <c r="Q38" s="2">
        <f t="shared" si="22"/>
        <v>7.1536067707500379</v>
      </c>
      <c r="R38" s="2">
        <f t="shared" si="23"/>
        <v>8.5</v>
      </c>
      <c r="S38" s="2">
        <f t="shared" si="24"/>
        <v>8.5</v>
      </c>
      <c r="T38" s="2">
        <f t="shared" si="25"/>
        <v>8.5</v>
      </c>
      <c r="U38" s="2">
        <f t="shared" si="26"/>
        <v>8.5</v>
      </c>
      <c r="V38" s="2">
        <f t="shared" si="27"/>
        <v>8.5</v>
      </c>
      <c r="W38" s="2">
        <f t="shared" si="17"/>
        <v>8.5</v>
      </c>
      <c r="X38" s="2">
        <f t="shared" si="17"/>
        <v>8.5</v>
      </c>
      <c r="Y38" s="2">
        <f t="shared" si="28"/>
        <v>8.0556864740193621</v>
      </c>
      <c r="AB38" s="4">
        <v>0.3</v>
      </c>
      <c r="AC38" s="2">
        <f t="shared" si="18"/>
        <v>7.4012794976801501</v>
      </c>
      <c r="AD38" s="2">
        <f t="shared" si="18"/>
        <v>7.487305481485933</v>
      </c>
      <c r="AE38" s="2">
        <f t="shared" si="18"/>
        <v>7.5820046164204804</v>
      </c>
      <c r="AF38" s="2">
        <f t="shared" si="18"/>
        <v>7.6569645921710201</v>
      </c>
      <c r="AG38" s="2">
        <f t="shared" si="29"/>
        <v>7.7078669345484716</v>
      </c>
      <c r="AH38" s="2">
        <f t="shared" si="30"/>
        <v>7.7591616631872755</v>
      </c>
      <c r="AI38" s="2">
        <f t="shared" si="31"/>
        <v>7.810370812885707</v>
      </c>
      <c r="AJ38" s="2">
        <f t="shared" si="32"/>
        <v>7.8610195935131202</v>
      </c>
      <c r="AK38" s="2">
        <f t="shared" si="33"/>
        <v>6.9436955173524835</v>
      </c>
      <c r="AL38" s="2">
        <f t="shared" si="33"/>
        <v>6.9692663290860875</v>
      </c>
      <c r="AM38" s="2">
        <f t="shared" si="34"/>
        <v>7.5178935038330721</v>
      </c>
      <c r="AP38" s="2">
        <f t="shared" si="19"/>
        <v>0.54024720799794146</v>
      </c>
      <c r="AQ38" s="8"/>
    </row>
    <row r="39" spans="1:43" x14ac:dyDescent="0.25">
      <c r="A39" s="4">
        <v>3.3</v>
      </c>
      <c r="B39" s="2">
        <v>6.3198997827577003E-6</v>
      </c>
      <c r="C39" s="2">
        <v>1.15340144982435E-4</v>
      </c>
      <c r="D39" s="2">
        <v>2.1010466690295302E-3</v>
      </c>
      <c r="E39" s="2">
        <v>1.95578176780201E-2</v>
      </c>
      <c r="F39" s="2">
        <v>8.9337878117483005E-2</v>
      </c>
      <c r="G39" s="2">
        <v>0.32544402834764802</v>
      </c>
      <c r="H39" s="2">
        <v>0.70349945579475104</v>
      </c>
      <c r="I39" s="2">
        <v>0.92106459151951403</v>
      </c>
      <c r="J39" s="2">
        <v>0.94842106527070602</v>
      </c>
      <c r="K39" s="2">
        <v>0.964425720100616</v>
      </c>
      <c r="N39" s="4">
        <v>0.4</v>
      </c>
      <c r="O39" s="2">
        <f t="shared" si="20"/>
        <v>6.7512746400120873</v>
      </c>
      <c r="P39" s="2">
        <f t="shared" si="21"/>
        <v>6.8962819454158772</v>
      </c>
      <c r="Q39" s="2">
        <f t="shared" si="22"/>
        <v>7.0674358017629331</v>
      </c>
      <c r="R39" s="2">
        <f t="shared" si="23"/>
        <v>8.5</v>
      </c>
      <c r="S39" s="2">
        <f t="shared" si="24"/>
        <v>8.5</v>
      </c>
      <c r="T39" s="2">
        <f t="shared" si="25"/>
        <v>8.5</v>
      </c>
      <c r="U39" s="2">
        <f t="shared" si="26"/>
        <v>8.5</v>
      </c>
      <c r="V39" s="2">
        <f t="shared" si="27"/>
        <v>8.5</v>
      </c>
      <c r="W39" s="2">
        <f t="shared" si="17"/>
        <v>8.5</v>
      </c>
      <c r="X39" s="2">
        <f t="shared" si="17"/>
        <v>8.5</v>
      </c>
      <c r="Y39" s="2">
        <f t="shared" si="28"/>
        <v>8.0214992387190911</v>
      </c>
      <c r="AB39" s="4">
        <v>0.4</v>
      </c>
      <c r="AC39" s="2">
        <f t="shared" si="18"/>
        <v>7.3076872545536959</v>
      </c>
      <c r="AD39" s="2">
        <f t="shared" si="18"/>
        <v>7.4065558718744615</v>
      </c>
      <c r="AE39" s="2">
        <f t="shared" si="18"/>
        <v>7.5232516830201828</v>
      </c>
      <c r="AF39" s="2">
        <f t="shared" si="18"/>
        <v>7.620395267392075</v>
      </c>
      <c r="AG39" s="2">
        <f t="shared" si="29"/>
        <v>7.6885575411890894</v>
      </c>
      <c r="AH39" s="2">
        <f t="shared" si="30"/>
        <v>7.7577572210241206</v>
      </c>
      <c r="AI39" s="2">
        <f t="shared" si="31"/>
        <v>7.8268250630219871</v>
      </c>
      <c r="AJ39" s="2">
        <f t="shared" si="32"/>
        <v>7.8946006724887692</v>
      </c>
      <c r="AK39" s="2">
        <f t="shared" si="33"/>
        <v>7.007937879653257</v>
      </c>
      <c r="AL39" s="2">
        <f t="shared" si="33"/>
        <v>7.0417263075544048</v>
      </c>
      <c r="AM39" s="2">
        <f t="shared" si="34"/>
        <v>7.5075294761772042</v>
      </c>
      <c r="AP39" s="2">
        <f t="shared" si="19"/>
        <v>0.55121670777285137</v>
      </c>
      <c r="AQ39" s="8"/>
    </row>
    <row r="40" spans="1:43" x14ac:dyDescent="0.25">
      <c r="A40" s="4">
        <v>3.4</v>
      </c>
      <c r="B40" s="2">
        <v>4.3795220247835601E-6</v>
      </c>
      <c r="C40" s="2">
        <v>8.7278052128988003E-5</v>
      </c>
      <c r="D40" s="2">
        <v>1.73662092123017E-3</v>
      </c>
      <c r="E40" s="2">
        <v>1.7331637422572401E-2</v>
      </c>
      <c r="F40" s="2">
        <v>8.3377969159610404E-2</v>
      </c>
      <c r="G40" s="2">
        <v>0.31932314909514897</v>
      </c>
      <c r="H40" s="2">
        <v>0.70755586710959895</v>
      </c>
      <c r="I40" s="2">
        <v>0.925805212250986</v>
      </c>
      <c r="J40" s="2">
        <v>0.95282369851375204</v>
      </c>
      <c r="K40" s="2">
        <v>0.96790012094533595</v>
      </c>
      <c r="N40" s="4">
        <v>0.5</v>
      </c>
      <c r="O40" s="2">
        <f t="shared" si="20"/>
        <v>6.6378787570354945</v>
      </c>
      <c r="P40" s="2">
        <f t="shared" si="21"/>
        <v>6.7887736252499336</v>
      </c>
      <c r="Q40" s="2">
        <f t="shared" si="22"/>
        <v>6.9823631063974494</v>
      </c>
      <c r="R40" s="2">
        <f t="shared" si="23"/>
        <v>8.5</v>
      </c>
      <c r="S40" s="2">
        <f t="shared" si="24"/>
        <v>8.5</v>
      </c>
      <c r="T40" s="2">
        <f t="shared" si="25"/>
        <v>8.5</v>
      </c>
      <c r="U40" s="2">
        <f t="shared" si="26"/>
        <v>8.5</v>
      </c>
      <c r="V40" s="2">
        <f t="shared" si="27"/>
        <v>8.5</v>
      </c>
      <c r="W40" s="2">
        <f t="shared" si="17"/>
        <v>8.5</v>
      </c>
      <c r="X40" s="2">
        <f t="shared" si="17"/>
        <v>8.5</v>
      </c>
      <c r="Y40" s="2">
        <f t="shared" si="28"/>
        <v>7.9909015488682886</v>
      </c>
      <c r="AB40" s="4">
        <v>0.5</v>
      </c>
      <c r="AC40" s="2">
        <f t="shared" si="18"/>
        <v>7.2303718797969285</v>
      </c>
      <c r="AD40" s="2">
        <f t="shared" si="18"/>
        <v>7.3332547444885909</v>
      </c>
      <c r="AE40" s="2">
        <f t="shared" si="18"/>
        <v>7.4652475725437162</v>
      </c>
      <c r="AF40" s="2">
        <f t="shared" si="18"/>
        <v>7.5820618523240846</v>
      </c>
      <c r="AG40" s="2">
        <f t="shared" si="29"/>
        <v>7.6672078008266702</v>
      </c>
      <c r="AH40" s="2">
        <f t="shared" si="30"/>
        <v>7.7545704729468063</v>
      </c>
      <c r="AI40" s="2">
        <f t="shared" si="31"/>
        <v>7.8418092881094354</v>
      </c>
      <c r="AJ40" s="2">
        <f t="shared" si="32"/>
        <v>7.9265968232687456</v>
      </c>
      <c r="AK40" s="2">
        <f t="shared" si="33"/>
        <v>7.0724530165899075</v>
      </c>
      <c r="AL40" s="2">
        <f t="shared" si="33"/>
        <v>7.1142668373244948</v>
      </c>
      <c r="AM40" s="2">
        <f t="shared" si="34"/>
        <v>7.4987840288219374</v>
      </c>
      <c r="AP40" s="2">
        <f t="shared" si="19"/>
        <v>0.56120619087836521</v>
      </c>
      <c r="AQ40" s="8"/>
    </row>
    <row r="41" spans="1:43" x14ac:dyDescent="0.25">
      <c r="A41" s="4">
        <v>3.5</v>
      </c>
      <c r="B41" s="2">
        <v>3.0353753237369298E-6</v>
      </c>
      <c r="C41" s="2">
        <v>6.6054064485687299E-5</v>
      </c>
      <c r="D41" s="2">
        <v>1.43556425205414E-3</v>
      </c>
      <c r="E41" s="2">
        <v>1.5357674274664701E-2</v>
      </c>
      <c r="F41" s="2">
        <v>7.7795840463977695E-2</v>
      </c>
      <c r="G41" s="2">
        <v>0.31330906649703399</v>
      </c>
      <c r="H41" s="2">
        <v>0.71162519328060203</v>
      </c>
      <c r="I41" s="2">
        <v>0.93029792531401001</v>
      </c>
      <c r="J41" s="2">
        <v>0.95685952506239602</v>
      </c>
      <c r="K41" s="2">
        <v>0.97103912376754498</v>
      </c>
      <c r="N41" s="4">
        <v>0.6</v>
      </c>
      <c r="O41" s="2">
        <f t="shared" si="20"/>
        <v>6.5480338620520531</v>
      </c>
      <c r="P41" s="2">
        <f t="shared" si="21"/>
        <v>6.6943394701948939</v>
      </c>
      <c r="Q41" s="2">
        <f t="shared" si="22"/>
        <v>6.9004003049686595</v>
      </c>
      <c r="R41" s="2">
        <f t="shared" si="23"/>
        <v>8.5</v>
      </c>
      <c r="S41" s="2">
        <f t="shared" si="24"/>
        <v>8.5</v>
      </c>
      <c r="T41" s="2">
        <f t="shared" si="25"/>
        <v>8.5</v>
      </c>
      <c r="U41" s="2">
        <f t="shared" si="26"/>
        <v>8.5</v>
      </c>
      <c r="V41" s="2">
        <f t="shared" si="27"/>
        <v>8.5</v>
      </c>
      <c r="W41" s="2">
        <f t="shared" si="17"/>
        <v>8.5</v>
      </c>
      <c r="X41" s="2">
        <f t="shared" si="17"/>
        <v>8.5</v>
      </c>
      <c r="Y41" s="2">
        <f t="shared" si="28"/>
        <v>7.9642773637215614</v>
      </c>
      <c r="AB41" s="4">
        <v>0.6</v>
      </c>
      <c r="AC41" s="2">
        <f t="shared" si="18"/>
        <v>7.1691139968536728</v>
      </c>
      <c r="AD41" s="2">
        <f t="shared" si="18"/>
        <v>7.2688678205874275</v>
      </c>
      <c r="AE41" s="2">
        <f t="shared" si="18"/>
        <v>7.4093638442968128</v>
      </c>
      <c r="AF41" s="2">
        <f t="shared" si="18"/>
        <v>7.5427704853323352</v>
      </c>
      <c r="AG41" s="2">
        <f t="shared" si="29"/>
        <v>7.6442823949236232</v>
      </c>
      <c r="AH41" s="2">
        <f t="shared" si="30"/>
        <v>7.7499062721120087</v>
      </c>
      <c r="AI41" s="2">
        <f t="shared" si="31"/>
        <v>7.8555338673556747</v>
      </c>
      <c r="AJ41" s="2">
        <f t="shared" si="32"/>
        <v>7.9570563582516787</v>
      </c>
      <c r="AK41" s="2">
        <f t="shared" si="33"/>
        <v>7.137282304177555</v>
      </c>
      <c r="AL41" s="2">
        <f t="shared" si="33"/>
        <v>7.186872928689823</v>
      </c>
      <c r="AM41" s="2">
        <f t="shared" si="34"/>
        <v>7.4921050272580603</v>
      </c>
      <c r="AP41" s="2">
        <f t="shared" si="19"/>
        <v>0.57035591016708298</v>
      </c>
      <c r="AQ41" s="8"/>
    </row>
    <row r="42" spans="1:43" x14ac:dyDescent="0.25">
      <c r="A42" s="4">
        <v>3.6</v>
      </c>
      <c r="B42" s="2">
        <v>2.1040999206917799E-6</v>
      </c>
      <c r="C42" s="2">
        <v>4.99991020371786E-5</v>
      </c>
      <c r="D42" s="2">
        <v>1.18683497341893E-3</v>
      </c>
      <c r="E42" s="2">
        <v>1.3607805362814E-2</v>
      </c>
      <c r="F42" s="2">
        <v>7.2570754074698401E-2</v>
      </c>
      <c r="G42" s="2">
        <v>0.307400912103171</v>
      </c>
      <c r="H42" s="2">
        <v>0.71570537233701803</v>
      </c>
      <c r="I42" s="2">
        <v>0.93455212963666601</v>
      </c>
      <c r="J42" s="2">
        <v>0.96055697233818504</v>
      </c>
      <c r="K42" s="2">
        <v>0.97387380980006699</v>
      </c>
      <c r="N42" s="4">
        <v>0.7</v>
      </c>
      <c r="O42" s="2">
        <f t="shared" si="20"/>
        <v>6.4792524917124927</v>
      </c>
      <c r="P42" s="2">
        <f t="shared" si="21"/>
        <v>6.6138191694733726</v>
      </c>
      <c r="Q42" s="2">
        <f t="shared" si="22"/>
        <v>6.8232483587335313</v>
      </c>
      <c r="R42" s="2">
        <f t="shared" si="23"/>
        <v>8.5</v>
      </c>
      <c r="S42" s="2">
        <f t="shared" si="24"/>
        <v>8.5</v>
      </c>
      <c r="T42" s="2">
        <f t="shared" si="25"/>
        <v>8.5</v>
      </c>
      <c r="U42" s="2">
        <f t="shared" si="26"/>
        <v>8.5</v>
      </c>
      <c r="V42" s="2">
        <f t="shared" si="27"/>
        <v>8.5</v>
      </c>
      <c r="W42" s="2">
        <f t="shared" si="17"/>
        <v>8.5</v>
      </c>
      <c r="X42" s="2">
        <f t="shared" si="17"/>
        <v>8.5</v>
      </c>
      <c r="Y42" s="2">
        <f t="shared" si="28"/>
        <v>7.9416320019919393</v>
      </c>
      <c r="AB42" s="4">
        <v>0.7</v>
      </c>
      <c r="AC42" s="2">
        <f t="shared" si="18"/>
        <v>7.1222176079857906</v>
      </c>
      <c r="AD42" s="2">
        <f t="shared" si="18"/>
        <v>7.2139676155500272</v>
      </c>
      <c r="AE42" s="2">
        <f t="shared" si="18"/>
        <v>7.3567602445910438</v>
      </c>
      <c r="AF42" s="2">
        <f t="shared" si="18"/>
        <v>7.5033046102714174</v>
      </c>
      <c r="AG42" s="2">
        <f t="shared" si="29"/>
        <v>7.6202304146577191</v>
      </c>
      <c r="AH42" s="2">
        <f t="shared" si="30"/>
        <v>7.7440419892114978</v>
      </c>
      <c r="AI42" s="2">
        <f t="shared" si="31"/>
        <v>7.868179174942906</v>
      </c>
      <c r="AJ42" s="2">
        <f t="shared" si="32"/>
        <v>7.9860134496357009</v>
      </c>
      <c r="AK42" s="2">
        <f t="shared" si="33"/>
        <v>7.2023354643278488</v>
      </c>
      <c r="AL42" s="2">
        <f t="shared" si="33"/>
        <v>7.259380011256102</v>
      </c>
      <c r="AM42" s="2">
        <f t="shared" si="34"/>
        <v>7.4876430582430045</v>
      </c>
      <c r="AP42" s="2">
        <f t="shared" si="19"/>
        <v>0.57878611512103417</v>
      </c>
      <c r="AQ42" s="8"/>
    </row>
    <row r="43" spans="1:43" x14ac:dyDescent="0.25">
      <c r="A43" s="4">
        <v>3.7</v>
      </c>
      <c r="B43" s="2">
        <v>1.45876881876191E-6</v>
      </c>
      <c r="C43" s="2">
        <v>3.7852168952185903E-5</v>
      </c>
      <c r="D43" s="2">
        <v>9.813161209727729E-4</v>
      </c>
      <c r="E43" s="2">
        <v>1.20569075289737E-2</v>
      </c>
      <c r="F43" s="2">
        <v>6.76825566131809E-2</v>
      </c>
      <c r="G43" s="2">
        <v>0.30159747018016803</v>
      </c>
      <c r="H43" s="2">
        <v>0.71979402046619401</v>
      </c>
      <c r="I43" s="2">
        <v>0.93857711915509201</v>
      </c>
      <c r="J43" s="2">
        <v>0.963942750873789</v>
      </c>
      <c r="K43" s="2">
        <v>0.97643273459042101</v>
      </c>
      <c r="N43" s="4">
        <v>0.8</v>
      </c>
      <c r="O43" s="2">
        <f t="shared" si="20"/>
        <v>6.4280018322552097</v>
      </c>
      <c r="P43" s="2">
        <f t="shared" si="21"/>
        <v>6.546898954936581</v>
      </c>
      <c r="Q43" s="2">
        <f t="shared" si="22"/>
        <v>6.752136669156541</v>
      </c>
      <c r="R43" s="2">
        <f t="shared" si="23"/>
        <v>8.5</v>
      </c>
      <c r="S43" s="2">
        <f t="shared" si="24"/>
        <v>8.5</v>
      </c>
      <c r="T43" s="2">
        <f t="shared" si="25"/>
        <v>8.5</v>
      </c>
      <c r="U43" s="2">
        <f t="shared" si="26"/>
        <v>8.5</v>
      </c>
      <c r="V43" s="2">
        <f t="shared" si="27"/>
        <v>8.5</v>
      </c>
      <c r="W43" s="2">
        <f t="shared" si="17"/>
        <v>8.5</v>
      </c>
      <c r="X43" s="2">
        <f t="shared" si="17"/>
        <v>8.5</v>
      </c>
      <c r="Y43" s="2">
        <f t="shared" si="28"/>
        <v>7.9227037456348324</v>
      </c>
      <c r="AB43" s="4">
        <v>0.8</v>
      </c>
      <c r="AC43" s="2">
        <f t="shared" si="18"/>
        <v>7.0872739765376433</v>
      </c>
      <c r="AD43" s="2">
        <f t="shared" si="18"/>
        <v>7.1683401965476685</v>
      </c>
      <c r="AE43" s="2">
        <f t="shared" si="18"/>
        <v>7.3082750016976421</v>
      </c>
      <c r="AF43" s="2">
        <f t="shared" si="18"/>
        <v>7.4643512142174666</v>
      </c>
      <c r="AG43" s="2">
        <f t="shared" si="29"/>
        <v>7.5954477635178375</v>
      </c>
      <c r="AH43" s="2">
        <f t="shared" si="30"/>
        <v>7.7372097595127185</v>
      </c>
      <c r="AI43" s="2">
        <f t="shared" si="31"/>
        <v>7.8798918699472829</v>
      </c>
      <c r="AJ43" s="2">
        <f t="shared" si="32"/>
        <v>8.0134976556745414</v>
      </c>
      <c r="AK43" s="2">
        <f t="shared" si="33"/>
        <v>7.2674225345891914</v>
      </c>
      <c r="AL43" s="2">
        <f t="shared" si="33"/>
        <v>7.3315130777803583</v>
      </c>
      <c r="AM43" s="2">
        <f t="shared" si="34"/>
        <v>7.4853223050022333</v>
      </c>
      <c r="AP43" s="2">
        <f t="shared" si="19"/>
        <v>0.58659457845818774</v>
      </c>
      <c r="AQ43" s="8"/>
    </row>
    <row r="44" spans="1:43" x14ac:dyDescent="0.25">
      <c r="A44" s="4">
        <v>3.8</v>
      </c>
      <c r="B44" s="2">
        <v>1.0115107443613999E-6</v>
      </c>
      <c r="C44" s="2">
        <v>2.86604306574915E-5</v>
      </c>
      <c r="D44" s="2">
        <v>8.1148116390451102E-4</v>
      </c>
      <c r="E44" s="2">
        <v>1.0682574908203899E-2</v>
      </c>
      <c r="F44" s="2">
        <v>6.3111773322716405E-2</v>
      </c>
      <c r="G44" s="2">
        <v>0.29589726321668602</v>
      </c>
      <c r="H44" s="2">
        <v>0.72388852225613898</v>
      </c>
      <c r="I44" s="2">
        <v>0.94238209272110396</v>
      </c>
      <c r="J44" s="2">
        <v>0.96704184386353798</v>
      </c>
      <c r="K44" s="2">
        <v>0.97874204079020399</v>
      </c>
      <c r="N44" s="4">
        <v>0.9</v>
      </c>
      <c r="O44" s="2">
        <f t="shared" si="20"/>
        <v>6.390591369652288</v>
      </c>
      <c r="P44" s="2">
        <f t="shared" si="21"/>
        <v>6.4924512661166496</v>
      </c>
      <c r="Q44" s="2">
        <f t="shared" si="22"/>
        <v>6.6877864411777246</v>
      </c>
      <c r="R44" s="2">
        <f t="shared" si="23"/>
        <v>8.5</v>
      </c>
      <c r="S44" s="2">
        <f t="shared" si="24"/>
        <v>8.5</v>
      </c>
      <c r="T44" s="2">
        <f t="shared" si="25"/>
        <v>8.5</v>
      </c>
      <c r="U44" s="2">
        <f t="shared" si="26"/>
        <v>8.5</v>
      </c>
      <c r="V44" s="2">
        <f t="shared" si="27"/>
        <v>8.5</v>
      </c>
      <c r="W44" s="2">
        <f t="shared" si="17"/>
        <v>8.5</v>
      </c>
      <c r="X44" s="2">
        <f t="shared" si="17"/>
        <v>8.5</v>
      </c>
      <c r="Y44" s="2">
        <f t="shared" si="28"/>
        <v>7.9070829076946669</v>
      </c>
      <c r="AB44" s="4">
        <v>0.9</v>
      </c>
      <c r="AC44" s="2">
        <f t="shared" si="18"/>
        <v>7.061766842944742</v>
      </c>
      <c r="AD44" s="2">
        <f t="shared" si="18"/>
        <v>7.1312167723522606</v>
      </c>
      <c r="AE44" s="2">
        <f t="shared" si="18"/>
        <v>7.2643998462575397</v>
      </c>
      <c r="AF44" s="2">
        <f t="shared" si="18"/>
        <v>7.4264671614077553</v>
      </c>
      <c r="AG44" s="2">
        <f t="shared" si="29"/>
        <v>7.5702635269166567</v>
      </c>
      <c r="AH44" s="2">
        <f t="shared" si="30"/>
        <v>7.7295936509809113</v>
      </c>
      <c r="AI44" s="2">
        <f t="shared" si="31"/>
        <v>7.8907886245801793</v>
      </c>
      <c r="AJ44" s="2">
        <f t="shared" si="32"/>
        <v>8.0395420780123903</v>
      </c>
      <c r="AK44" s="2">
        <f t="shared" si="33"/>
        <v>7.3322869076205262</v>
      </c>
      <c r="AL44" s="2">
        <f t="shared" si="33"/>
        <v>7.4029273774165585</v>
      </c>
      <c r="AM44" s="2">
        <f t="shared" si="34"/>
        <v>7.4849252788489524</v>
      </c>
      <c r="AP44" s="2">
        <f t="shared" si="19"/>
        <v>0.59385908163433532</v>
      </c>
      <c r="AQ44" s="8"/>
    </row>
    <row r="45" spans="1:43" x14ac:dyDescent="0.25">
      <c r="A45" s="4">
        <v>3.9</v>
      </c>
      <c r="B45" s="2">
        <v>7.01510629421709E-7</v>
      </c>
      <c r="C45" s="2">
        <v>2.17038066041281E-5</v>
      </c>
      <c r="D45" s="2">
        <v>6.7111708957824005E-4</v>
      </c>
      <c r="E45" s="2">
        <v>9.46485302556202E-3</v>
      </c>
      <c r="F45" s="2">
        <v>5.8839675172031897E-2</v>
      </c>
      <c r="G45" s="2">
        <v>0.29029862339142998</v>
      </c>
      <c r="H45" s="2">
        <v>0.72798610567632804</v>
      </c>
      <c r="I45" s="2">
        <v>0.945976152291922</v>
      </c>
      <c r="J45" s="2">
        <v>0.96987752929441495</v>
      </c>
      <c r="K45" s="2">
        <v>0.98082559152601501</v>
      </c>
      <c r="N45" s="4">
        <v>1</v>
      </c>
      <c r="O45" s="2">
        <f t="shared" si="20"/>
        <v>6.3636966549649134</v>
      </c>
      <c r="P45" s="2">
        <f t="shared" si="21"/>
        <v>6.4489042065215791</v>
      </c>
      <c r="Q45" s="2">
        <f t="shared" si="22"/>
        <v>6.6304627179200732</v>
      </c>
      <c r="R45" s="2">
        <f t="shared" si="23"/>
        <v>8.5</v>
      </c>
      <c r="S45" s="2">
        <f t="shared" si="24"/>
        <v>8.5</v>
      </c>
      <c r="T45" s="2">
        <f t="shared" si="25"/>
        <v>8.5</v>
      </c>
      <c r="U45" s="2">
        <f t="shared" si="26"/>
        <v>8.5</v>
      </c>
      <c r="V45" s="2">
        <f t="shared" si="27"/>
        <v>8.5</v>
      </c>
      <c r="W45" s="2">
        <f t="shared" si="17"/>
        <v>8.5</v>
      </c>
      <c r="X45" s="2">
        <f t="shared" si="17"/>
        <v>8.5</v>
      </c>
      <c r="Y45" s="2">
        <f t="shared" si="28"/>
        <v>7.8943063579406569</v>
      </c>
      <c r="AB45" s="4">
        <v>1</v>
      </c>
      <c r="AC45" s="2">
        <f t="shared" si="18"/>
        <v>7.0434295374760776</v>
      </c>
      <c r="AD45" s="2">
        <f t="shared" si="18"/>
        <v>7.1015255953556213</v>
      </c>
      <c r="AE45" s="2">
        <f t="shared" si="18"/>
        <v>7.225315489490959</v>
      </c>
      <c r="AF45" s="2">
        <f t="shared" si="18"/>
        <v>7.3900753838294522</v>
      </c>
      <c r="AG45" s="2">
        <f t="shared" si="29"/>
        <v>7.5449425200063045</v>
      </c>
      <c r="AH45" s="2">
        <f t="shared" si="30"/>
        <v>7.7213358266130543</v>
      </c>
      <c r="AI45" s="2">
        <f t="shared" si="31"/>
        <v>7.9009631041451458</v>
      </c>
      <c r="AJ45" s="2">
        <f t="shared" si="32"/>
        <v>8.0641882742492683</v>
      </c>
      <c r="AK45" s="2">
        <f t="shared" si="33"/>
        <v>7.3966334034769563</v>
      </c>
      <c r="AL45" s="2">
        <f t="shared" si="33"/>
        <v>7.4732433844171418</v>
      </c>
      <c r="AM45" s="2">
        <f t="shared" si="34"/>
        <v>7.4861652519059989</v>
      </c>
      <c r="AP45" s="2">
        <f t="shared" si="19"/>
        <v>0.60064206730212977</v>
      </c>
      <c r="AQ45" s="8"/>
    </row>
    <row r="46" spans="1:43" x14ac:dyDescent="0.25">
      <c r="A46" s="4">
        <v>4</v>
      </c>
      <c r="B46" s="2">
        <v>4.8657249024564302E-7</v>
      </c>
      <c r="C46" s="2">
        <v>1.6437907392111399E-5</v>
      </c>
      <c r="D46" s="2">
        <v>5.5509505588534499E-4</v>
      </c>
      <c r="E46" s="2">
        <v>8.3859899117327795E-3</v>
      </c>
      <c r="F46" s="2">
        <v>5.4848317791103503E-2</v>
      </c>
      <c r="G46" s="2">
        <v>0.284799738604884</v>
      </c>
      <c r="H46" s="2">
        <v>0.73208390009687196</v>
      </c>
      <c r="I46" s="2">
        <v>0.94936829425835201</v>
      </c>
      <c r="J46" s="2">
        <v>0.97247143268703995</v>
      </c>
      <c r="K46" s="2">
        <v>0.98270512034311797</v>
      </c>
      <c r="N46" s="4">
        <v>1.1000000000000001</v>
      </c>
      <c r="O46" s="2">
        <f t="shared" si="20"/>
        <v>6.3445749888003196</v>
      </c>
      <c r="P46" s="2">
        <f t="shared" si="21"/>
        <v>6.4145437044096791</v>
      </c>
      <c r="Q46" s="2">
        <f t="shared" si="22"/>
        <v>6.5800704174349756</v>
      </c>
      <c r="R46" s="2">
        <f t="shared" si="23"/>
        <v>8.5</v>
      </c>
      <c r="S46" s="2">
        <f t="shared" si="24"/>
        <v>8.5</v>
      </c>
      <c r="T46" s="2">
        <f t="shared" si="25"/>
        <v>8.5</v>
      </c>
      <c r="U46" s="2">
        <f t="shared" si="26"/>
        <v>8.5</v>
      </c>
      <c r="V46" s="2">
        <f t="shared" si="27"/>
        <v>8.5</v>
      </c>
      <c r="W46" s="2">
        <f t="shared" si="17"/>
        <v>8.5</v>
      </c>
      <c r="X46" s="2">
        <f t="shared" si="17"/>
        <v>8.5</v>
      </c>
      <c r="Y46" s="2">
        <f t="shared" si="28"/>
        <v>7.883918911064498</v>
      </c>
      <c r="AB46" s="4">
        <v>1.1000000000000001</v>
      </c>
      <c r="AC46" s="2">
        <f t="shared" si="18"/>
        <v>7.0303920378183999</v>
      </c>
      <c r="AD46" s="2">
        <f t="shared" si="18"/>
        <v>7.0780979802793267</v>
      </c>
      <c r="AE46" s="2">
        <f t="shared" si="18"/>
        <v>7.190957102796574</v>
      </c>
      <c r="AF46" s="2">
        <f t="shared" si="18"/>
        <v>7.3554775321498767</v>
      </c>
      <c r="AG46" s="2">
        <f t="shared" si="29"/>
        <v>7.5196953888241191</v>
      </c>
      <c r="AH46" s="2">
        <f t="shared" si="30"/>
        <v>7.7125460766348457</v>
      </c>
      <c r="AI46" s="2">
        <f t="shared" si="31"/>
        <v>7.9104931163967853</v>
      </c>
      <c r="AJ46" s="2">
        <f t="shared" si="32"/>
        <v>8.0874879197691101</v>
      </c>
      <c r="AK46" s="2">
        <f t="shared" si="33"/>
        <v>7.460150089031572</v>
      </c>
      <c r="AL46" s="2">
        <f t="shared" si="33"/>
        <v>7.5420742818642852</v>
      </c>
      <c r="AM46" s="2">
        <f t="shared" si="34"/>
        <v>7.4887371525564888</v>
      </c>
      <c r="AP46" s="2">
        <f t="shared" si="19"/>
        <v>0.60699540911676464</v>
      </c>
    </row>
    <row r="47" spans="1:43" x14ac:dyDescent="0.25">
      <c r="A47" s="4">
        <v>4.0999999999999996</v>
      </c>
      <c r="B47" s="2">
        <v>3.3753761671339198E-7</v>
      </c>
      <c r="C47" s="2">
        <v>1.2451227154149601E-5</v>
      </c>
      <c r="D47" s="2">
        <v>4.5918133868004502E-4</v>
      </c>
      <c r="E47" s="2">
        <v>7.43020996004661E-3</v>
      </c>
      <c r="F47" s="2">
        <v>5.1120575182093897E-2</v>
      </c>
      <c r="G47" s="2">
        <v>0.279398715522439</v>
      </c>
      <c r="H47" s="2">
        <v>0.73617899215288896</v>
      </c>
      <c r="I47" s="2">
        <v>0.95256739303558102</v>
      </c>
      <c r="J47" s="2">
        <v>0.974843582024436</v>
      </c>
      <c r="K47" s="2">
        <v>0.98440037524637702</v>
      </c>
      <c r="N47" s="4">
        <v>1.2</v>
      </c>
      <c r="O47" s="2">
        <f t="shared" si="20"/>
        <v>6.3310877405048123</v>
      </c>
      <c r="P47" s="2">
        <f t="shared" si="21"/>
        <v>6.3877160095109069</v>
      </c>
      <c r="Q47" s="2">
        <f t="shared" si="22"/>
        <v>6.5362598686780995</v>
      </c>
      <c r="R47" s="2">
        <f t="shared" si="23"/>
        <v>8.5</v>
      </c>
      <c r="S47" s="2">
        <f t="shared" si="24"/>
        <v>8.5</v>
      </c>
      <c r="T47" s="2">
        <f t="shared" si="25"/>
        <v>8.5</v>
      </c>
      <c r="U47" s="2">
        <f t="shared" si="26"/>
        <v>8.5</v>
      </c>
      <c r="V47" s="2">
        <f t="shared" si="27"/>
        <v>8.5</v>
      </c>
      <c r="W47" s="2">
        <f t="shared" si="17"/>
        <v>8.5</v>
      </c>
      <c r="X47" s="2">
        <f t="shared" si="17"/>
        <v>8.5</v>
      </c>
      <c r="Y47" s="2">
        <f t="shared" si="28"/>
        <v>7.8755063618693812</v>
      </c>
      <c r="AB47" s="4">
        <v>1.2</v>
      </c>
      <c r="AC47" s="2">
        <f t="shared" si="18"/>
        <v>7.0211961867078267</v>
      </c>
      <c r="AD47" s="2">
        <f t="shared" si="18"/>
        <v>7.0598063701210734</v>
      </c>
      <c r="AE47" s="2">
        <f t="shared" si="18"/>
        <v>7.1610862740987047</v>
      </c>
      <c r="AF47" s="2">
        <f t="shared" si="18"/>
        <v>7.3228729226261144</v>
      </c>
      <c r="AG47" s="2">
        <f t="shared" si="29"/>
        <v>7.4946903258470847</v>
      </c>
      <c r="AH47" s="2">
        <f t="shared" si="30"/>
        <v>7.7033112124267156</v>
      </c>
      <c r="AI47" s="2">
        <f t="shared" si="31"/>
        <v>7.9194464183294642</v>
      </c>
      <c r="AJ47" s="2">
        <f t="shared" si="32"/>
        <v>8.1095020808815033</v>
      </c>
      <c r="AK47" s="2">
        <f t="shared" si="33"/>
        <v>7.522524659490724</v>
      </c>
      <c r="AL47" s="2">
        <f t="shared" si="33"/>
        <v>7.6090466693702981</v>
      </c>
      <c r="AM47" s="2">
        <f t="shared" si="34"/>
        <v>7.4923483119899519</v>
      </c>
      <c r="AP47" s="2">
        <f t="shared" si="19"/>
        <v>0.6129642764244001</v>
      </c>
    </row>
    <row r="48" spans="1:43" x14ac:dyDescent="0.25">
      <c r="A48" s="4">
        <v>4.2</v>
      </c>
      <c r="B48" s="2">
        <v>2.3418462021250101E-7</v>
      </c>
      <c r="C48" s="2">
        <v>9.4325675364928894E-6</v>
      </c>
      <c r="D48" s="2">
        <v>3.7988069393850299E-4</v>
      </c>
      <c r="E48" s="2">
        <v>6.5835038330588598E-3</v>
      </c>
      <c r="F48" s="2">
        <v>4.7640145829238201E-2</v>
      </c>
      <c r="G48" s="2">
        <v>0.27409360579997</v>
      </c>
      <c r="H48" s="2">
        <v>0.74026846312420103</v>
      </c>
      <c r="I48" s="2">
        <v>0.955582183939375</v>
      </c>
      <c r="J48" s="2">
        <v>0.977012488958235</v>
      </c>
      <c r="K48" s="2">
        <v>0.98592927389404394</v>
      </c>
      <c r="N48" s="4">
        <v>1.3</v>
      </c>
      <c r="O48" s="2">
        <f t="shared" si="20"/>
        <v>6.3216286498055112</v>
      </c>
      <c r="P48" s="2">
        <f t="shared" si="21"/>
        <v>6.3669392168377223</v>
      </c>
      <c r="Q48" s="2">
        <f t="shared" si="22"/>
        <v>6.4985217830505011</v>
      </c>
      <c r="R48" s="2">
        <f t="shared" si="23"/>
        <v>8.5</v>
      </c>
      <c r="S48" s="2">
        <f t="shared" si="24"/>
        <v>8.5</v>
      </c>
      <c r="T48" s="2">
        <f t="shared" si="25"/>
        <v>8.5</v>
      </c>
      <c r="U48" s="2">
        <f t="shared" si="26"/>
        <v>8.5</v>
      </c>
      <c r="V48" s="2">
        <f t="shared" si="27"/>
        <v>8.5</v>
      </c>
      <c r="W48" s="2">
        <f t="shared" si="17"/>
        <v>8.5</v>
      </c>
      <c r="X48" s="2">
        <f t="shared" si="17"/>
        <v>8.5</v>
      </c>
      <c r="Y48" s="2">
        <f t="shared" si="28"/>
        <v>7.8687089649693736</v>
      </c>
      <c r="AB48" s="4">
        <v>1.3</v>
      </c>
      <c r="AC48" s="2">
        <f t="shared" si="18"/>
        <v>7.0147468066855758</v>
      </c>
      <c r="AD48" s="2">
        <f t="shared" si="18"/>
        <v>7.045640375116629</v>
      </c>
      <c r="AE48" s="2">
        <f t="shared" si="18"/>
        <v>7.1353557611707963</v>
      </c>
      <c r="AF48" s="2">
        <f t="shared" si="18"/>
        <v>7.2923778645449895</v>
      </c>
      <c r="AG48" s="2">
        <f t="shared" si="29"/>
        <v>7.4700632708357322</v>
      </c>
      <c r="AH48" s="2">
        <f t="shared" si="30"/>
        <v>7.6937026485927946</v>
      </c>
      <c r="AI48" s="2">
        <f t="shared" si="31"/>
        <v>7.9278847124895009</v>
      </c>
      <c r="AJ48" s="2">
        <f t="shared" si="32"/>
        <v>8.1302990615857418</v>
      </c>
      <c r="AK48" s="2">
        <f t="shared" si="33"/>
        <v>7.5834570639645147</v>
      </c>
      <c r="AL48" s="2">
        <f t="shared" si="33"/>
        <v>7.6738162234064262</v>
      </c>
      <c r="AM48" s="2">
        <f t="shared" si="34"/>
        <v>7.4967343788392693</v>
      </c>
      <c r="AP48" s="2">
        <f t="shared" si="19"/>
        <v>0.61858980639031602</v>
      </c>
    </row>
    <row r="49" spans="1:42" x14ac:dyDescent="0.25">
      <c r="A49" s="4">
        <v>4.3</v>
      </c>
      <c r="B49" s="2">
        <v>1.6250163845413999E-7</v>
      </c>
      <c r="C49" s="2">
        <v>7.1465592997828297E-6</v>
      </c>
      <c r="D49" s="2">
        <v>3.1430730121286102E-4</v>
      </c>
      <c r="E49" s="2">
        <v>5.8334390996108198E-3</v>
      </c>
      <c r="F49" s="2">
        <v>4.4391553960914702E-2</v>
      </c>
      <c r="G49" s="2">
        <v>0.26888243909047799</v>
      </c>
      <c r="H49" s="2">
        <v>0.74434942316535102</v>
      </c>
      <c r="I49" s="2">
        <v>0.95842124348227897</v>
      </c>
      <c r="J49" s="2">
        <v>0.97899522924193605</v>
      </c>
      <c r="K49" s="2">
        <v>0.98730804962664998</v>
      </c>
      <c r="N49" s="4">
        <v>1.4</v>
      </c>
      <c r="O49" s="2">
        <f t="shared" si="20"/>
        <v>6.315021491905549</v>
      </c>
      <c r="P49" s="2">
        <f t="shared" si="21"/>
        <v>6.3509484320655272</v>
      </c>
      <c r="Q49" s="2">
        <f t="shared" si="22"/>
        <v>6.4662634429880956</v>
      </c>
      <c r="R49" s="2">
        <f t="shared" si="23"/>
        <v>8.5</v>
      </c>
      <c r="S49" s="2">
        <f t="shared" si="24"/>
        <v>8.5</v>
      </c>
      <c r="T49" s="2">
        <f t="shared" si="25"/>
        <v>8.5</v>
      </c>
      <c r="U49" s="2">
        <f t="shared" si="26"/>
        <v>8.5</v>
      </c>
      <c r="V49" s="2">
        <f t="shared" si="27"/>
        <v>8.5</v>
      </c>
      <c r="W49" s="2">
        <f t="shared" si="17"/>
        <v>8.5</v>
      </c>
      <c r="X49" s="2">
        <f t="shared" si="17"/>
        <v>8.5</v>
      </c>
      <c r="Y49" s="2">
        <f t="shared" si="28"/>
        <v>7.863223336695917</v>
      </c>
      <c r="AB49" s="4">
        <v>1.4</v>
      </c>
      <c r="AC49" s="2">
        <f t="shared" si="18"/>
        <v>7.0102419262992379</v>
      </c>
      <c r="AD49" s="2">
        <f t="shared" si="18"/>
        <v>7.0347375673174053</v>
      </c>
      <c r="AE49" s="2">
        <f t="shared" si="18"/>
        <v>7.1133614384009753</v>
      </c>
      <c r="AF49" s="2">
        <f t="shared" si="18"/>
        <v>7.2640429348501909</v>
      </c>
      <c r="AG49" s="2">
        <f t="shared" si="29"/>
        <v>7.4459256897361623</v>
      </c>
      <c r="AH49" s="2">
        <f t="shared" si="30"/>
        <v>7.6837818840237162</v>
      </c>
      <c r="AI49" s="2">
        <f t="shared" si="31"/>
        <v>7.9358660512694748</v>
      </c>
      <c r="AJ49" s="2">
        <f t="shared" si="32"/>
        <v>8.1499516554785281</v>
      </c>
      <c r="AK49" s="2">
        <f t="shared" si="33"/>
        <v>7.6426691801559601</v>
      </c>
      <c r="AL49" s="2">
        <f t="shared" si="33"/>
        <v>7.736079130234236</v>
      </c>
      <c r="AM49" s="2">
        <f t="shared" si="34"/>
        <v>7.501665745776589</v>
      </c>
      <c r="AP49" s="2">
        <f t="shared" si="19"/>
        <v>0.62391069843357083</v>
      </c>
    </row>
    <row r="50" spans="1:42" x14ac:dyDescent="0.25">
      <c r="A50" s="4">
        <v>4.4000000000000004</v>
      </c>
      <c r="B50" s="2">
        <v>1.12777883481911E-7</v>
      </c>
      <c r="C50" s="2">
        <v>5.4151517676735897E-6</v>
      </c>
      <c r="D50" s="2">
        <v>2.6007822033915899E-4</v>
      </c>
      <c r="E50" s="2">
        <v>5.1689885927755901E-3</v>
      </c>
      <c r="F50" s="2">
        <v>4.1360140318023701E-2</v>
      </c>
      <c r="G50" s="2">
        <v>0.263763246819886</v>
      </c>
      <c r="H50" s="2">
        <v>0.74841903786421204</v>
      </c>
      <c r="I50" s="2">
        <v>0.96109296980919801</v>
      </c>
      <c r="J50" s="2">
        <v>0.98080752841162899</v>
      </c>
      <c r="K50" s="2">
        <v>0.98855139290935201</v>
      </c>
      <c r="N50" s="4">
        <v>1.5</v>
      </c>
      <c r="O50" s="2">
        <f t="shared" si="20"/>
        <v>6.3104197211740898</v>
      </c>
      <c r="P50" s="2">
        <f t="shared" si="21"/>
        <v>6.3386995261141683</v>
      </c>
      <c r="Q50" s="2">
        <f t="shared" si="22"/>
        <v>6.438864823777366</v>
      </c>
      <c r="R50" s="2">
        <f t="shared" si="23"/>
        <v>8.5</v>
      </c>
      <c r="S50" s="2">
        <f t="shared" si="24"/>
        <v>8.5</v>
      </c>
      <c r="T50" s="2">
        <f t="shared" si="25"/>
        <v>8.5</v>
      </c>
      <c r="U50" s="2">
        <f t="shared" si="26"/>
        <v>8.5</v>
      </c>
      <c r="V50" s="2">
        <f t="shared" si="27"/>
        <v>8.5</v>
      </c>
      <c r="W50" s="2">
        <f t="shared" si="17"/>
        <v>8.5</v>
      </c>
      <c r="X50" s="2">
        <f t="shared" si="17"/>
        <v>8.5</v>
      </c>
      <c r="Y50" s="2">
        <f t="shared" si="28"/>
        <v>7.858798407106562</v>
      </c>
      <c r="AB50" s="4">
        <v>1.5</v>
      </c>
      <c r="AC50" s="2">
        <f t="shared" si="18"/>
        <v>7.0071043553459704</v>
      </c>
      <c r="AD50" s="2">
        <f t="shared" si="18"/>
        <v>7.0263860405323877</v>
      </c>
      <c r="AE50" s="2">
        <f t="shared" si="18"/>
        <v>7.0946805616663857</v>
      </c>
      <c r="AF50" s="2">
        <f t="shared" si="18"/>
        <v>7.2378674368527705</v>
      </c>
      <c r="AG50" s="2">
        <f t="shared" si="29"/>
        <v>7.4223698984486628</v>
      </c>
      <c r="AH50" s="2">
        <f t="shared" si="30"/>
        <v>7.6736040155274079</v>
      </c>
      <c r="AI50" s="2">
        <f t="shared" si="31"/>
        <v>7.9434459630359786</v>
      </c>
      <c r="AJ50" s="2">
        <f t="shared" si="32"/>
        <v>8.1685343278728091</v>
      </c>
      <c r="AK50" s="2">
        <f t="shared" si="33"/>
        <v>7.6999124556454994</v>
      </c>
      <c r="AL50" s="2">
        <f t="shared" si="33"/>
        <v>7.7955802797886982</v>
      </c>
      <c r="AM50" s="2">
        <f t="shared" si="34"/>
        <v>7.5069485334716575</v>
      </c>
      <c r="AP50" s="2">
        <f t="shared" si="19"/>
        <v>0.62896397247056757</v>
      </c>
    </row>
    <row r="51" spans="1:42" x14ac:dyDescent="0.25">
      <c r="A51" s="4">
        <v>4.5</v>
      </c>
      <c r="B51" s="2">
        <v>7.8282283895624799E-8</v>
      </c>
      <c r="C51" s="2">
        <v>4.1036296200891801E-6</v>
      </c>
      <c r="D51" s="2">
        <v>2.152254946713E-4</v>
      </c>
      <c r="E51" s="2">
        <v>4.5803757632153601E-3</v>
      </c>
      <c r="F51" s="2">
        <v>3.8532045881757702E-2</v>
      </c>
      <c r="G51" s="2">
        <v>0.25873408069727</v>
      </c>
      <c r="H51" s="2">
        <v>0.75247454919402101</v>
      </c>
      <c r="I51" s="2">
        <v>0.96360556399504205</v>
      </c>
      <c r="J51" s="2">
        <v>0.98246384857528102</v>
      </c>
      <c r="K51" s="2">
        <v>0.98967258544722603</v>
      </c>
      <c r="N51" s="4">
        <v>1.6</v>
      </c>
      <c r="O51" s="2">
        <f t="shared" si="20"/>
        <v>6.3072212782741772</v>
      </c>
      <c r="P51" s="2">
        <f t="shared" si="21"/>
        <v>6.3293507750578932</v>
      </c>
      <c r="Q51" s="2">
        <f t="shared" si="22"/>
        <v>6.4157170254941853</v>
      </c>
      <c r="R51" s="2">
        <f t="shared" si="23"/>
        <v>8.5</v>
      </c>
      <c r="S51" s="2">
        <f t="shared" si="24"/>
        <v>8.5</v>
      </c>
      <c r="T51" s="2">
        <f t="shared" si="25"/>
        <v>8.5</v>
      </c>
      <c r="U51" s="2">
        <f t="shared" si="26"/>
        <v>8.5</v>
      </c>
      <c r="V51" s="2">
        <f t="shared" si="27"/>
        <v>8.5</v>
      </c>
      <c r="W51" s="2">
        <f t="shared" si="17"/>
        <v>8.5</v>
      </c>
      <c r="X51" s="2">
        <f t="shared" si="17"/>
        <v>8.5</v>
      </c>
      <c r="Y51" s="2">
        <f t="shared" si="28"/>
        <v>7.8552289078826245</v>
      </c>
      <c r="AB51" s="4">
        <v>1.6</v>
      </c>
      <c r="AC51" s="2">
        <f t="shared" si="18"/>
        <v>7.0049235988233027</v>
      </c>
      <c r="AD51" s="2">
        <f t="shared" si="18"/>
        <v>7.020011892084927</v>
      </c>
      <c r="AE51" s="2">
        <f t="shared" si="18"/>
        <v>7.0788979719278533</v>
      </c>
      <c r="AF51" s="2">
        <f t="shared" si="18"/>
        <v>7.2138112897863413</v>
      </c>
      <c r="AG51" s="2">
        <f t="shared" si="29"/>
        <v>7.3994725114572049</v>
      </c>
      <c r="AH51" s="2">
        <f t="shared" si="30"/>
        <v>7.6632197850146238</v>
      </c>
      <c r="AI51" s="2">
        <f t="shared" si="31"/>
        <v>7.9506777468914134</v>
      </c>
      <c r="AJ51" s="2">
        <f t="shared" si="32"/>
        <v>8.1861206947542335</v>
      </c>
      <c r="AK51" s="2">
        <f t="shared" si="33"/>
        <v>7.7549735079598658</v>
      </c>
      <c r="AL51" s="2">
        <f t="shared" si="33"/>
        <v>7.8521182803131202</v>
      </c>
      <c r="AM51" s="2">
        <f t="shared" si="34"/>
        <v>7.5124227279012885</v>
      </c>
      <c r="AP51" s="2">
        <f t="shared" si="19"/>
        <v>0.63378516256163631</v>
      </c>
    </row>
    <row r="52" spans="1:42" x14ac:dyDescent="0.25">
      <c r="A52" s="4">
        <v>4.5999999999999996</v>
      </c>
      <c r="B52" s="2">
        <v>5.4406647154008102E-8</v>
      </c>
      <c r="C52" s="2">
        <v>3.1101058942824398E-6</v>
      </c>
      <c r="D52" s="2">
        <v>1.7812371326524399E-4</v>
      </c>
      <c r="E52" s="2">
        <v>4.0589360291037099E-3</v>
      </c>
      <c r="F52" s="2">
        <v>3.5894191241937497E-2</v>
      </c>
      <c r="G52" s="2">
        <v>0.253793029468181</v>
      </c>
      <c r="H52" s="2">
        <v>0.75651329197934603</v>
      </c>
      <c r="I52" s="2">
        <v>0.965967012464926</v>
      </c>
      <c r="J52" s="2">
        <v>0.98397747348734299</v>
      </c>
      <c r="K52" s="2">
        <v>0.99068362541592603</v>
      </c>
      <c r="N52" s="4">
        <v>1.7</v>
      </c>
      <c r="O52" s="2">
        <f t="shared" si="20"/>
        <v>6.3050014987234535</v>
      </c>
      <c r="P52" s="2">
        <f t="shared" si="21"/>
        <v>6.3222350989635023</v>
      </c>
      <c r="Q52" s="2">
        <f t="shared" si="22"/>
        <v>6.3962465249557257</v>
      </c>
      <c r="R52" s="2">
        <f t="shared" si="23"/>
        <v>8.5</v>
      </c>
      <c r="S52" s="2">
        <f t="shared" si="24"/>
        <v>8.5</v>
      </c>
      <c r="T52" s="2">
        <f t="shared" si="25"/>
        <v>8.5</v>
      </c>
      <c r="U52" s="2">
        <f t="shared" si="26"/>
        <v>8.5</v>
      </c>
      <c r="V52" s="2">
        <f t="shared" si="27"/>
        <v>8.5</v>
      </c>
      <c r="W52" s="2">
        <f t="shared" ref="R52:X55" si="35">J23*($U$35+2)+(1-J23)*($U$35+2)</f>
        <v>8.5</v>
      </c>
      <c r="X52" s="2">
        <f t="shared" si="35"/>
        <v>8.5</v>
      </c>
      <c r="Y52" s="2">
        <f t="shared" si="28"/>
        <v>7.8523483122642688</v>
      </c>
      <c r="AB52" s="4">
        <v>1.7</v>
      </c>
      <c r="AC52" s="2">
        <f t="shared" ref="AC52:AF55" si="36">B23*($AI$35+2)+(1-B23)*(7)</f>
        <v>7.0034101127659909</v>
      </c>
      <c r="AD52" s="2">
        <f t="shared" si="36"/>
        <v>7.0151602947478429</v>
      </c>
      <c r="AE52" s="2">
        <f t="shared" si="36"/>
        <v>7.0656226306516308</v>
      </c>
      <c r="AF52" s="2">
        <f t="shared" si="36"/>
        <v>7.1918047493450219</v>
      </c>
      <c r="AG52" s="2">
        <f t="shared" si="29"/>
        <v>7.3772965673719781</v>
      </c>
      <c r="AH52" s="2">
        <f t="shared" si="30"/>
        <v>7.6526765798168466</v>
      </c>
      <c r="AI52" s="2">
        <f t="shared" si="31"/>
        <v>7.9576122601515111</v>
      </c>
      <c r="AJ52" s="2">
        <f t="shared" si="32"/>
        <v>8.2027814708630906</v>
      </c>
      <c r="AK52" s="2">
        <f t="shared" si="33"/>
        <v>7.8076778330333845</v>
      </c>
      <c r="AL52" s="2">
        <f t="shared" si="33"/>
        <v>7.9055475972841958</v>
      </c>
      <c r="AM52" s="2">
        <f t="shared" si="34"/>
        <v>7.5179590096031488</v>
      </c>
      <c r="AP52" s="2">
        <f t="shared" si="19"/>
        <v>0.63840817117438453</v>
      </c>
    </row>
    <row r="53" spans="1:42" x14ac:dyDescent="0.25">
      <c r="A53" s="4">
        <v>4.7</v>
      </c>
      <c r="B53" s="2">
        <v>3.7799022312643501E-8</v>
      </c>
      <c r="C53" s="2">
        <v>2.3573039985485798E-6</v>
      </c>
      <c r="D53" s="2">
        <v>1.47429940397924E-4</v>
      </c>
      <c r="E53" s="2">
        <v>3.59699153235837E-3</v>
      </c>
      <c r="F53" s="2">
        <v>3.3434247093991801E-2</v>
      </c>
      <c r="G53" s="2">
        <v>0.24893821883643999</v>
      </c>
      <c r="H53" s="2">
        <v>0.76053270532952499</v>
      </c>
      <c r="I53" s="2">
        <v>0.96818507346105798</v>
      </c>
      <c r="J53" s="2">
        <v>0.98536059626123396</v>
      </c>
      <c r="K53" s="2">
        <v>0.991595347289708</v>
      </c>
      <c r="N53" s="4">
        <v>1.8</v>
      </c>
      <c r="O53" s="2">
        <f t="shared" si="20"/>
        <v>6.3034625629499939</v>
      </c>
      <c r="P53" s="2">
        <f t="shared" si="21"/>
        <v>6.3168303632104337</v>
      </c>
      <c r="Q53" s="2">
        <f t="shared" si="22"/>
        <v>6.3799288173604412</v>
      </c>
      <c r="R53" s="2">
        <f t="shared" si="23"/>
        <v>8.5</v>
      </c>
      <c r="S53" s="2">
        <f t="shared" si="24"/>
        <v>8.5</v>
      </c>
      <c r="T53" s="2">
        <f t="shared" si="25"/>
        <v>8.5</v>
      </c>
      <c r="U53" s="2">
        <f t="shared" si="26"/>
        <v>8.5</v>
      </c>
      <c r="V53" s="2">
        <f t="shared" si="27"/>
        <v>8.5</v>
      </c>
      <c r="W53" s="2">
        <f t="shared" si="35"/>
        <v>8.5</v>
      </c>
      <c r="X53" s="2">
        <f t="shared" si="35"/>
        <v>8.5</v>
      </c>
      <c r="Y53" s="2">
        <f t="shared" si="28"/>
        <v>7.8500221743520866</v>
      </c>
      <c r="AB53" s="4">
        <v>1.8</v>
      </c>
      <c r="AC53" s="2">
        <f t="shared" si="36"/>
        <v>7.0023608383749956</v>
      </c>
      <c r="AD53" s="2">
        <f t="shared" si="36"/>
        <v>7.0114752476434781</v>
      </c>
      <c r="AE53" s="2">
        <f t="shared" si="36"/>
        <v>7.0544969209275736</v>
      </c>
      <c r="AF53" s="2">
        <f t="shared" si="36"/>
        <v>7.1717563696250242</v>
      </c>
      <c r="AG53" s="2">
        <f t="shared" si="29"/>
        <v>7.3558928123398406</v>
      </c>
      <c r="AH53" s="2">
        <f t="shared" si="30"/>
        <v>7.6420187342407822</v>
      </c>
      <c r="AI53" s="2">
        <f t="shared" si="31"/>
        <v>7.9642974376305089</v>
      </c>
      <c r="AJ53" s="2">
        <f t="shared" si="32"/>
        <v>8.2185829452032948</v>
      </c>
      <c r="AK53" s="2">
        <f t="shared" ref="AK53:AL55" si="37">J24*($AI$35+2)+(1-J24)*(5)</f>
        <v>7.8578917524260499</v>
      </c>
      <c r="AL53" s="2">
        <f t="shared" si="37"/>
        <v>7.955778153923287</v>
      </c>
      <c r="AM53" s="2">
        <f t="shared" si="34"/>
        <v>7.5234551212334839</v>
      </c>
      <c r="AP53" s="2">
        <f t="shared" si="19"/>
        <v>0.642864955992686</v>
      </c>
    </row>
    <row r="54" spans="1:42" x14ac:dyDescent="0.25">
      <c r="A54" s="4">
        <v>4.8</v>
      </c>
      <c r="B54" s="2">
        <v>2.6273888641203701E-8</v>
      </c>
      <c r="C54" s="2">
        <v>1.7868724031755399E-6</v>
      </c>
      <c r="D54" s="2">
        <v>1.2203478888025601E-4</v>
      </c>
      <c r="E54" s="2">
        <v>3.1877414115787399E-3</v>
      </c>
      <c r="F54" s="2">
        <v>3.1140612048021699E-2</v>
      </c>
      <c r="G54" s="2">
        <v>0.24416783526271199</v>
      </c>
      <c r="H54" s="2">
        <v>0.76453034325284897</v>
      </c>
      <c r="I54" s="2">
        <v>0.97026726157473597</v>
      </c>
      <c r="J54" s="2">
        <v>0.98662439416541803</v>
      </c>
      <c r="K54" s="2">
        <v>0.99241752612751699</v>
      </c>
      <c r="N54" s="4">
        <v>1.9</v>
      </c>
      <c r="O54" s="2">
        <f t="shared" si="20"/>
        <v>6.3023964533263888</v>
      </c>
      <c r="P54" s="2">
        <f t="shared" si="21"/>
        <v>6.3127316195098127</v>
      </c>
      <c r="Q54" s="2">
        <f t="shared" si="22"/>
        <v>6.3662945744728816</v>
      </c>
      <c r="R54" s="2">
        <f t="shared" si="23"/>
        <v>8.5</v>
      </c>
      <c r="S54" s="2">
        <f t="shared" si="24"/>
        <v>8.5</v>
      </c>
      <c r="T54" s="2">
        <f t="shared" si="25"/>
        <v>8.5</v>
      </c>
      <c r="U54" s="2">
        <f t="shared" si="26"/>
        <v>8.5</v>
      </c>
      <c r="V54" s="2">
        <f t="shared" si="27"/>
        <v>8.5</v>
      </c>
      <c r="W54" s="2">
        <f t="shared" si="35"/>
        <v>8.5</v>
      </c>
      <c r="X54" s="2">
        <f t="shared" si="35"/>
        <v>8.5</v>
      </c>
      <c r="Y54" s="2">
        <f t="shared" si="28"/>
        <v>7.8481422647309076</v>
      </c>
      <c r="AB54" s="4">
        <v>1.9</v>
      </c>
      <c r="AC54" s="2">
        <f t="shared" si="36"/>
        <v>7.0016339454498109</v>
      </c>
      <c r="AD54" s="2">
        <f t="shared" si="36"/>
        <v>7.0086806496657807</v>
      </c>
      <c r="AE54" s="2">
        <f t="shared" si="36"/>
        <v>7.045200846231511</v>
      </c>
      <c r="AF54" s="2">
        <f t="shared" si="36"/>
        <v>7.1535595949621378</v>
      </c>
      <c r="AG54" s="2">
        <f t="shared" si="29"/>
        <v>7.3353005917409249</v>
      </c>
      <c r="AH54" s="2">
        <f t="shared" si="30"/>
        <v>7.6312874904321788</v>
      </c>
      <c r="AI54" s="2">
        <f t="shared" si="31"/>
        <v>7.9707777752102142</v>
      </c>
      <c r="AJ54" s="2">
        <f t="shared" si="32"/>
        <v>8.2335860026013314</v>
      </c>
      <c r="AK54" s="2">
        <f t="shared" si="37"/>
        <v>7.905522484514548</v>
      </c>
      <c r="AL54" s="2">
        <f t="shared" si="37"/>
        <v>8.0027725247128245</v>
      </c>
      <c r="AM54" s="2">
        <f t="shared" si="34"/>
        <v>7.5288321905521274</v>
      </c>
      <c r="AP54" s="2">
        <f t="shared" si="19"/>
        <v>0.64718518094781829</v>
      </c>
    </row>
    <row r="55" spans="1:42" x14ac:dyDescent="0.25">
      <c r="A55" s="4">
        <v>4.9000000000000004</v>
      </c>
      <c r="B55" s="2">
        <v>1.82750818020309E-8</v>
      </c>
      <c r="C55" s="2">
        <v>1.35458798897059E-6</v>
      </c>
      <c r="D55" s="2">
        <v>1.01021457887319E-4</v>
      </c>
      <c r="E55" s="2">
        <v>2.82516178501163E-3</v>
      </c>
      <c r="F55" s="2">
        <v>2.9002378287790599E-2</v>
      </c>
      <c r="G55" s="2">
        <v>0.23948012013794501</v>
      </c>
      <c r="H55" s="2">
        <v>0.76850387992483205</v>
      </c>
      <c r="I55" s="2">
        <v>0.97222083884079002</v>
      </c>
      <c r="J55" s="2">
        <v>0.98777910972723204</v>
      </c>
      <c r="K55" s="2">
        <v>0.99315898012843595</v>
      </c>
      <c r="N55" s="4">
        <v>2</v>
      </c>
      <c r="O55" s="2">
        <f t="shared" si="20"/>
        <v>6.3016582936715526</v>
      </c>
      <c r="P55" s="2">
        <f t="shared" si="21"/>
        <v>6.3096269416032245</v>
      </c>
      <c r="Q55" s="2">
        <f t="shared" si="22"/>
        <v>6.354930755263128</v>
      </c>
      <c r="R55" s="2">
        <f t="shared" si="35"/>
        <v>8.5</v>
      </c>
      <c r="S55" s="2">
        <f t="shared" si="35"/>
        <v>8.5</v>
      </c>
      <c r="T55" s="2">
        <f t="shared" si="35"/>
        <v>8.5</v>
      </c>
      <c r="U55" s="2">
        <f t="shared" si="35"/>
        <v>8.5</v>
      </c>
      <c r="V55" s="2">
        <f t="shared" si="35"/>
        <v>8.5</v>
      </c>
      <c r="W55" s="2">
        <f t="shared" si="35"/>
        <v>8.5</v>
      </c>
      <c r="X55" s="2">
        <f t="shared" si="35"/>
        <v>8.5</v>
      </c>
      <c r="Y55" s="2">
        <f t="shared" si="28"/>
        <v>7.8466215990537904</v>
      </c>
      <c r="AB55" s="4">
        <v>2</v>
      </c>
      <c r="AC55" s="2">
        <f t="shared" si="36"/>
        <v>7.001130654776059</v>
      </c>
      <c r="AD55" s="2">
        <f t="shared" si="36"/>
        <v>7.0065638238203807</v>
      </c>
      <c r="AE55" s="2">
        <f t="shared" si="36"/>
        <v>7.0374527876794053</v>
      </c>
      <c r="AF55" s="2">
        <f t="shared" si="36"/>
        <v>7.1370981909099314</v>
      </c>
      <c r="AG55" s="2">
        <f t="shared" si="29"/>
        <v>7.3155485665738986</v>
      </c>
      <c r="AH55" s="2">
        <f t="shared" si="30"/>
        <v>7.6205207836952251</v>
      </c>
      <c r="AI55" s="2">
        <f t="shared" si="31"/>
        <v>7.9770938650996719</v>
      </c>
      <c r="AJ55" s="2">
        <f t="shared" si="32"/>
        <v>8.2478456221898711</v>
      </c>
      <c r="AK55" s="2">
        <f t="shared" si="37"/>
        <v>7.9505166773149369</v>
      </c>
      <c r="AL55" s="2">
        <f t="shared" si="37"/>
        <v>8.0465413313070151</v>
      </c>
      <c r="AM55" s="2">
        <f t="shared" si="34"/>
        <v>7.5340312303366392</v>
      </c>
      <c r="AP55" s="2">
        <f t="shared" si="19"/>
        <v>0.65139590751529786</v>
      </c>
    </row>
    <row r="56" spans="1:42" x14ac:dyDescent="0.25">
      <c r="A56" s="4">
        <v>5</v>
      </c>
      <c r="B56" s="2">
        <v>1.2723168276034299E-8</v>
      </c>
      <c r="C56" s="2">
        <v>1.02696374504671E-6</v>
      </c>
      <c r="D56" s="2">
        <v>8.3632231015851293E-5</v>
      </c>
      <c r="E56" s="2">
        <v>2.5039177838415299E-3</v>
      </c>
      <c r="F56" s="2">
        <v>2.7009301389674101E-2</v>
      </c>
      <c r="G56" s="2">
        <v>0.23487337583245901</v>
      </c>
      <c r="H56" s="2">
        <v>0.77245111416332501</v>
      </c>
      <c r="I56" s="2">
        <v>0.97405280608919098</v>
      </c>
      <c r="J56" s="2">
        <v>0.98883412252610503</v>
      </c>
      <c r="K56" s="2">
        <v>0.99382766126396604</v>
      </c>
    </row>
    <row r="57" spans="1:42" x14ac:dyDescent="0.25">
      <c r="A57" s="4">
        <v>5.0999999999999996</v>
      </c>
      <c r="B57" s="2">
        <v>8.8693078016716795E-9</v>
      </c>
      <c r="C57" s="2">
        <v>7.7863879186843E-7</v>
      </c>
      <c r="D57" s="2">
        <v>6.9240777617147399E-5</v>
      </c>
      <c r="E57" s="2">
        <v>2.2192851141022698E-3</v>
      </c>
      <c r="F57" s="2">
        <v>2.5151768555036799E-2</v>
      </c>
      <c r="G57" s="2">
        <v>0.230345967375748</v>
      </c>
      <c r="H57" s="2">
        <v>0.77636997175348399</v>
      </c>
      <c r="I57" s="2">
        <v>0.97576989703254102</v>
      </c>
      <c r="J57" s="2">
        <v>0.98979801769666997</v>
      </c>
      <c r="K57" s="2">
        <v>0.994430738698172</v>
      </c>
      <c r="R57" s="11" t="s">
        <v>32</v>
      </c>
      <c r="S57" s="12"/>
    </row>
    <row r="58" spans="1:42" x14ac:dyDescent="0.25">
      <c r="A58" s="4">
        <v>5.2</v>
      </c>
      <c r="B58" s="2">
        <v>6.1939444623108302E-9</v>
      </c>
      <c r="C58" s="2">
        <v>5.9040390545386299E-7</v>
      </c>
      <c r="D58" s="2">
        <v>5.7329295186954401E-5</v>
      </c>
      <c r="E58" s="2">
        <v>1.96708038172914E-3</v>
      </c>
      <c r="F58" s="2">
        <v>2.3420766801961802E-2</v>
      </c>
      <c r="G58" s="2">
        <v>0.225896322895905</v>
      </c>
      <c r="H58" s="2">
        <v>0.78025850626551596</v>
      </c>
      <c r="I58" s="2">
        <v>0.97737857454343702</v>
      </c>
      <c r="J58" s="2">
        <v>0.99067865001127298</v>
      </c>
      <c r="K58" s="2">
        <v>0.99497467473635204</v>
      </c>
      <c r="Q58" s="10" t="s">
        <v>0</v>
      </c>
      <c r="R58" s="2" t="s">
        <v>33</v>
      </c>
      <c r="S58" s="2" t="s">
        <v>34</v>
      </c>
    </row>
    <row r="59" spans="1:42" x14ac:dyDescent="0.25">
      <c r="A59" s="4">
        <v>5.3</v>
      </c>
      <c r="B59" s="2">
        <v>4.3365641316598303E-9</v>
      </c>
      <c r="C59" s="2">
        <v>4.4770752309987201E-7</v>
      </c>
      <c r="D59" s="2">
        <v>4.7469643532959102E-5</v>
      </c>
      <c r="E59" s="2">
        <v>1.74359925479095E-3</v>
      </c>
      <c r="F59" s="2">
        <v>2.1807851481584501E-2</v>
      </c>
      <c r="G59" s="2">
        <v>0.221522933084247</v>
      </c>
      <c r="H59" s="2">
        <v>0.78411489864278106</v>
      </c>
      <c r="I59" s="2">
        <v>0.97888502896393004</v>
      </c>
      <c r="J59" s="2">
        <v>0.99148320357697295</v>
      </c>
      <c r="K59" s="2">
        <v>0.99546529381154203</v>
      </c>
      <c r="Q59" s="4">
        <v>0.1</v>
      </c>
      <c r="R59" s="2">
        <f t="shared" ref="R59:R78" si="38">Y7-AM7</f>
        <v>0.14624482638054115</v>
      </c>
      <c r="S59" s="2">
        <f>AM36-Y36</f>
        <v>-0.59102857430062272</v>
      </c>
    </row>
    <row r="60" spans="1:42" x14ac:dyDescent="0.25">
      <c r="A60" s="4">
        <v>5.4</v>
      </c>
      <c r="B60" s="2">
        <v>3.0469846590489398E-9</v>
      </c>
      <c r="C60" s="2">
        <v>3.3952510266247002E-7</v>
      </c>
      <c r="D60" s="2">
        <v>3.9307770836832402E-5</v>
      </c>
      <c r="E60" s="2">
        <v>1.5455616195104501E-3</v>
      </c>
      <c r="F60" s="2">
        <v>2.03051153995513E-2</v>
      </c>
      <c r="G60" s="2">
        <v>0.217224349904795</v>
      </c>
      <c r="H60" s="2">
        <v>0.78793745579330499</v>
      </c>
      <c r="I60" s="2">
        <v>0.98029517826575796</v>
      </c>
      <c r="J60" s="2">
        <v>0.99221824725580099</v>
      </c>
      <c r="K60" s="2">
        <v>0.99590784502878305</v>
      </c>
      <c r="Q60" s="4">
        <v>0.2</v>
      </c>
      <c r="R60" s="2">
        <f t="shared" si="38"/>
        <v>0.11315189130568193</v>
      </c>
      <c r="S60" s="2">
        <f t="shared" ref="S60:S71" si="39">AM37-Y37</f>
        <v>-0.56353673291214257</v>
      </c>
    </row>
    <row r="61" spans="1:42" x14ac:dyDescent="0.25">
      <c r="A61" s="4">
        <v>5.5</v>
      </c>
      <c r="B61" s="2">
        <v>2.1515732843385701E-9</v>
      </c>
      <c r="C61" s="2">
        <v>2.5750331659340702E-7</v>
      </c>
      <c r="D61" s="2">
        <v>3.2550854852105002E-5</v>
      </c>
      <c r="E61" s="2">
        <v>1.37006296627583E-3</v>
      </c>
      <c r="F61" s="2">
        <v>1.8905158753968601E-2</v>
      </c>
      <c r="G61" s="2">
        <v>0.21299918472993201</v>
      </c>
      <c r="H61" s="2">
        <v>0.79172460838057601</v>
      </c>
      <c r="I61" s="2">
        <v>0.98161466986764301</v>
      </c>
      <c r="J61" s="2">
        <v>0.99288978596794697</v>
      </c>
      <c r="K61" s="2">
        <v>0.99630705878147596</v>
      </c>
      <c r="Q61" s="4">
        <v>0.3</v>
      </c>
      <c r="R61" s="2">
        <f t="shared" si="38"/>
        <v>8.1441036995036242E-2</v>
      </c>
      <c r="S61" s="2">
        <f t="shared" si="39"/>
        <v>-0.53779297018629002</v>
      </c>
    </row>
    <row r="62" spans="1:42" x14ac:dyDescent="0.25">
      <c r="A62" s="4">
        <v>5.6</v>
      </c>
      <c r="B62" s="2">
        <v>1.5298137282302299E-9</v>
      </c>
      <c r="C62" s="2">
        <v>1.9531216783160799E-7</v>
      </c>
      <c r="D62" s="2">
        <v>2.6956683918125499E-5</v>
      </c>
      <c r="E62" s="2">
        <v>1.21453131712146E-3</v>
      </c>
      <c r="F62" s="2">
        <v>1.76010600450268E-2</v>
      </c>
      <c r="G62" s="2">
        <v>0.208846106051225</v>
      </c>
      <c r="H62" s="2">
        <v>0.79547490797809906</v>
      </c>
      <c r="I62" s="2">
        <v>0.98284888391207803</v>
      </c>
      <c r="J62" s="2">
        <v>0.993503308071221</v>
      </c>
      <c r="K62" s="2">
        <v>0.99666719793764402</v>
      </c>
      <c r="Q62" s="4">
        <v>0.4</v>
      </c>
      <c r="R62" s="2">
        <f t="shared" si="38"/>
        <v>5.171663032396534E-2</v>
      </c>
      <c r="S62" s="2">
        <f t="shared" si="39"/>
        <v>-0.51396976254188687</v>
      </c>
    </row>
    <row r="63" spans="1:42" x14ac:dyDescent="0.25">
      <c r="A63" s="4">
        <v>5.7</v>
      </c>
      <c r="B63" s="2">
        <v>1.09805020791684E-9</v>
      </c>
      <c r="C63" s="2">
        <v>1.4815443561421099E-7</v>
      </c>
      <c r="D63" s="2">
        <v>2.23248860275381E-5</v>
      </c>
      <c r="E63" s="2">
        <v>1.0766890763389101E-3</v>
      </c>
      <c r="F63" s="2">
        <v>1.63863480660674E-2</v>
      </c>
      <c r="G63" s="2">
        <v>0.204763836887532</v>
      </c>
      <c r="H63" s="2">
        <v>0.79918702372596595</v>
      </c>
      <c r="I63" s="2">
        <v>0.98400293780651304</v>
      </c>
      <c r="J63" s="2">
        <v>0.99406382903049795</v>
      </c>
      <c r="K63" s="2">
        <v>0.99699210407019201</v>
      </c>
      <c r="Q63" s="4">
        <v>0.5</v>
      </c>
      <c r="R63" s="2">
        <f t="shared" si="38"/>
        <v>2.4376137672600606E-2</v>
      </c>
      <c r="S63" s="2">
        <f t="shared" si="39"/>
        <v>-0.49211752004635123</v>
      </c>
    </row>
    <row r="64" spans="1:42" x14ac:dyDescent="0.25">
      <c r="A64" s="4">
        <v>5.8</v>
      </c>
      <c r="B64" s="2">
        <v>7.9820894858591701E-10</v>
      </c>
      <c r="C64" s="2">
        <v>1.1239419104195699E-7</v>
      </c>
      <c r="D64" s="2">
        <v>1.8489683006764101E-5</v>
      </c>
      <c r="E64" s="2">
        <v>9.5451925060735098E-4</v>
      </c>
      <c r="F64" s="2">
        <v>1.5254975049334801E-2</v>
      </c>
      <c r="G64" s="2">
        <v>0.20075115198996801</v>
      </c>
      <c r="H64" s="2">
        <v>0.80285973860554705</v>
      </c>
      <c r="I64" s="2">
        <v>0.98508169184097605</v>
      </c>
      <c r="J64" s="2">
        <v>0.99457593160135604</v>
      </c>
      <c r="K64" s="2">
        <v>0.99728523917720502</v>
      </c>
      <c r="Q64" s="4">
        <v>0.6</v>
      </c>
      <c r="R64" s="2">
        <f t="shared" si="38"/>
        <v>-4.165861676561633E-4</v>
      </c>
      <c r="S64" s="2">
        <f t="shared" si="39"/>
        <v>-0.4721723364635011</v>
      </c>
    </row>
    <row r="65" spans="1:19" x14ac:dyDescent="0.25">
      <c r="A65" s="4">
        <v>5.9</v>
      </c>
      <c r="B65" s="2">
        <v>5.8997225150365995E-10</v>
      </c>
      <c r="C65" s="2">
        <v>8.5275442093741602E-8</v>
      </c>
      <c r="D65" s="2">
        <v>1.53139035548329E-5</v>
      </c>
      <c r="E65" s="2">
        <v>8.4623554422220005E-4</v>
      </c>
      <c r="F65" s="2">
        <v>1.4201291010455299E-2</v>
      </c>
      <c r="G65" s="2">
        <v>0.19680687492454799</v>
      </c>
      <c r="H65" s="2">
        <v>0.806491945429752</v>
      </c>
      <c r="I65" s="2">
        <v>0.986089755704468</v>
      </c>
      <c r="J65" s="2">
        <v>0.99504380275531001</v>
      </c>
      <c r="K65" s="2">
        <v>0.99754972330803804</v>
      </c>
      <c r="Q65" s="4">
        <v>0.7</v>
      </c>
      <c r="R65" s="2">
        <f t="shared" si="38"/>
        <v>-2.2697676594691352E-2</v>
      </c>
      <c r="S65" s="2">
        <f t="shared" si="39"/>
        <v>-0.45398894374893484</v>
      </c>
    </row>
    <row r="66" spans="1:19" x14ac:dyDescent="0.25">
      <c r="A66" s="4">
        <v>6</v>
      </c>
      <c r="B66" s="2">
        <v>5.6176301103345195E-10</v>
      </c>
      <c r="C66" s="2">
        <v>6.4825432645249601E-8</v>
      </c>
      <c r="D66" s="2">
        <v>1.2684152898147899E-5</v>
      </c>
      <c r="E66" s="2">
        <v>7.5025605170146801E-4</v>
      </c>
      <c r="F66" s="2">
        <v>1.3220019938169399E-2</v>
      </c>
      <c r="G66" s="2">
        <v>0.19292987770159101</v>
      </c>
      <c r="H66" s="2">
        <v>0.810082641896124</v>
      </c>
      <c r="I66" s="2">
        <v>0.98703149531491396</v>
      </c>
      <c r="J66" s="2">
        <v>0.99547126712671297</v>
      </c>
      <c r="K66" s="2">
        <v>0.99778836817987004</v>
      </c>
      <c r="Q66" s="4">
        <v>0.8</v>
      </c>
      <c r="R66" s="2">
        <f t="shared" si="38"/>
        <v>-4.2638281164677494E-2</v>
      </c>
      <c r="S66" s="2">
        <f t="shared" si="39"/>
        <v>-0.43738144063259909</v>
      </c>
    </row>
    <row r="67" spans="1:19" x14ac:dyDescent="0.25">
      <c r="A67" s="4">
        <v>6.1</v>
      </c>
      <c r="B67" s="2">
        <v>4.6131424073982998E-10</v>
      </c>
      <c r="C67" s="2">
        <v>4.9227508589603499E-8</v>
      </c>
      <c r="D67" s="2">
        <v>1.05062538998582E-5</v>
      </c>
      <c r="E67" s="2">
        <v>6.6517917292703598E-4</v>
      </c>
      <c r="F67" s="2">
        <v>1.23062340434919E-2</v>
      </c>
      <c r="G67" s="2">
        <v>0.18911906731629599</v>
      </c>
      <c r="H67" s="2">
        <v>0.81363092915242896</v>
      </c>
      <c r="I67" s="2">
        <v>0.98791104234869298</v>
      </c>
      <c r="J67" s="2">
        <v>0.99586181990243305</v>
      </c>
      <c r="K67" s="2">
        <v>0.99800370895763901</v>
      </c>
      <c r="Q67" s="4">
        <v>0.9</v>
      </c>
      <c r="R67" s="2">
        <f t="shared" si="38"/>
        <v>-6.0478193183564066E-2</v>
      </c>
      <c r="S67" s="2">
        <f t="shared" si="39"/>
        <v>-0.42215762884571451</v>
      </c>
    </row>
    <row r="68" spans="1:19" x14ac:dyDescent="0.25">
      <c r="A68" s="4">
        <v>6.2</v>
      </c>
      <c r="B68" s="2">
        <v>3.9154508613454199E-10</v>
      </c>
      <c r="C68" s="2">
        <v>3.7397311467332301E-8</v>
      </c>
      <c r="D68" s="2">
        <v>8.7025708018033902E-6</v>
      </c>
      <c r="E68" s="2">
        <v>5.8976387280526999E-4</v>
      </c>
      <c r="F68" s="2">
        <v>1.1455335617150101E-2</v>
      </c>
      <c r="G68" s="2">
        <v>0.18537339862827401</v>
      </c>
      <c r="H68" s="2">
        <v>0.81713600304485601</v>
      </c>
      <c r="I68" s="2">
        <v>0.988732299943611</v>
      </c>
      <c r="J68" s="2">
        <v>0.99621865253032904</v>
      </c>
      <c r="K68" s="2">
        <v>0.99819802992329998</v>
      </c>
      <c r="Q68" s="4">
        <v>1</v>
      </c>
      <c r="R68" s="2">
        <f t="shared" si="38"/>
        <v>-7.6475058352578174E-2</v>
      </c>
      <c r="S68" s="2">
        <f t="shared" si="39"/>
        <v>-0.40814110603465803</v>
      </c>
    </row>
    <row r="69" spans="1:19" x14ac:dyDescent="0.25">
      <c r="A69" s="4">
        <v>6.3</v>
      </c>
      <c r="B69" s="2">
        <v>3.4308351695226201E-10</v>
      </c>
      <c r="C69" s="2">
        <v>2.8424403583532601E-8</v>
      </c>
      <c r="D69" s="2">
        <v>7.2087442983859401E-6</v>
      </c>
      <c r="E69" s="2">
        <v>5.22910663525405E-4</v>
      </c>
      <c r="F69" s="2">
        <v>1.06630336023291E-2</v>
      </c>
      <c r="G69" s="2">
        <v>0.18169186086570299</v>
      </c>
      <c r="H69" s="2">
        <v>0.82059715251909804</v>
      </c>
      <c r="I69" s="2">
        <v>0.98949895303197799</v>
      </c>
      <c r="J69" s="2">
        <v>0.99654468067216095</v>
      </c>
      <c r="K69" s="2">
        <v>0.99837339053083896</v>
      </c>
      <c r="Q69" s="4">
        <v>1.1000000000000001</v>
      </c>
      <c r="R69" s="2">
        <f t="shared" si="38"/>
        <v>-9.0872991426594218E-2</v>
      </c>
      <c r="S69" s="2">
        <f t="shared" si="39"/>
        <v>-0.3951817585080093</v>
      </c>
    </row>
    <row r="70" spans="1:19" x14ac:dyDescent="0.25">
      <c r="A70" s="4">
        <v>6.4</v>
      </c>
      <c r="B70" s="2">
        <v>3.0942107980050901E-10</v>
      </c>
      <c r="C70" s="2">
        <v>2.1618444744655402E-8</v>
      </c>
      <c r="D70" s="2">
        <v>5.9714976873800799E-6</v>
      </c>
      <c r="E70" s="2">
        <v>4.6364553463603097E-4</v>
      </c>
      <c r="F70" s="2">
        <v>9.92532460087521E-3</v>
      </c>
      <c r="G70" s="2">
        <v>0.17807347751948799</v>
      </c>
      <c r="H70" s="2">
        <v>0.82401375446978498</v>
      </c>
      <c r="I70" s="2">
        <v>0.99021447671305296</v>
      </c>
      <c r="J70" s="2">
        <v>0.99684256758379297</v>
      </c>
      <c r="K70" s="2">
        <v>0.998531647409582</v>
      </c>
      <c r="Q70" s="4">
        <v>1.2</v>
      </c>
      <c r="R70" s="2">
        <f t="shared" si="38"/>
        <v>-0.10388720919432792</v>
      </c>
      <c r="S70" s="2">
        <f t="shared" si="39"/>
        <v>-0.38315804987942936</v>
      </c>
    </row>
    <row r="71" spans="1:19" x14ac:dyDescent="0.25">
      <c r="A71" s="4">
        <v>6.5</v>
      </c>
      <c r="B71" s="2">
        <v>2.8603773249305702E-10</v>
      </c>
      <c r="C71" s="2">
        <v>1.6455954794693501E-8</v>
      </c>
      <c r="D71" s="2">
        <v>4.9467253003656704E-6</v>
      </c>
      <c r="E71" s="2">
        <v>4.1110558187769201E-4</v>
      </c>
      <c r="F71" s="2">
        <v>9.2384743367592108E-3</v>
      </c>
      <c r="G71" s="2">
        <v>0.174517303674598</v>
      </c>
      <c r="H71" s="2">
        <v>0.82738526933694001</v>
      </c>
      <c r="I71" s="2">
        <v>0.99088214518118301</v>
      </c>
      <c r="J71" s="2">
        <v>0.99711474594008598</v>
      </c>
      <c r="K71" s="2">
        <v>0.99867447446537605</v>
      </c>
      <c r="Q71" s="4">
        <v>1.3</v>
      </c>
      <c r="R71" s="2">
        <f t="shared" si="38"/>
        <v>-0.11569938407046187</v>
      </c>
      <c r="S71" s="2">
        <f t="shared" si="39"/>
        <v>-0.37197458613010426</v>
      </c>
    </row>
    <row r="72" spans="1:19" x14ac:dyDescent="0.25">
      <c r="A72" s="4">
        <v>6.6</v>
      </c>
      <c r="B72" s="2">
        <v>2.6979422225668498E-10</v>
      </c>
      <c r="C72" s="2">
        <v>1.253996187817E-8</v>
      </c>
      <c r="D72" s="2">
        <v>4.09791136343981E-6</v>
      </c>
      <c r="E72" s="2">
        <v>3.6452628836308601E-4</v>
      </c>
      <c r="F72" s="2">
        <v>8.5990001992675893E-3</v>
      </c>
      <c r="G72" s="2">
        <v>0.17102242346716101</v>
      </c>
      <c r="H72" s="2">
        <v>0.83071123677004399</v>
      </c>
      <c r="I72" s="2">
        <v>0.991505040688067</v>
      </c>
      <c r="J72" s="2">
        <v>0.99736343779078596</v>
      </c>
      <c r="K72" s="2">
        <v>0.99880338097853405</v>
      </c>
      <c r="Q72" s="4">
        <v>1.4</v>
      </c>
      <c r="R72" s="2">
        <f t="shared" si="38"/>
        <v>-0.12645903428875549</v>
      </c>
      <c r="S72" s="2">
        <f>AM49-Y49</f>
        <v>-0.36155759091932804</v>
      </c>
    </row>
    <row r="73" spans="1:19" x14ac:dyDescent="0.25">
      <c r="A73" s="4">
        <v>6.7</v>
      </c>
      <c r="B73" s="2">
        <v>2.5851019099901398E-10</v>
      </c>
      <c r="C73" s="2">
        <v>9.5694150134371895E-9</v>
      </c>
      <c r="D73" s="2">
        <v>3.39482201042249E-6</v>
      </c>
      <c r="E73" s="2">
        <v>3.2323026759983398E-4</v>
      </c>
      <c r="F73" s="2">
        <v>8.0036548219880599E-3</v>
      </c>
      <c r="G73" s="2">
        <v>0.16758794767661001</v>
      </c>
      <c r="H73" s="2">
        <v>0.83399127138083295</v>
      </c>
      <c r="I73" s="2">
        <v>0.99208606246797304</v>
      </c>
      <c r="J73" s="2">
        <v>0.99759067280181302</v>
      </c>
      <c r="K73" s="2">
        <v>0.99891972789799099</v>
      </c>
      <c r="Q73" s="4">
        <v>1.5</v>
      </c>
      <c r="R73" s="2">
        <f t="shared" si="38"/>
        <v>-0.13628776712553314</v>
      </c>
      <c r="S73" s="2">
        <f>AM50-Y50</f>
        <v>-0.3518498736349045</v>
      </c>
    </row>
    <row r="74" spans="1:19" x14ac:dyDescent="0.25">
      <c r="A74" s="4">
        <v>6.8</v>
      </c>
      <c r="B74" s="2">
        <v>2.50671220493606E-10</v>
      </c>
      <c r="C74" s="2">
        <v>7.3159964257186496E-9</v>
      </c>
      <c r="D74" s="2">
        <v>2.8124231347840999E-6</v>
      </c>
      <c r="E74" s="2">
        <v>2.8661729977088799E-4</v>
      </c>
      <c r="F74" s="2">
        <v>7.4494106518832696E-3</v>
      </c>
      <c r="G74" s="2">
        <v>0.16421301145876899</v>
      </c>
      <c r="H74" s="2">
        <v>0.83722505860158403</v>
      </c>
      <c r="I74" s="2">
        <v>0.99262793556554496</v>
      </c>
      <c r="J74" s="2">
        <v>0.99779830492509503</v>
      </c>
      <c r="K74" s="2">
        <v>0.99902474251172102</v>
      </c>
      <c r="Q74" s="4">
        <v>1.6</v>
      </c>
      <c r="R74" s="2">
        <f t="shared" si="38"/>
        <v>-0.14528439045621244</v>
      </c>
      <c r="S74" s="2">
        <f t="shared" ref="S74:S78" si="40">AM51-Y51</f>
        <v>-0.342806179981336</v>
      </c>
    </row>
    <row r="75" spans="1:19" x14ac:dyDescent="0.25">
      <c r="A75" s="4">
        <v>6.9</v>
      </c>
      <c r="B75" s="2">
        <v>2.4522539949522898E-10</v>
      </c>
      <c r="C75" s="2">
        <v>5.6065422184309396E-9</v>
      </c>
      <c r="D75" s="2">
        <v>2.3299849895990799E-6</v>
      </c>
      <c r="E75" s="2">
        <v>2.54155512124208E-4</v>
      </c>
      <c r="F75" s="2">
        <v>6.9334454618815104E-3</v>
      </c>
      <c r="G75" s="2">
        <v>0.160896772222895</v>
      </c>
      <c r="H75" s="2">
        <v>0.84041235066187703</v>
      </c>
      <c r="I75" s="2">
        <v>0.993133219515691</v>
      </c>
      <c r="J75" s="2">
        <v>0.997988027629231</v>
      </c>
      <c r="K75" s="2">
        <v>0.99911953165575795</v>
      </c>
      <c r="Q75" s="4">
        <v>1.7</v>
      </c>
      <c r="R75" s="2">
        <f t="shared" si="38"/>
        <v>-0.1535298550142441</v>
      </c>
      <c r="S75" s="2">
        <f t="shared" si="40"/>
        <v>-0.33438930266111999</v>
      </c>
    </row>
    <row r="76" spans="1:19" x14ac:dyDescent="0.25">
      <c r="A76" s="4">
        <v>7</v>
      </c>
      <c r="B76" s="2">
        <v>2.41442049178131E-10</v>
      </c>
      <c r="C76" s="2">
        <v>4.3097140201223099E-9</v>
      </c>
      <c r="D76" s="2">
        <v>1.9303412327321402E-6</v>
      </c>
      <c r="E76" s="2">
        <v>2.25373571543804E-4</v>
      </c>
      <c r="F76" s="2">
        <v>6.45312876024707E-3</v>
      </c>
      <c r="G76" s="2">
        <v>0.15763840765338799</v>
      </c>
      <c r="H76" s="2">
        <v>0.84355296269375701</v>
      </c>
      <c r="I76" s="2">
        <v>0.99360431683391504</v>
      </c>
      <c r="J76" s="2">
        <v>0.99816138781297103</v>
      </c>
      <c r="K76" s="2">
        <v>0.99920509360815202</v>
      </c>
      <c r="Q76" s="4">
        <v>1.8</v>
      </c>
      <c r="R76" s="2">
        <f t="shared" si="38"/>
        <v>-0.16109155220046834</v>
      </c>
      <c r="S76" s="2">
        <f t="shared" si="40"/>
        <v>-0.32656705311860268</v>
      </c>
    </row>
    <row r="77" spans="1:19" x14ac:dyDescent="0.25">
      <c r="A77" s="4">
        <v>7.1</v>
      </c>
      <c r="B77" s="2">
        <v>2.3881360992391198E-10</v>
      </c>
      <c r="C77" s="2">
        <v>3.3258930229071198E-9</v>
      </c>
      <c r="D77" s="2">
        <v>1.5992757189382E-6</v>
      </c>
      <c r="E77" s="2">
        <v>1.99853772621197E-4</v>
      </c>
      <c r="F77" s="2">
        <v>6.0060090503748801E-3</v>
      </c>
      <c r="G77" s="2">
        <v>0.15443711387506201</v>
      </c>
      <c r="H77" s="2">
        <v>0.84664676897244595</v>
      </c>
      <c r="I77" s="2">
        <v>0.99404348128343401</v>
      </c>
      <c r="J77" s="2">
        <v>0.99831979851382402</v>
      </c>
      <c r="K77" s="2">
        <v>0.99928232879955703</v>
      </c>
      <c r="Q77" s="4">
        <v>1.9</v>
      </c>
      <c r="R77" s="2">
        <f t="shared" si="38"/>
        <v>-0.16802678233581236</v>
      </c>
      <c r="S77" s="2">
        <f t="shared" si="40"/>
        <v>-0.31931007417878021</v>
      </c>
    </row>
    <row r="78" spans="1:19" x14ac:dyDescent="0.25">
      <c r="A78" s="4">
        <v>7.2</v>
      </c>
      <c r="B78" s="2">
        <v>2.3698750004636901E-10</v>
      </c>
      <c r="C78" s="2">
        <v>2.5795168937382399E-9</v>
      </c>
      <c r="D78" s="2">
        <v>1.32501496894071E-6</v>
      </c>
      <c r="E78" s="2">
        <v>1.77225918039533E-4</v>
      </c>
      <c r="F78" s="2">
        <v>5.5898018954701001E-3</v>
      </c>
      <c r="G78" s="2">
        <v>0.15129210375936</v>
      </c>
      <c r="H78" s="2">
        <v>0.84969369929750704</v>
      </c>
      <c r="I78" s="2">
        <v>0.99445282589242701</v>
      </c>
      <c r="J78" s="2">
        <v>0.99846455051498895</v>
      </c>
      <c r="K78" s="2">
        <v>0.99935204945906797</v>
      </c>
      <c r="Q78" s="4">
        <v>2</v>
      </c>
      <c r="R78" s="2">
        <f t="shared" si="38"/>
        <v>-0.1743854242018541</v>
      </c>
      <c r="S78" s="2">
        <f t="shared" si="40"/>
        <v>-0.31259036871715118</v>
      </c>
    </row>
    <row r="79" spans="1:19" x14ac:dyDescent="0.25">
      <c r="A79" s="4">
        <v>7.3</v>
      </c>
      <c r="B79" s="2">
        <v>2.3571878858473898E-10</v>
      </c>
      <c r="C79" s="2">
        <v>2.0132687412912498E-9</v>
      </c>
      <c r="D79" s="2">
        <v>1.0978080686497199E-6</v>
      </c>
      <c r="E79" s="2">
        <v>1.57161900018715E-4</v>
      </c>
      <c r="F79" s="2">
        <v>5.2023787436996398E-3</v>
      </c>
      <c r="G79" s="2">
        <v>0.148202605367727</v>
      </c>
      <c r="H79" s="2">
        <v>0.85269373551744798</v>
      </c>
      <c r="I79" s="2">
        <v>0.99483433070101202</v>
      </c>
      <c r="J79" s="2">
        <v>0.99859682294532703</v>
      </c>
      <c r="K79" s="2">
        <v>0.99941498830194198</v>
      </c>
      <c r="Q79" s="1"/>
      <c r="R79" s="9"/>
    </row>
    <row r="80" spans="1:19" x14ac:dyDescent="0.25">
      <c r="A80" s="4">
        <v>7.4</v>
      </c>
      <c r="B80" s="2">
        <v>2.3483732315794401E-10</v>
      </c>
      <c r="C80" s="2">
        <v>1.5836703044900101E-9</v>
      </c>
      <c r="D80" s="2">
        <v>9.0957891023234599E-7</v>
      </c>
      <c r="E80" s="2">
        <v>1.39370902125839E-4</v>
      </c>
      <c r="F80" s="2">
        <v>4.8417564707748601E-3</v>
      </c>
      <c r="G80" s="2">
        <v>0.14516786052751501</v>
      </c>
      <c r="H80" s="2">
        <v>0.85564690819915301</v>
      </c>
      <c r="I80" s="2">
        <v>0.99518985022293704</v>
      </c>
      <c r="J80" s="2">
        <v>0.99871769295922797</v>
      </c>
      <c r="K80" s="2">
        <v>0.99947180635520105</v>
      </c>
      <c r="Q80" s="1"/>
      <c r="R80" s="9"/>
    </row>
    <row r="81" spans="1:18" x14ac:dyDescent="0.25">
      <c r="A81" s="4">
        <v>7.5</v>
      </c>
      <c r="B81" s="2">
        <v>2.3422489708986301E-10</v>
      </c>
      <c r="C81" s="2">
        <v>1.2577398815519101E-9</v>
      </c>
      <c r="D81" s="2">
        <v>7.53638296772508E-7</v>
      </c>
      <c r="E81" s="2">
        <v>1.23595150088387E-4</v>
      </c>
      <c r="F81" s="2">
        <v>4.5060875984630497E-3</v>
      </c>
      <c r="G81" s="2">
        <v>0.142187123535019</v>
      </c>
      <c r="H81" s="2">
        <v>0.85855329344214204</v>
      </c>
      <c r="I81" s="2">
        <v>0.99552112061167597</v>
      </c>
      <c r="J81" s="2">
        <v>0.99882814457590796</v>
      </c>
      <c r="K81" s="2">
        <v>0.99952310000738798</v>
      </c>
      <c r="Q81" s="1"/>
      <c r="R81" s="9"/>
    </row>
    <row r="82" spans="1:18" x14ac:dyDescent="0.25">
      <c r="A82" s="4">
        <v>7.6</v>
      </c>
      <c r="B82" s="2">
        <v>2.3379938925642499E-10</v>
      </c>
      <c r="C82" s="2">
        <v>1.01045763629195E-9</v>
      </c>
      <c r="D82" s="2">
        <v>6.2444558940358695E-7</v>
      </c>
      <c r="E82" s="2">
        <v>1.0960614849865E-4</v>
      </c>
      <c r="F82" s="2">
        <v>4.1936511491832001E-3</v>
      </c>
      <c r="G82" s="2">
        <v>0.13925965997985701</v>
      </c>
      <c r="H82" s="2">
        <v>0.86141300983660396</v>
      </c>
      <c r="I82" s="2">
        <v>0.99582976652468402</v>
      </c>
      <c r="J82" s="2">
        <v>0.99892907675097298</v>
      </c>
      <c r="K82" s="2">
        <v>0.99956940736009103</v>
      </c>
      <c r="Q82" s="1"/>
      <c r="R82" s="9"/>
    </row>
    <row r="83" spans="1:18" x14ac:dyDescent="0.25">
      <c r="A83" s="4">
        <v>7.7</v>
      </c>
      <c r="B83" s="2">
        <v>2.33503746984522E-10</v>
      </c>
      <c r="C83" s="2">
        <v>8.2284315909298699E-10</v>
      </c>
      <c r="D83" s="2">
        <v>5.1741135895639795E-7</v>
      </c>
      <c r="E83" s="2">
        <v>9.7201347591321496E-5</v>
      </c>
      <c r="F83" s="2">
        <v>3.9028440985684199E-3</v>
      </c>
      <c r="G83" s="2">
        <v>0.136384745684479</v>
      </c>
      <c r="H83" s="2">
        <v>0.864226215563211</v>
      </c>
      <c r="I83" s="2">
        <v>0.99611730768296103</v>
      </c>
      <c r="J83" s="2">
        <v>0.99902131074684197</v>
      </c>
      <c r="K83" s="2">
        <v>0.99961121395100805</v>
      </c>
      <c r="Q83" s="1"/>
      <c r="R83" s="9"/>
    </row>
    <row r="84" spans="1:18" x14ac:dyDescent="0.25">
      <c r="A84" s="4">
        <v>7.8</v>
      </c>
      <c r="B84" s="2">
        <v>2.33298332914554E-10</v>
      </c>
      <c r="C84" s="2">
        <v>6.80497338818016E-10</v>
      </c>
      <c r="D84" s="2">
        <v>4.2873397841449502E-7</v>
      </c>
      <c r="E84" s="2">
        <v>8.6201190723221894E-5</v>
      </c>
      <c r="F84" s="2">
        <v>3.6321733896446801E-3</v>
      </c>
      <c r="G84" s="2">
        <v>0.13356166575245901</v>
      </c>
      <c r="H84" s="2">
        <v>0.86699310563197396</v>
      </c>
      <c r="I84" s="2">
        <v>0.99638516512604602</v>
      </c>
      <c r="J84" s="2">
        <v>0.99910559686293798</v>
      </c>
      <c r="K84" s="2">
        <v>0.99964895791129504</v>
      </c>
      <c r="Q84" s="1"/>
      <c r="R84" s="9"/>
    </row>
    <row r="85" spans="1:18" x14ac:dyDescent="0.25">
      <c r="A85" s="4">
        <v>7.9</v>
      </c>
      <c r="B85" s="2">
        <v>2.3315560853495998E-10</v>
      </c>
      <c r="C85" s="2">
        <v>5.7249636666952797E-10</v>
      </c>
      <c r="D85" s="2">
        <v>3.5526431151164299E-7</v>
      </c>
      <c r="E85" s="2">
        <v>7.6446498882704996E-5</v>
      </c>
      <c r="F85" s="2">
        <v>3.3802484740524702E-3</v>
      </c>
      <c r="G85" s="2">
        <v>0.13078971371904699</v>
      </c>
      <c r="H85" s="2">
        <v>0.86971390925685099</v>
      </c>
      <c r="I85" s="2">
        <v>0.99663466716492899</v>
      </c>
      <c r="J85" s="2">
        <v>0.99918262058131402</v>
      </c>
      <c r="K85" s="2">
        <v>0.99968303461361796</v>
      </c>
      <c r="Q85" s="1"/>
      <c r="R85" s="9"/>
    </row>
    <row r="86" spans="1:18" x14ac:dyDescent="0.25">
      <c r="A86" s="4">
        <v>8</v>
      </c>
      <c r="B86" s="2">
        <v>2.3305644086215198E-10</v>
      </c>
      <c r="C86" s="2">
        <v>4.9055280703496803E-10</v>
      </c>
      <c r="D86" s="2">
        <v>2.94393660966694E-7</v>
      </c>
      <c r="E86" s="2">
        <v>6.7796153593510495E-5</v>
      </c>
      <c r="F86" s="2">
        <v>3.14577434750298E-3</v>
      </c>
      <c r="G86" s="2">
        <v>0.12806819079749801</v>
      </c>
      <c r="H86" s="2">
        <v>0.87238888736233</v>
      </c>
      <c r="I86" s="2">
        <v>0.996867055037432</v>
      </c>
      <c r="J86" s="2">
        <v>0.999253008178556</v>
      </c>
      <c r="K86" s="2">
        <v>0.99971380086164696</v>
      </c>
      <c r="Q86" s="1"/>
      <c r="R86" s="9"/>
    </row>
    <row r="87" spans="1:18" x14ac:dyDescent="0.25">
      <c r="A87" s="4">
        <v>8.1</v>
      </c>
      <c r="B87" s="2">
        <v>2.3298753665371098E-10</v>
      </c>
      <c r="C87" s="2">
        <v>4.28379227506601E-10</v>
      </c>
      <c r="D87" s="2">
        <v>2.4396097372293003E-7</v>
      </c>
      <c r="E87" s="2">
        <v>6.0125044030711698E-5</v>
      </c>
      <c r="F87" s="2">
        <v>2.9275450483984798E-3</v>
      </c>
      <c r="G87" s="2">
        <v>0.12539640521475001</v>
      </c>
      <c r="H87" s="2">
        <v>0.87501833021786202</v>
      </c>
      <c r="I87" s="2">
        <v>0.99708348827220505</v>
      </c>
      <c r="J87" s="2">
        <v>0.99931733185042004</v>
      </c>
      <c r="K87" s="2">
        <v>0.99974157866661195</v>
      </c>
      <c r="Q87" s="1"/>
      <c r="R87" s="9"/>
    </row>
    <row r="88" spans="1:18" x14ac:dyDescent="0.25">
      <c r="A88" s="4">
        <v>8.1999999999999993</v>
      </c>
      <c r="B88" s="2">
        <v>2.3293965989359899E-10</v>
      </c>
      <c r="C88" s="2">
        <v>3.8120546714246498E-10</v>
      </c>
      <c r="D88" s="2">
        <v>2.0217599036120401E-7</v>
      </c>
      <c r="E88" s="2">
        <v>5.3322248102939501E-5</v>
      </c>
      <c r="F88" s="2">
        <v>2.7244375902436002E-3</v>
      </c>
      <c r="G88" s="2">
        <v>0.122773671630061</v>
      </c>
      <c r="H88" s="2">
        <v>0.877602555195794</v>
      </c>
      <c r="I88" s="2">
        <v>0.99728504976882404</v>
      </c>
      <c r="J88" s="2">
        <v>0.99937611439162199</v>
      </c>
      <c r="K88" s="2">
        <v>0.999766658651975</v>
      </c>
      <c r="Q88" s="1"/>
      <c r="R88" s="9"/>
    </row>
    <row r="89" spans="1:18" x14ac:dyDescent="0.25">
      <c r="A89" s="4">
        <v>8.3000000000000007</v>
      </c>
      <c r="B89" s="2">
        <v>2.3290639341201598E-10</v>
      </c>
      <c r="C89" s="2">
        <v>3.4541244104030898E-10</v>
      </c>
      <c r="D89" s="2">
        <v>1.675555965481E-7</v>
      </c>
      <c r="E89" s="2">
        <v>4.7289420735458003E-5</v>
      </c>
      <c r="F89" s="2">
        <v>2.5354063001207499E-3</v>
      </c>
      <c r="G89" s="2">
        <v>0.120199310630498</v>
      </c>
      <c r="H89" s="2">
        <v>0.88014190464826303</v>
      </c>
      <c r="I89" s="2">
        <v>0.99747275060247698</v>
      </c>
      <c r="J89" s="2">
        <v>0.99942983346950198</v>
      </c>
      <c r="K89" s="2">
        <v>0.99978930312312497</v>
      </c>
      <c r="Q89" s="1"/>
      <c r="R89" s="9"/>
    </row>
    <row r="90" spans="1:18" x14ac:dyDescent="0.25">
      <c r="A90" s="4">
        <v>8.4</v>
      </c>
      <c r="B90" s="2">
        <v>2.3288327852093402E-10</v>
      </c>
      <c r="C90" s="2">
        <v>3.1825434173994098E-10</v>
      </c>
      <c r="D90" s="2">
        <v>1.3887110658179301E-7</v>
      </c>
      <c r="E90" s="2">
        <v>4.1939365666072901E-5</v>
      </c>
      <c r="F90" s="2">
        <v>2.3594775370937701E-3</v>
      </c>
      <c r="G90" s="2">
        <v>0.117672648297241</v>
      </c>
      <c r="H90" s="2">
        <v>0.882636743898364</v>
      </c>
      <c r="I90" s="2">
        <v>0.99764753456251098</v>
      </c>
      <c r="J90" s="2">
        <v>0.99947892552691797</v>
      </c>
      <c r="K90" s="2">
        <v>0.99980974883531804</v>
      </c>
      <c r="Q90" s="1"/>
      <c r="R90" s="9"/>
    </row>
    <row r="91" spans="1:18" x14ac:dyDescent="0.25">
      <c r="A91" s="4">
        <v>8.5</v>
      </c>
      <c r="B91" s="2">
        <v>2.3286721726627501E-10</v>
      </c>
      <c r="C91" s="2">
        <v>2.9764789460455399E-10</v>
      </c>
      <c r="D91" s="2">
        <v>1.15104599847992E-7</v>
      </c>
      <c r="E91" s="2">
        <v>3.7194769787218503E-5</v>
      </c>
      <c r="F91" s="2">
        <v>2.1957447659310598E-3</v>
      </c>
      <c r="G91" s="2">
        <v>0.115193015836978</v>
      </c>
      <c r="H91" s="2">
        <v>0.88508745934097</v>
      </c>
      <c r="I91" s="2">
        <v>0.99781028243469805</v>
      </c>
      <c r="J91" s="2">
        <v>0.99952378934665898</v>
      </c>
      <c r="K91" s="2">
        <v>0.99982820948974604</v>
      </c>
      <c r="Q91" s="1"/>
      <c r="R91" s="9"/>
    </row>
    <row r="92" spans="1:18" x14ac:dyDescent="0.25">
      <c r="A92" s="4">
        <v>8.6</v>
      </c>
      <c r="B92" s="2">
        <v>2.3285605712969701E-10</v>
      </c>
      <c r="C92" s="2">
        <v>2.8201247877658398E-10</v>
      </c>
      <c r="D92" s="2">
        <v>9.5412754377488005E-8</v>
      </c>
      <c r="E92" s="2">
        <v>3.2987081474343E-5</v>
      </c>
      <c r="F92" s="2">
        <v>2.0433639630041802E-3</v>
      </c>
      <c r="G92" s="2">
        <v>0.11275974927285499</v>
      </c>
      <c r="H92" s="2">
        <v>0.88749445664840598</v>
      </c>
      <c r="I92" s="2">
        <v>0.99796181603743805</v>
      </c>
      <c r="J92" s="2">
        <v>0.99956478930680603</v>
      </c>
      <c r="K92" s="2">
        <v>0.99984487798463095</v>
      </c>
      <c r="Q92" s="1"/>
      <c r="R92" s="9"/>
    </row>
    <row r="93" spans="1:18" x14ac:dyDescent="0.25">
      <c r="A93" s="4">
        <v>8.6999999999999993</v>
      </c>
      <c r="B93" s="2">
        <v>2.3284830248720001E-10</v>
      </c>
      <c r="C93" s="2">
        <v>2.7014883451190499E-10</v>
      </c>
      <c r="D93" s="2">
        <v>7.9096889345724906E-8</v>
      </c>
      <c r="E93" s="2">
        <v>2.92555164695612E-5</v>
      </c>
      <c r="F93" s="2">
        <v>1.9015493326135001E-3</v>
      </c>
      <c r="G93" s="2">
        <v>0.110372189189725</v>
      </c>
      <c r="H93" s="2">
        <v>0.88985815907641197</v>
      </c>
      <c r="I93" s="2">
        <v>0.99810290202236696</v>
      </c>
      <c r="J93" s="2">
        <v>0.99960225835396399</v>
      </c>
      <c r="K93" s="2">
        <v>0.99985992844556304</v>
      </c>
      <c r="Q93" s="1"/>
      <c r="R93" s="9"/>
    </row>
    <row r="94" spans="1:18" x14ac:dyDescent="0.25">
      <c r="A94" s="4">
        <v>8.8000000000000007</v>
      </c>
      <c r="B94" s="2">
        <v>2.3284291413342E-10</v>
      </c>
      <c r="C94" s="2">
        <v>2.6114704261819602E-10</v>
      </c>
      <c r="D94" s="2">
        <v>6.5578149896395094E-8</v>
      </c>
      <c r="E94" s="2">
        <v>2.5946176772712E-5</v>
      </c>
      <c r="F94" s="2">
        <v>1.76956931332415E-3</v>
      </c>
      <c r="G94" s="2">
        <v>0.108029680528698</v>
      </c>
      <c r="H94" s="2">
        <v>0.89217900586572896</v>
      </c>
      <c r="I94" s="2">
        <v>0.99823425544994304</v>
      </c>
      <c r="J94" s="2">
        <v>0.99963650071888099</v>
      </c>
      <c r="K94" s="2">
        <v>0.99987351805685298</v>
      </c>
      <c r="Q94" s="1"/>
      <c r="R94" s="9"/>
    </row>
    <row r="95" spans="1:18" x14ac:dyDescent="0.25">
      <c r="A95" s="4">
        <v>8.9</v>
      </c>
      <c r="B95" s="2">
        <v>2.32839169991451E-10</v>
      </c>
      <c r="C95" s="2">
        <v>2.5431671053972101E-10</v>
      </c>
      <c r="D95" s="2">
        <v>5.4376951062885498E-8</v>
      </c>
      <c r="E95" s="2">
        <v>2.3011269658071399E-5</v>
      </c>
      <c r="F95" s="2">
        <v>1.64674285515675E-3</v>
      </c>
      <c r="G95" s="2">
        <v>0.10573157242628101</v>
      </c>
      <c r="H95" s="2">
        <v>0.89445745073483696</v>
      </c>
      <c r="I95" s="2">
        <v>0.99835654315057698</v>
      </c>
      <c r="J95" s="2">
        <v>0.99966779439686004</v>
      </c>
      <c r="K95" s="2">
        <v>0.99988578871354605</v>
      </c>
      <c r="Q95" s="1"/>
      <c r="R95" s="9"/>
    </row>
    <row r="96" spans="1:18" x14ac:dyDescent="0.25">
      <c r="A96" s="4">
        <v>9</v>
      </c>
      <c r="B96" s="2">
        <v>2.32836568333218E-10</v>
      </c>
      <c r="C96" s="2">
        <v>2.4913400535895601E-10</v>
      </c>
      <c r="D96" s="2">
        <v>4.5095949383945499E-8</v>
      </c>
      <c r="E96" s="2">
        <v>2.0408415409180499E-5</v>
      </c>
      <c r="F96" s="2">
        <v>1.53243594967571E-3</v>
      </c>
      <c r="G96" s="2">
        <v>0.103477218093617</v>
      </c>
      <c r="H96" s="2">
        <v>0.89669396045944505</v>
      </c>
      <c r="I96" s="2">
        <v>0.99847038688177703</v>
      </c>
      <c r="J96" s="2">
        <v>0.99969639341340999</v>
      </c>
      <c r="K96" s="2">
        <v>0.99989686851175297</v>
      </c>
      <c r="Q96" s="1"/>
      <c r="R96" s="9"/>
    </row>
    <row r="97" spans="1:42" x14ac:dyDescent="0.25">
      <c r="A97" s="4">
        <v>9.1</v>
      </c>
      <c r="B97" s="2">
        <v>2.3283476053575699E-10</v>
      </c>
      <c r="C97" s="2">
        <v>2.4520146782259399E-10</v>
      </c>
      <c r="D97" s="2">
        <v>3.7405936506298099E-8</v>
      </c>
      <c r="E97" s="2">
        <v>1.810003366884E-5</v>
      </c>
      <c r="F97" s="2">
        <v>1.4260583961504701E-3</v>
      </c>
      <c r="G97" s="2">
        <v>0.10126597473169401</v>
      </c>
      <c r="H97" s="2">
        <v>0.89888901353447703</v>
      </c>
      <c r="I97" s="2">
        <v>0.99857636629163105</v>
      </c>
      <c r="J97" s="2">
        <v>0.99972252989379495</v>
      </c>
      <c r="K97" s="2">
        <v>0.99990687309321502</v>
      </c>
      <c r="Q97" s="1"/>
      <c r="R97" s="9"/>
    </row>
    <row r="98" spans="1:42" x14ac:dyDescent="0.25">
      <c r="A98" s="4">
        <v>9.1999999999999993</v>
      </c>
      <c r="B98" s="2">
        <v>2.3283350435898301E-10</v>
      </c>
      <c r="C98" s="2">
        <v>2.42217522936097E-10</v>
      </c>
      <c r="D98" s="2">
        <v>3.1034153139537598E-8</v>
      </c>
      <c r="E98" s="2">
        <v>1.6052799455925601E-5</v>
      </c>
      <c r="F98" s="2">
        <v>1.32706078803363E-3</v>
      </c>
      <c r="G98" s="2">
        <v>9.9097203478568499E-2</v>
      </c>
      <c r="H98" s="2">
        <v>0.90104309891443202</v>
      </c>
      <c r="I98" s="2">
        <v>0.99867502169871603</v>
      </c>
      <c r="J98" s="2">
        <v>0.999746415953504</v>
      </c>
      <c r="K98" s="2">
        <v>0.99991590685842502</v>
      </c>
      <c r="Q98" s="1"/>
      <c r="R98" s="9"/>
    </row>
    <row r="99" spans="1:42" x14ac:dyDescent="0.25">
      <c r="A99" s="4">
        <v>9.3000000000000007</v>
      </c>
      <c r="B99" s="2">
        <v>2.3283263148190698E-10</v>
      </c>
      <c r="C99" s="2">
        <v>2.3995334715762799E-10</v>
      </c>
      <c r="D99" s="2">
        <v>2.5754607902638399E-8</v>
      </c>
      <c r="E99" s="2">
        <v>1.4237160922678801E-5</v>
      </c>
      <c r="F99" s="2">
        <v>1.2349317050106699E-3</v>
      </c>
      <c r="G99" s="2">
        <v>9.6970269384951693E-2</v>
      </c>
      <c r="H99" s="2">
        <v>0.90315671482813598</v>
      </c>
      <c r="I99" s="2">
        <v>0.99876685669824194</v>
      </c>
      <c r="J99" s="2">
        <v>0.99976824542520404</v>
      </c>
      <c r="K99" s="2">
        <v>0.99992406406124201</v>
      </c>
      <c r="Q99" s="1"/>
      <c r="R99" s="9"/>
    </row>
    <row r="100" spans="1:42" x14ac:dyDescent="0.25">
      <c r="A100" s="4">
        <v>9.4</v>
      </c>
      <c r="B100" s="2">
        <v>2.3283202494581898E-10</v>
      </c>
      <c r="C100" s="2">
        <v>2.38235316980511E-10</v>
      </c>
      <c r="D100" s="2">
        <v>2.13800569589306E-8</v>
      </c>
      <c r="E100" s="2">
        <v>1.26269118308358E-5</v>
      </c>
      <c r="F100" s="2">
        <v>1.14919509682535E-3</v>
      </c>
      <c r="G100" s="2">
        <v>9.4884541414786097E-2</v>
      </c>
      <c r="H100" s="2">
        <v>0.90523036766408205</v>
      </c>
      <c r="I100" s="2">
        <v>0.99885234060397499</v>
      </c>
      <c r="J100" s="2">
        <v>0.99978819543634601</v>
      </c>
      <c r="K100" s="2">
        <v>0.99993142979661298</v>
      </c>
      <c r="Q100" s="1"/>
      <c r="R100" s="9"/>
    </row>
    <row r="101" spans="1:42" x14ac:dyDescent="0.25">
      <c r="A101" s="4">
        <v>9.5</v>
      </c>
      <c r="B101" s="2">
        <v>2.3283160348099502E-10</v>
      </c>
      <c r="C101" s="2">
        <v>2.3693169212199502E-10</v>
      </c>
      <c r="D101" s="2">
        <v>1.7755359427937699E-8</v>
      </c>
      <c r="E101" s="2">
        <v>1.1198812525928699E-5</v>
      </c>
      <c r="F101" s="2">
        <v>1.06940784597987E-3</v>
      </c>
      <c r="G101" s="2">
        <v>9.2839392467635895E-2</v>
      </c>
      <c r="H101" s="2">
        <v>0.90726457092268098</v>
      </c>
      <c r="I101" s="2">
        <v>0.99893191073510801</v>
      </c>
      <c r="J101" s="2">
        <v>0.99980642785038998</v>
      </c>
      <c r="K101" s="2">
        <v>0.99993808089188696</v>
      </c>
      <c r="Q101" s="1"/>
      <c r="R101" s="9"/>
    </row>
    <row r="102" spans="1:42" x14ac:dyDescent="0.25">
      <c r="A102" s="4">
        <v>9.6</v>
      </c>
      <c r="B102" s="2">
        <v>2.3283131061627598E-10</v>
      </c>
      <c r="C102" s="2">
        <v>2.3594251155147699E-10</v>
      </c>
      <c r="D102" s="2">
        <v>1.47519724988478E-8</v>
      </c>
      <c r="E102" s="2">
        <v>9.9322538983076305E-6</v>
      </c>
      <c r="F102" s="2">
        <v>9.9515749725051809E-4</v>
      </c>
      <c r="G102" s="2">
        <v>9.08341994199688E-2</v>
      </c>
      <c r="H102" s="2">
        <v>0.90925984423192396</v>
      </c>
      <c r="I102" s="2">
        <v>0.99900597455692297</v>
      </c>
      <c r="J102" s="2">
        <v>0.99982309058347696</v>
      </c>
      <c r="K102" s="2">
        <v>0.99994408671118296</v>
      </c>
      <c r="Q102" s="1"/>
      <c r="R102" s="9"/>
    </row>
    <row r="103" spans="1:42" x14ac:dyDescent="0.25">
      <c r="A103" s="4">
        <v>9.6999999999999993</v>
      </c>
      <c r="B103" s="2">
        <v>2.3283110711191098E-10</v>
      </c>
      <c r="C103" s="2">
        <v>2.3519192716002499E-10</v>
      </c>
      <c r="D103" s="2">
        <v>1.2263390698543099E-8</v>
      </c>
      <c r="E103" s="2">
        <v>8.8089594474447997E-6</v>
      </c>
      <c r="F103" s="2">
        <v>9.2606014274867305E-4</v>
      </c>
      <c r="G103" s="2">
        <v>8.8868343182673198E-2</v>
      </c>
      <c r="H103" s="2">
        <v>0.91121671242311697</v>
      </c>
      <c r="I103" s="2">
        <v>0.99907491168373197</v>
      </c>
      <c r="J103" s="2">
        <v>0.99983831880732799</v>
      </c>
      <c r="K103" s="2">
        <v>0.99994950988132303</v>
      </c>
      <c r="Q103" s="1"/>
      <c r="R103" s="9"/>
    </row>
    <row r="104" spans="1:42" x14ac:dyDescent="0.25">
      <c r="A104" s="4">
        <v>9.8000000000000007</v>
      </c>
      <c r="B104" s="2">
        <v>2.3283096570153702E-10</v>
      </c>
      <c r="C104" s="2">
        <v>2.3462238693269601E-10</v>
      </c>
      <c r="D104" s="2">
        <v>1.0201367333158199E-8</v>
      </c>
      <c r="E104" s="2">
        <v>7.8127211222568694E-6</v>
      </c>
      <c r="F104" s="2">
        <v>8.6175845199936601E-4</v>
      </c>
      <c r="G104" s="2">
        <v>8.6941208772292097E-2</v>
      </c>
      <c r="H104" s="2">
        <v>0.91313570466348004</v>
      </c>
      <c r="I104" s="2">
        <v>0.99913907575219396</v>
      </c>
      <c r="J104" s="2">
        <v>0.99985223604824203</v>
      </c>
      <c r="K104" s="2">
        <v>0.999954406946992</v>
      </c>
      <c r="Q104" s="1"/>
      <c r="R104" s="9"/>
    </row>
    <row r="105" spans="1:42" x14ac:dyDescent="0.25">
      <c r="A105" s="4">
        <v>9.9</v>
      </c>
      <c r="B105" s="2">
        <v>2.3283086743862899E-10</v>
      </c>
      <c r="C105" s="2">
        <v>2.3419022140055599E-10</v>
      </c>
      <c r="D105" s="2">
        <v>8.4927839230514004E-9</v>
      </c>
      <c r="E105" s="2">
        <v>6.9291651027783296E-6</v>
      </c>
      <c r="F105" s="2">
        <v>8.0191983720480202E-4</v>
      </c>
      <c r="G105" s="2">
        <v>8.5052185393744401E-2</v>
      </c>
      <c r="H105" s="2">
        <v>0.91501735364257697</v>
      </c>
      <c r="I105" s="2">
        <v>0.99919879617274598</v>
      </c>
      <c r="J105" s="2">
        <v>0.99986495519118002</v>
      </c>
      <c r="K105" s="2">
        <v>0.999958828962076</v>
      </c>
      <c r="Q105" s="1"/>
      <c r="R105" s="9"/>
    </row>
    <row r="106" spans="1:42" s="9" customFormat="1" x14ac:dyDescent="0.25">
      <c r="A106" s="4">
        <v>10</v>
      </c>
      <c r="B106" s="2">
        <v>2.3283079915781698E-10</v>
      </c>
      <c r="C106" s="2">
        <v>2.3386229481721102E-10</v>
      </c>
      <c r="D106" s="2">
        <v>7.0770564778977498E-9</v>
      </c>
      <c r="E106" s="2">
        <v>6.1455441248485003E-6</v>
      </c>
      <c r="F106" s="2">
        <v>7.4623474451213101E-4</v>
      </c>
      <c r="G106" s="2">
        <v>8.3200666532438503E-2</v>
      </c>
      <c r="H106" s="2">
        <v>0.916862194809697</v>
      </c>
      <c r="I106" s="2">
        <v>0.99925437976652598</v>
      </c>
      <c r="J106" s="2">
        <v>0.99987657939716201</v>
      </c>
      <c r="K106" s="2">
        <v>0.99996282202338804</v>
      </c>
      <c r="O106" s="2"/>
      <c r="P106" s="2"/>
      <c r="Q106" s="1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s="9" customFormat="1" x14ac:dyDescent="0.25">
      <c r="B107" s="2">
        <v>2.32830751710853E-10</v>
      </c>
      <c r="C107" s="2">
        <v>2.3361346419084801E-10</v>
      </c>
      <c r="D107" s="2">
        <v>5.9039865317438196E-9</v>
      </c>
      <c r="E107" s="2">
        <v>5.4505533359817601E-6</v>
      </c>
      <c r="F107" s="2">
        <v>6.9441506271582102E-4</v>
      </c>
      <c r="G107" s="2">
        <v>8.1386050053902606E-2</v>
      </c>
      <c r="H107" s="2">
        <v>0.91867076565942496</v>
      </c>
      <c r="I107" s="2">
        <v>0.99930611229477095</v>
      </c>
      <c r="J107" s="2">
        <v>0.99988720294146605</v>
      </c>
      <c r="K107" s="2">
        <v>0.99996642775243405</v>
      </c>
      <c r="O107" s="2"/>
      <c r="P107" s="2"/>
      <c r="Q107" s="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s="9" customFormat="1" x14ac:dyDescent="0.25">
      <c r="B108" s="2">
        <v>2.3283071874086698E-10</v>
      </c>
      <c r="C108" s="2">
        <v>2.3342465127794301E-10</v>
      </c>
      <c r="D108" s="2">
        <v>4.9319806566602403E-9</v>
      </c>
      <c r="E108" s="2">
        <v>4.8341670130120896E-6</v>
      </c>
      <c r="F108" s="2">
        <v>6.4619264139649198E-4</v>
      </c>
      <c r="G108" s="2">
        <v>7.9607738309203202E-2</v>
      </c>
      <c r="H108" s="2">
        <v>0.92044360506280098</v>
      </c>
      <c r="I108" s="2">
        <v>0.99935425988734505</v>
      </c>
      <c r="J108" s="2">
        <v>0.99989691197949204</v>
      </c>
      <c r="K108" s="2">
        <v>0.99996968373027395</v>
      </c>
      <c r="O108" s="2"/>
      <c r="P108" s="2"/>
      <c r="Q108" s="1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s="9" customFormat="1" x14ac:dyDescent="0.25">
      <c r="B109" s="2">
        <v>2.3283069583062298E-10</v>
      </c>
      <c r="C109" s="2">
        <v>2.3328137966574199E-10</v>
      </c>
      <c r="D109" s="2">
        <v>4.1265752605363998E-9</v>
      </c>
      <c r="E109" s="2">
        <v>4.2874937754738302E-6</v>
      </c>
      <c r="F109" s="2">
        <v>6.0131791103358297E-4</v>
      </c>
      <c r="G109" s="2">
        <v>7.7865138244624404E-2</v>
      </c>
      <c r="H109" s="2">
        <v>0.922181252641609</v>
      </c>
      <c r="I109" s="2">
        <v>0.99939907037667497</v>
      </c>
      <c r="J109" s="2">
        <v>0.99990578524653695</v>
      </c>
      <c r="K109" s="2">
        <v>0.99997262389007502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s="9" customFormat="1" x14ac:dyDescent="0.25">
      <c r="B110" s="2">
        <v>2.3283067991069499E-10</v>
      </c>
      <c r="C110" s="2">
        <v>2.33172664746128E-10</v>
      </c>
      <c r="D110" s="2">
        <v>3.4592143153727801E-9</v>
      </c>
      <c r="E110" s="2">
        <v>3.8026481974806701E-6</v>
      </c>
      <c r="F110" s="2">
        <v>5.5955859812973003E-4</v>
      </c>
      <c r="G110" s="2">
        <v>7.6157661514175204E-2</v>
      </c>
      <c r="H110" s="2">
        <v>0.92388424818342096</v>
      </c>
      <c r="I110" s="2">
        <v>0.99944077454304803</v>
      </c>
      <c r="J110" s="2">
        <v>0.99991389469720704</v>
      </c>
      <c r="K110" s="2">
        <v>0.99997527887146198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s="9" customFormat="1" x14ac:dyDescent="0.25">
      <c r="B111" s="2">
        <v>2.3283066884820202E-10</v>
      </c>
      <c r="C111" s="2">
        <v>2.3309017145138501E-10</v>
      </c>
      <c r="D111" s="2">
        <v>2.90623664284394E-9</v>
      </c>
      <c r="E111" s="2">
        <v>3.3726369590491999E-6</v>
      </c>
      <c r="F111" s="2">
        <v>5.2069852885279196E-4</v>
      </c>
      <c r="G111" s="2">
        <v>7.4484724593709403E-2</v>
      </c>
      <c r="H111" s="2">
        <v>0.92555313109522397</v>
      </c>
      <c r="I111" s="2">
        <v>0.99947958727688602</v>
      </c>
      <c r="J111" s="2">
        <v>0.99992130608966601</v>
      </c>
      <c r="K111" s="2">
        <v>0.99997767634041501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s="9" customFormat="1" x14ac:dyDescent="0.25">
      <c r="B112" s="2">
        <v>2.3283066116105201E-10</v>
      </c>
      <c r="C112" s="2">
        <v>2.33027575159552E-10</v>
      </c>
      <c r="D112" s="2">
        <v>2.4480368233520602E-9</v>
      </c>
      <c r="E112" s="2">
        <v>2.9912578888801102E-6</v>
      </c>
      <c r="F112" s="2">
        <v>4.8453651513959801E-4</v>
      </c>
      <c r="G112" s="2">
        <v>7.2845748895495693E-2</v>
      </c>
      <c r="H112" s="2">
        <v>0.92718843989347299</v>
      </c>
      <c r="I112" s="2">
        <v>0.99951570866329498</v>
      </c>
      <c r="J112" s="2">
        <v>0.99992807951950202</v>
      </c>
      <c r="K112" s="2">
        <v>0.99997984127804296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2:42" s="9" customFormat="1" x14ac:dyDescent="0.25">
      <c r="B113" s="2">
        <v>2.3283065581936901E-10</v>
      </c>
      <c r="C113" s="2">
        <v>2.3298007675943599E-10</v>
      </c>
      <c r="D113" s="2">
        <v>2.06836995781379E-9</v>
      </c>
      <c r="E113" s="2">
        <v>2.6530104376605302E-6</v>
      </c>
      <c r="F113" s="2">
        <v>4.5088531761377799E-4</v>
      </c>
      <c r="G113" s="2">
        <v>7.1240160882267506E-2</v>
      </c>
      <c r="H113" s="2">
        <v>0.92879071172864203</v>
      </c>
      <c r="I113" s="2">
        <v>0.99954932499388105</v>
      </c>
      <c r="J113" s="2">
        <v>0.99993426990755996</v>
      </c>
      <c r="K113" s="2">
        <v>0.99998179624130601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2:42" s="9" customFormat="1" x14ac:dyDescent="0.25">
      <c r="B114" s="2">
        <v>2.3283065210751301E-10</v>
      </c>
      <c r="C114" s="2">
        <v>2.32944034688376E-10</v>
      </c>
      <c r="D114" s="2">
        <v>1.75377561711512E-9</v>
      </c>
      <c r="E114" s="2">
        <v>2.3530162867246301E-6</v>
      </c>
      <c r="F114" s="2">
        <v>4.1957068005276602E-4</v>
      </c>
      <c r="G114" s="2">
        <v>6.9667392179859594E-2</v>
      </c>
      <c r="H114" s="2">
        <v>0.930360481942337</v>
      </c>
      <c r="I114" s="2">
        <v>0.99958060971054097</v>
      </c>
      <c r="J114" s="2">
        <v>0.99993992744571003</v>
      </c>
      <c r="K114" s="2">
        <v>0.99998356159836799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2:42" s="9" customFormat="1" x14ac:dyDescent="0.25">
      <c r="B115" s="2">
        <v>2.3283064952819703E-10</v>
      </c>
      <c r="C115" s="2">
        <v>2.3291668572656301E-10</v>
      </c>
      <c r="D115" s="2">
        <v>1.4931005440014199E-9</v>
      </c>
      <c r="E115" s="2">
        <v>2.0869489438369499E-6</v>
      </c>
      <c r="F115" s="2">
        <v>3.9043043049534601E-4</v>
      </c>
      <c r="G115" s="2">
        <v>6.8126879687640501E-2</v>
      </c>
      <c r="H115" s="2">
        <v>0.93189828365523197</v>
      </c>
      <c r="I115" s="2">
        <v>0.99960972428564299</v>
      </c>
      <c r="J115" s="2">
        <v>0.99994509800419196</v>
      </c>
      <c r="K115" s="2">
        <v>0.99998515574110003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2:42" s="9" customFormat="1" x14ac:dyDescent="0.25">
      <c r="B116" s="2">
        <v>2.32830647735866E-10</v>
      </c>
      <c r="C116" s="2">
        <v>2.3289593313826799E-10</v>
      </c>
      <c r="D116" s="2">
        <v>1.27710317644578E-9</v>
      </c>
      <c r="E116" s="2">
        <v>1.8509713080894899E-6</v>
      </c>
      <c r="F116" s="2">
        <v>3.6331364441483799E-4</v>
      </c>
      <c r="G116" s="2">
        <v>6.6618065686088399E-2</v>
      </c>
      <c r="H116" s="2">
        <v>0.933404647384108</v>
      </c>
      <c r="I116" s="2">
        <v>0.99963681904274704</v>
      </c>
      <c r="J116" s="2">
        <v>0.99994982350384298</v>
      </c>
      <c r="K116" s="2">
        <v>0.99998659527692302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42" s="9" customFormat="1" x14ac:dyDescent="0.25">
      <c r="B117" s="2">
        <v>2.3283064649039902E-10</v>
      </c>
      <c r="C117" s="2">
        <v>2.32880185914911E-10</v>
      </c>
      <c r="D117" s="2">
        <v>1.09812596476068E-9</v>
      </c>
      <c r="E117" s="2">
        <v>1.6416803013379599E-6</v>
      </c>
      <c r="F117" s="2">
        <v>3.3807986569348399E-4</v>
      </c>
      <c r="G117" s="2">
        <v>6.5140397940893199E-2</v>
      </c>
      <c r="H117" s="2">
        <v>0.934880100686449</v>
      </c>
      <c r="I117" s="2">
        <v>0.99966203392178399</v>
      </c>
      <c r="J117" s="2">
        <v>0.99995414225624901</v>
      </c>
      <c r="K117" s="2">
        <v>0.99998789520201403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42" s="9" customFormat="1" x14ac:dyDescent="0.25">
      <c r="B118" s="2">
        <v>2.3283064562494001E-10</v>
      </c>
      <c r="C118" s="2">
        <v>2.32868236793574E-10</v>
      </c>
      <c r="D118" s="2">
        <v>9.4982386000609794E-10</v>
      </c>
      <c r="E118" s="2">
        <v>1.4560577659236E-6</v>
      </c>
      <c r="F118" s="2">
        <v>3.1459838142434298E-4</v>
      </c>
      <c r="G118" s="2">
        <v>6.3693329803090198E-2</v>
      </c>
      <c r="H118" s="2">
        <v>0.93632516783103104</v>
      </c>
      <c r="I118" s="2">
        <v>0.99968549919233396</v>
      </c>
      <c r="J118" s="2">
        <v>0.99995808927458196</v>
      </c>
      <c r="K118" s="2">
        <v>0.99998906905769003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42" s="9" customFormat="1" x14ac:dyDescent="0.25">
      <c r="B119" s="2">
        <v>2.3283064502354398E-10</v>
      </c>
      <c r="C119" s="2">
        <v>2.3285916969790199E-10</v>
      </c>
      <c r="D119" s="2">
        <v>8.2693934403242804E-10</v>
      </c>
      <c r="E119" s="2">
        <v>1.2914269191334199E-6</v>
      </c>
      <c r="F119" s="2">
        <v>2.9274754683755299E-4</v>
      </c>
      <c r="G119" s="2">
        <v>6.2276320304806898E-2</v>
      </c>
      <c r="H119" s="2">
        <v>0.937740369493132</v>
      </c>
      <c r="I119" s="2">
        <v>0.99970733611845397</v>
      </c>
      <c r="J119" s="2">
        <v>0.99996169655764899</v>
      </c>
      <c r="K119" s="2">
        <v>0.999990129071606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42" s="9" customFormat="1" x14ac:dyDescent="0.25">
      <c r="B120" s="2">
        <v>2.3283064460563998E-10</v>
      </c>
      <c r="C120" s="2">
        <v>2.32852289504482E-10</v>
      </c>
      <c r="D120" s="2">
        <v>7.2511602253723304E-10</v>
      </c>
      <c r="E120" s="2">
        <v>1.1454137352607401E-6</v>
      </c>
      <c r="F120" s="2">
        <v>2.7241415690075699E-4</v>
      </c>
      <c r="G120" s="2">
        <v>6.0888834250235703E-2</v>
      </c>
      <c r="H120" s="2">
        <v>0.93912622247297695</v>
      </c>
      <c r="I120" s="2">
        <v>0.99972765757826698</v>
      </c>
      <c r="J120" s="2">
        <v>0.99996499334947397</v>
      </c>
      <c r="K120" s="2">
        <v>0.99999108628523203</v>
      </c>
    </row>
    <row r="121" spans="2:42" s="9" customFormat="1" x14ac:dyDescent="0.25">
      <c r="B121" s="2">
        <v>2.3283064431524401E-10</v>
      </c>
      <c r="C121" s="2">
        <v>2.3284706874964201E-10</v>
      </c>
      <c r="D121" s="2">
        <v>6.4074417043318205E-10</v>
      </c>
      <c r="E121" s="2">
        <v>1.0159126974143701E-6</v>
      </c>
      <c r="F121" s="2">
        <v>2.53492861378966E-4</v>
      </c>
      <c r="G121" s="2">
        <v>5.95303423015573E-2</v>
      </c>
      <c r="H121" s="2">
        <v>0.94048323943617096</v>
      </c>
      <c r="I121" s="2">
        <v>0.99974656864132005</v>
      </c>
      <c r="J121" s="2">
        <v>0.99996800637650696</v>
      </c>
      <c r="K121" s="2">
        <v>0.99999195066896196</v>
      </c>
    </row>
    <row r="122" spans="2:42" s="9" customFormat="1" x14ac:dyDescent="0.25">
      <c r="B122" s="2">
        <v>2.32830644113452E-10</v>
      </c>
      <c r="C122" s="2">
        <v>2.3284310719056102E-10</v>
      </c>
      <c r="D122" s="2">
        <v>5.7083275218147497E-10</v>
      </c>
      <c r="E122" s="2">
        <v>9.0105642442276605E-7</v>
      </c>
      <c r="F122" s="2">
        <v>2.3588562035921701E-4</v>
      </c>
      <c r="G122" s="2">
        <v>5.8200321059568703E-2</v>
      </c>
      <c r="H122" s="2">
        <v>0.94181192867488295</v>
      </c>
      <c r="I122" s="2">
        <v>0.99976416710655103</v>
      </c>
      <c r="J122" s="2">
        <v>0.99997076006440999</v>
      </c>
      <c r="K122" s="2">
        <v>0.99999273122604104</v>
      </c>
    </row>
    <row r="123" spans="2:42" s="9" customFormat="1" x14ac:dyDescent="0.25">
      <c r="B123" s="2">
        <v>2.3283064397322799E-10</v>
      </c>
      <c r="C123" s="2">
        <v>2.32840101120186E-10</v>
      </c>
      <c r="D123" s="2">
        <v>5.1290337876947104E-10</v>
      </c>
      <c r="E123" s="2">
        <v>7.99188734211172E-7</v>
      </c>
      <c r="F123" s="2">
        <v>2.1950119745018599E-4</v>
      </c>
      <c r="G123" s="2">
        <v>5.6898253138826703E-2</v>
      </c>
      <c r="H123" s="2">
        <v>0.94311279388867297</v>
      </c>
      <c r="I123" s="2">
        <v>0.99978054400348204</v>
      </c>
      <c r="J123" s="2">
        <v>0.99997327673615599</v>
      </c>
      <c r="K123" s="2">
        <v>0.99999343608640501</v>
      </c>
    </row>
    <row r="124" spans="2:42" s="9" customFormat="1" x14ac:dyDescent="0.25">
      <c r="B124" s="2">
        <v>2.32830643875789E-10</v>
      </c>
      <c r="C124" s="2">
        <v>2.3283782008332201E-10</v>
      </c>
      <c r="D124" s="2">
        <v>4.64902441030986E-10</v>
      </c>
      <c r="E124" s="2">
        <v>7.0884075470702901E-7</v>
      </c>
      <c r="F124" s="2">
        <v>2.0425468805824399E-4</v>
      </c>
      <c r="G124" s="2">
        <v>5.5623627237169099E-2</v>
      </c>
      <c r="H124" s="2">
        <v>0.94438633398384697</v>
      </c>
      <c r="I124" s="2">
        <v>0.99979578405913905</v>
      </c>
      <c r="J124" s="2">
        <v>0.99997557679307703</v>
      </c>
      <c r="K124" s="2">
        <v>0.99999407259141204</v>
      </c>
    </row>
    <row r="125" spans="2:42" s="9" customFormat="1" x14ac:dyDescent="0.25">
      <c r="B125" s="2">
        <v>2.32830643808079E-10</v>
      </c>
      <c r="C125" s="2">
        <v>2.3283608920872001E-10</v>
      </c>
      <c r="D125" s="2">
        <v>4.2512830363403799E-10</v>
      </c>
      <c r="E125" s="2">
        <v>6.2870973737485599E-7</v>
      </c>
      <c r="F125" s="2">
        <v>1.9006708031942701E-4</v>
      </c>
      <c r="G125" s="2">
        <v>5.4375938199517901E-2</v>
      </c>
      <c r="H125" s="2">
        <v>0.945633042890343</v>
      </c>
      <c r="I125" s="2">
        <v>0.99980996613297801</v>
      </c>
      <c r="J125" s="2">
        <v>0.99997767888030797</v>
      </c>
      <c r="K125" s="2">
        <v>0.99999464737034705</v>
      </c>
    </row>
    <row r="126" spans="2:42" s="9" customFormat="1" x14ac:dyDescent="0.25">
      <c r="B126" s="2">
        <v>2.3283064376102798E-10</v>
      </c>
      <c r="C126" s="2">
        <v>2.3283477580260299E-10</v>
      </c>
      <c r="D126" s="2">
        <v>3.9217097816707899E-10</v>
      </c>
      <c r="E126" s="2">
        <v>5.5764026753551395E-7</v>
      </c>
      <c r="F126" s="2">
        <v>1.76864846433163E-4</v>
      </c>
      <c r="G126" s="2">
        <v>5.3154687075909798E-2</v>
      </c>
      <c r="H126" s="2">
        <v>0.94685340939515705</v>
      </c>
      <c r="I126" s="2">
        <v>0.99982316362199497</v>
      </c>
      <c r="J126" s="2">
        <v>0.99997960003798902</v>
      </c>
      <c r="K126" s="2">
        <v>0.99999516640950203</v>
      </c>
    </row>
    <row r="127" spans="2:42" s="9" customFormat="1" x14ac:dyDescent="0.25">
      <c r="B127" s="2">
        <v>2.32830643728333E-10</v>
      </c>
      <c r="C127" s="2">
        <v>2.3283377917575799E-10</v>
      </c>
      <c r="D127" s="2">
        <v>3.6486213629294199E-10</v>
      </c>
      <c r="E127" s="2">
        <v>4.9460760025195899E-7</v>
      </c>
      <c r="F127" s="2">
        <v>1.6457956229813599E-4</v>
      </c>
      <c r="G127" s="2">
        <v>5.1959381173716498E-2</v>
      </c>
      <c r="H127" s="2">
        <v>0.948047916991412</v>
      </c>
      <c r="I127" s="2">
        <v>0.99983544483804199</v>
      </c>
      <c r="J127" s="2">
        <v>0.99998135583944603</v>
      </c>
      <c r="K127" s="2">
        <v>0.99999563511455802</v>
      </c>
    </row>
    <row r="128" spans="2:42" s="9" customFormat="1" x14ac:dyDescent="0.25">
      <c r="B128" s="2">
        <v>2.3283064370561298E-10</v>
      </c>
      <c r="C128" s="2">
        <v>2.3283302292428398E-10</v>
      </c>
      <c r="D128" s="2">
        <v>3.4223369061036299E-10</v>
      </c>
      <c r="E128" s="2">
        <v>4.3870288126845402E-7</v>
      </c>
      <c r="F128" s="2">
        <v>1.5314755349520601E-4</v>
      </c>
      <c r="G128" s="2">
        <v>5.0789534104088499E-2</v>
      </c>
      <c r="H128" s="2">
        <v>0.94921704374217097</v>
      </c>
      <c r="I128" s="2">
        <v>0.99984687335921796</v>
      </c>
      <c r="J128" s="2">
        <v>0.99998296051746505</v>
      </c>
      <c r="K128" s="2">
        <v>0.99999605836690197</v>
      </c>
    </row>
    <row r="129" spans="2:11" s="9" customFormat="1" x14ac:dyDescent="0.25">
      <c r="B129" s="2">
        <v>2.3283064368982598E-10</v>
      </c>
      <c r="C129" s="2">
        <v>2.3283244907217298E-10</v>
      </c>
      <c r="D129" s="2">
        <v>3.2348347467385501E-10</v>
      </c>
      <c r="E129" s="2">
        <v>3.8912003971551199E-7</v>
      </c>
      <c r="F129" s="2">
        <v>1.4250956579661E-4</v>
      </c>
      <c r="G129" s="2">
        <v>4.9644665822621802E-2</v>
      </c>
      <c r="H129" s="2">
        <v>0.95036126215820005</v>
      </c>
      <c r="I129" s="2">
        <v>0.99985750835710197</v>
      </c>
      <c r="J129" s="2">
        <v>0.99998442707970203</v>
      </c>
      <c r="K129" s="2">
        <v>0.999996440574489</v>
      </c>
    </row>
    <row r="130" spans="2:11" s="9" customFormat="1" x14ac:dyDescent="0.25">
      <c r="B130" s="2">
        <v>2.3283064367885498E-10</v>
      </c>
      <c r="C130" s="2">
        <v>2.3283201362665601E-10</v>
      </c>
      <c r="D130" s="2">
        <v>3.0794680535203002E-10</v>
      </c>
      <c r="E130" s="2">
        <v>3.4514416343473701E-7</v>
      </c>
      <c r="F130" s="2">
        <v>1.32610458506034E-4</v>
      </c>
      <c r="G130" s="2">
        <v>4.8524302664339602E-2</v>
      </c>
      <c r="H130" s="2">
        <v>0.95148103908887605</v>
      </c>
      <c r="I130" s="2">
        <v>0.99986740490148296</v>
      </c>
      <c r="J130" s="2">
        <v>0.99998576741415102</v>
      </c>
      <c r="K130" s="2">
        <v>0.99999678571776496</v>
      </c>
    </row>
    <row r="131" spans="2:11" s="9" customFormat="1" x14ac:dyDescent="0.25">
      <c r="B131" s="2">
        <v>2.3283064367123199E-10</v>
      </c>
      <c r="C131" s="2">
        <v>2.3283168320558001E-10</v>
      </c>
      <c r="D131" s="2">
        <v>2.9507291928067301E-10</v>
      </c>
      <c r="E131" s="2">
        <v>3.0614118918552E-7</v>
      </c>
      <c r="F131" s="2">
        <v>1.2339891905080899E-4</v>
      </c>
      <c r="G131" s="2">
        <v>4.74279773730448E-2</v>
      </c>
      <c r="H131" s="2">
        <v>0.95257683562550499</v>
      </c>
      <c r="I131" s="2">
        <v>0.99987661424410101</v>
      </c>
      <c r="J131" s="2">
        <v>0.99998699238552602</v>
      </c>
      <c r="K131" s="2">
        <v>0.99999709739113296</v>
      </c>
    </row>
    <row r="132" spans="2:11" s="9" customFormat="1" x14ac:dyDescent="0.25">
      <c r="B132" s="2">
        <v>2.3283064366593401E-10</v>
      </c>
      <c r="C132" s="2">
        <v>2.3283143247821597E-10</v>
      </c>
      <c r="D132" s="2">
        <v>2.8440544798882703E-10</v>
      </c>
      <c r="E132" s="2">
        <v>2.7154875897878698E-7</v>
      </c>
      <c r="F132" s="2">
        <v>1.1482719735635E-4</v>
      </c>
      <c r="G132" s="2">
        <v>4.6355229125163197E-2</v>
      </c>
      <c r="H132" s="2">
        <v>0.95364910701634498</v>
      </c>
      <c r="I132" s="2">
        <v>0.99988518408284799</v>
      </c>
      <c r="J132" s="2">
        <v>0.99998811192335502</v>
      </c>
      <c r="K132" s="2">
        <v>0.99999737884040196</v>
      </c>
    </row>
    <row r="133" spans="2:11" s="9" customFormat="1" x14ac:dyDescent="0.25">
      <c r="B133" s="2">
        <v>2.32830643662253E-10</v>
      </c>
      <c r="C133" s="2">
        <v>2.3283124222334098E-10</v>
      </c>
      <c r="D133" s="2">
        <v>2.7556623947305701E-10</v>
      </c>
      <c r="E133" s="2">
        <v>2.4086811061664002E-7</v>
      </c>
      <c r="F133" s="2">
        <v>1.06850858634152E-4</v>
      </c>
      <c r="G133" s="2">
        <v>4.5305603548159497E-2</v>
      </c>
      <c r="H133" s="2">
        <v>0.95469830259267996</v>
      </c>
      <c r="I133" s="2">
        <v>0.99989315880774698</v>
      </c>
      <c r="J133" s="2">
        <v>0.999989135102477</v>
      </c>
      <c r="K133" s="2">
        <v>0.99999763299659095</v>
      </c>
    </row>
    <row r="134" spans="2:11" s="9" customFormat="1" x14ac:dyDescent="0.25">
      <c r="B134" s="2">
        <v>2.32830643659695E-10</v>
      </c>
      <c r="C134" s="2">
        <v>2.3283109785568098E-10</v>
      </c>
      <c r="D134" s="2">
        <v>2.6824195264583298E-10</v>
      </c>
      <c r="E134" s="2">
        <v>2.13656885444981E-7</v>
      </c>
      <c r="F134" s="2">
        <v>9.94285533091112E-5</v>
      </c>
      <c r="G134" s="2">
        <v>4.4278652733696799E-2</v>
      </c>
      <c r="H134" s="2">
        <v>0.95572486570527304</v>
      </c>
      <c r="I134" s="2">
        <v>0.99990057972998203</v>
      </c>
      <c r="J134" s="2">
        <v>0.99999007021662301</v>
      </c>
      <c r="K134" s="2">
        <v>0.99999786250647005</v>
      </c>
    </row>
    <row r="135" spans="2:11" s="9" customFormat="1" x14ac:dyDescent="0.25">
      <c r="B135" s="2">
        <v>2.3283064365791801E-10</v>
      </c>
      <c r="C135" s="2">
        <v>2.3283098830777301E-10</v>
      </c>
      <c r="D135" s="2">
        <v>2.6217294939635698E-10</v>
      </c>
      <c r="E135" s="2">
        <v>1.8952274956395701E-7</v>
      </c>
      <c r="F135" s="2">
        <v>9.2521802899813506E-5</v>
      </c>
      <c r="G135" s="2">
        <v>4.3273935245643803E-2</v>
      </c>
      <c r="H135" s="2">
        <v>0.95672923367065299</v>
      </c>
      <c r="I135" s="2">
        <v>0.99990748529510498</v>
      </c>
      <c r="J135" s="2">
        <v>0.999990924845644</v>
      </c>
      <c r="K135" s="2">
        <v>0.99999806976012195</v>
      </c>
    </row>
    <row r="136" spans="2:11" s="9" customFormat="1" x14ac:dyDescent="0.25">
      <c r="B136" s="2">
        <v>2.3283064365668303E-10</v>
      </c>
      <c r="C136" s="2">
        <v>2.32830905181499E-10</v>
      </c>
      <c r="D136" s="2">
        <v>2.57144090462854E-10</v>
      </c>
      <c r="E136" s="2">
        <v>1.6811773648059E-7</v>
      </c>
      <c r="F136" s="2">
        <v>8.6094800747335293E-5</v>
      </c>
      <c r="G136" s="2">
        <v>4.2291016123093501E-2</v>
      </c>
      <c r="H136" s="2">
        <v>0.95771183772660295</v>
      </c>
      <c r="I136" s="2">
        <v>0.99991391128153495</v>
      </c>
      <c r="J136" s="2">
        <v>0.99999170591697095</v>
      </c>
      <c r="K136" s="2">
        <v>0.99999825691584099</v>
      </c>
    </row>
    <row r="137" spans="2:11" s="9" customFormat="1" x14ac:dyDescent="0.25">
      <c r="B137" s="2">
        <v>2.32830643655824E-10</v>
      </c>
      <c r="C137" s="2">
        <v>2.3283084210427198E-10</v>
      </c>
      <c r="D137" s="2">
        <v>2.5297710881286398E-10</v>
      </c>
      <c r="E137" s="2">
        <v>1.49133229598698E-7</v>
      </c>
      <c r="F137" s="2">
        <v>8.0114226564317003E-5</v>
      </c>
      <c r="G137" s="2">
        <v>4.1329466878558499E-2</v>
      </c>
      <c r="H137" s="2">
        <v>0.95867310299636399</v>
      </c>
      <c r="I137" s="2">
        <v>0.99991989098534395</v>
      </c>
      <c r="J137" s="2">
        <v>0.99999241976176501</v>
      </c>
      <c r="K137" s="2">
        <v>0.99999842592261401</v>
      </c>
    </row>
    <row r="138" spans="2:11" s="9" customFormat="1" x14ac:dyDescent="0.25">
      <c r="B138" s="2">
        <v>2.3283064365522801E-10</v>
      </c>
      <c r="C138" s="2">
        <v>2.3283079424050198E-10</v>
      </c>
      <c r="D138" s="2">
        <v>2.49524290156162E-10</v>
      </c>
      <c r="E138" s="2">
        <v>1.3229551217355201E-7</v>
      </c>
      <c r="F138" s="2">
        <v>7.4549073847116797E-5</v>
      </c>
      <c r="G138" s="2">
        <v>4.0388865491490199E-2</v>
      </c>
      <c r="H138" s="2">
        <v>0.95961344846099195</v>
      </c>
      <c r="I138" s="2">
        <v>0.99992545539226896</v>
      </c>
      <c r="J138" s="2">
        <v>0.999993072166252</v>
      </c>
      <c r="K138" s="2">
        <v>0.99999857854041896</v>
      </c>
    </row>
    <row r="139" spans="2:11" s="9" customFormat="1" x14ac:dyDescent="0.25">
      <c r="B139" s="2">
        <v>2.3283064365481401E-10</v>
      </c>
      <c r="C139" s="2">
        <v>2.3283075792088498E-10</v>
      </c>
      <c r="D139" s="2">
        <v>2.4666323655664198E-10</v>
      </c>
      <c r="E139" s="2">
        <v>1.17361820546389E-7</v>
      </c>
      <c r="F139" s="2">
        <v>6.9370489259994397E-5</v>
      </c>
      <c r="G139" s="2">
        <v>3.9468796397312898E-2</v>
      </c>
      <c r="H139" s="2">
        <v>0.96053328693941298</v>
      </c>
      <c r="I139" s="2">
        <v>0.99993063333784105</v>
      </c>
      <c r="J139" s="2">
        <v>0.99999366841862003</v>
      </c>
      <c r="K139" s="2">
        <v>0.99999871635855597</v>
      </c>
    </row>
    <row r="140" spans="2:11" s="9" customFormat="1" x14ac:dyDescent="0.25">
      <c r="B140" s="2">
        <v>2.32830643654526E-10</v>
      </c>
      <c r="C140" s="2">
        <v>2.3283073036111201E-10</v>
      </c>
      <c r="D140" s="2">
        <v>2.4429252750811602E-10</v>
      </c>
      <c r="E140" s="2">
        <v>1.04116843734851E-7</v>
      </c>
      <c r="F140" s="2">
        <v>6.4551623161817896E-5</v>
      </c>
      <c r="G140" s="2">
        <v>3.8568850472119498E-2</v>
      </c>
      <c r="H140" s="2">
        <v>0.96143302507568196</v>
      </c>
      <c r="I140" s="2">
        <v>0.99993545165643705</v>
      </c>
      <c r="J140" s="2">
        <v>0.99999421335189398</v>
      </c>
      <c r="K140" s="2">
        <v>0.99999884081220103</v>
      </c>
    </row>
    <row r="141" spans="2:11" s="9" customFormat="1" x14ac:dyDescent="0.25">
      <c r="B141" s="2">
        <v>2.3283064365432499E-10</v>
      </c>
      <c r="C141" s="2">
        <v>2.3283070944841402E-10</v>
      </c>
      <c r="D141" s="2">
        <v>2.42328124656008E-10</v>
      </c>
      <c r="E141" s="2">
        <v>9.2369618894866899E-8</v>
      </c>
      <c r="F141" s="2">
        <v>6.0067490503192099E-5</v>
      </c>
      <c r="G141" s="2">
        <v>3.7688625013234903E-2</v>
      </c>
      <c r="H141" s="2">
        <v>0.96231306333303701</v>
      </c>
      <c r="I141" s="2">
        <v>0.99993993532001801</v>
      </c>
      <c r="J141" s="2">
        <v>0.99999471138311202</v>
      </c>
      <c r="K141" s="2">
        <v>0.99999895319735099</v>
      </c>
    </row>
    <row r="142" spans="2:11" s="9" customFormat="1" x14ac:dyDescent="0.25">
      <c r="B142" s="2">
        <v>2.3283064365418603E-10</v>
      </c>
      <c r="C142" s="2">
        <v>2.3283069357959901E-10</v>
      </c>
      <c r="D142" s="2">
        <v>2.4070039271052501E-10</v>
      </c>
      <c r="E142" s="2">
        <v>8.1950777880259498E-8</v>
      </c>
      <c r="F142" s="2">
        <v>5.5894841375246801E-5</v>
      </c>
      <c r="G142" s="2">
        <v>3.6827723715804103E-2</v>
      </c>
      <c r="H142" s="2">
        <v>0.96317379599429698</v>
      </c>
      <c r="I142" s="2">
        <v>0.99994410756727403</v>
      </c>
      <c r="J142" s="2">
        <v>0.99999516654913201</v>
      </c>
      <c r="K142" s="2">
        <v>0.99999905468432504</v>
      </c>
    </row>
    <row r="143" spans="2:11" s="9" customFormat="1" x14ac:dyDescent="0.25">
      <c r="B143" s="2">
        <v>4.6566128730795898E-10</v>
      </c>
      <c r="C143" s="2">
        <v>4.6566132519203001E-10</v>
      </c>
      <c r="D143" s="2">
        <v>4.7218227922441399E-10</v>
      </c>
      <c r="E143" s="2">
        <v>7.2942987234948794E-8</v>
      </c>
      <c r="F143" s="2">
        <v>5.20122938115733E-5</v>
      </c>
      <c r="G143" s="2">
        <v>3.5985759195697603E-2</v>
      </c>
      <c r="H143" s="2">
        <v>0.96401561039908701</v>
      </c>
      <c r="I143" s="2">
        <v>0.99994798978693999</v>
      </c>
      <c r="J143" s="2">
        <v>0.999995582305506</v>
      </c>
      <c r="K143" s="2">
        <v>0.99999914609688301</v>
      </c>
    </row>
    <row r="144" spans="2:11" s="9" customFormat="1" x14ac:dyDescent="0.25">
      <c r="B144" s="2">
        <v>4.6566128730789198E-10</v>
      </c>
      <c r="C144" s="2">
        <v>4.6566131605481905E-10</v>
      </c>
      <c r="D144" s="2">
        <v>4.7106467536984296E-10</v>
      </c>
      <c r="E144" s="2">
        <v>6.4747250030682006E-8</v>
      </c>
      <c r="F144" s="2">
        <v>4.8399207830156102E-5</v>
      </c>
      <c r="G144" s="2">
        <v>3.5162342738850598E-2</v>
      </c>
      <c r="H144" s="2">
        <v>0.96483889004896095</v>
      </c>
      <c r="I144" s="2">
        <v>0.99995160257749105</v>
      </c>
      <c r="J144" s="2">
        <v>0.99999596249186196</v>
      </c>
      <c r="K144" s="2">
        <v>0.99999922885551595</v>
      </c>
    </row>
    <row r="145" spans="2:11" s="9" customFormat="1" x14ac:dyDescent="0.25">
      <c r="B145" s="2">
        <v>4.6566128730784503E-10</v>
      </c>
      <c r="C145" s="2">
        <v>4.6566130912138795E-10</v>
      </c>
      <c r="D145" s="2">
        <v>4.7013861284345797E-10</v>
      </c>
      <c r="E145" s="2">
        <v>5.7478289846847702E-8</v>
      </c>
      <c r="F145" s="2">
        <v>4.5037103064571603E-5</v>
      </c>
      <c r="G145" s="2">
        <v>3.4357099626019599E-2</v>
      </c>
      <c r="H145" s="2">
        <v>0.96564400995960697</v>
      </c>
      <c r="I145" s="2">
        <v>0.99995496442912102</v>
      </c>
      <c r="J145" s="2">
        <v>0.99999630995589595</v>
      </c>
      <c r="K145" s="2">
        <v>0.99999930358893097</v>
      </c>
    </row>
    <row r="146" spans="2:11" s="9" customFormat="1" x14ac:dyDescent="0.25">
      <c r="B146" s="2">
        <v>4.6566128730781298E-10</v>
      </c>
      <c r="C146" s="2">
        <v>4.6566130386021299E-10</v>
      </c>
      <c r="D146" s="2">
        <v>4.6937126415930197E-10</v>
      </c>
      <c r="E146" s="2">
        <v>5.10313058558125E-8</v>
      </c>
      <c r="F146" s="2">
        <v>4.1908546222024703E-5</v>
      </c>
      <c r="G146" s="2">
        <v>3.3569658836396003E-2</v>
      </c>
      <c r="H146" s="2">
        <v>0.96643133980976503</v>
      </c>
      <c r="I146" s="2">
        <v>0.999958092769066</v>
      </c>
      <c r="J146" s="2">
        <v>0.99999662751400498</v>
      </c>
      <c r="K146" s="2">
        <v>0.99999937107535097</v>
      </c>
    </row>
    <row r="147" spans="2:11" s="9" customFormat="1" x14ac:dyDescent="0.25">
      <c r="B147" s="2">
        <v>4.6566128730779096E-10</v>
      </c>
      <c r="C147" s="2">
        <v>4.6566129986796701E-10</v>
      </c>
      <c r="D147" s="2">
        <v>4.68735428009845E-10</v>
      </c>
      <c r="E147" s="2">
        <v>4.5313348307540797E-8</v>
      </c>
      <c r="F147" s="2">
        <v>3.8997314808398899E-5</v>
      </c>
      <c r="G147" s="2">
        <v>3.2799655576645201E-2</v>
      </c>
      <c r="H147" s="2">
        <v>0.96720124318182799</v>
      </c>
      <c r="I147" s="2">
        <v>0.99996100381463104</v>
      </c>
      <c r="J147" s="2">
        <v>0.99999691774017596</v>
      </c>
      <c r="K147" s="2">
        <v>0.99999943201753105</v>
      </c>
    </row>
    <row r="148" spans="2:11" s="9" customFormat="1" x14ac:dyDescent="0.25">
      <c r="B148" s="2">
        <v>4.6566128730777503E-10</v>
      </c>
      <c r="C148" s="2">
        <v>4.6566129683860103E-10</v>
      </c>
      <c r="D148" s="2">
        <v>4.6820856501421902E-10</v>
      </c>
      <c r="E148" s="2">
        <v>4.0241978368280598E-8</v>
      </c>
      <c r="F148" s="2">
        <v>3.6288313050628899E-5</v>
      </c>
      <c r="G148" s="2">
        <v>3.2046731237423E-2</v>
      </c>
      <c r="H148" s="2">
        <v>0.96795407759266305</v>
      </c>
      <c r="I148" s="2">
        <v>0.99996371265714001</v>
      </c>
      <c r="J148" s="2">
        <v>0.99999718298685303</v>
      </c>
      <c r="K148" s="2">
        <v>0.99999948705007902</v>
      </c>
    </row>
    <row r="149" spans="2:11" s="9" customFormat="1" x14ac:dyDescent="0.25">
      <c r="B149" s="2">
        <v>4.6566128730776397E-10</v>
      </c>
      <c r="C149" s="2">
        <v>4.6566129453987903E-10</v>
      </c>
      <c r="D149" s="2">
        <v>4.6777199872687902E-10</v>
      </c>
      <c r="E149" s="2">
        <v>3.5744079512923403E-8</v>
      </c>
      <c r="F149" s="2">
        <v>3.3767493655342099E-5</v>
      </c>
      <c r="G149" s="2">
        <v>3.1310533347137799E-2</v>
      </c>
      <c r="H149" s="2">
        <v>0.96869019452838501</v>
      </c>
      <c r="I149" s="2">
        <v>0.99996623334007395</v>
      </c>
      <c r="J149" s="2">
        <v>0.99999742540400405</v>
      </c>
      <c r="K149" s="2">
        <v>0.99999953674606201</v>
      </c>
    </row>
    <row r="150" spans="2:11" s="9" customFormat="1" x14ac:dyDescent="0.25">
      <c r="B150" s="2">
        <v>4.6566128730775601E-10</v>
      </c>
      <c r="C150" s="2">
        <v>4.6566129279557897E-10</v>
      </c>
      <c r="D150" s="2">
        <v>4.6741025358305402E-10</v>
      </c>
      <c r="E150" s="2">
        <v>3.1754803331751898E-8</v>
      </c>
      <c r="F150" s="2">
        <v>3.1421784998899599E-5</v>
      </c>
      <c r="G150" s="2">
        <v>3.0590715523149601E-2</v>
      </c>
      <c r="H150" s="2">
        <v>0.96940993948279097</v>
      </c>
      <c r="I150" s="2">
        <v>0.99996857893179203</v>
      </c>
      <c r="J150" s="2">
        <v>0.99999764695655002</v>
      </c>
      <c r="K150" s="2">
        <v>0.99999958162297398</v>
      </c>
    </row>
    <row r="151" spans="2:11" s="9" customFormat="1" x14ac:dyDescent="0.25">
      <c r="B151" s="2">
        <v>4.6566128730775105E-10</v>
      </c>
      <c r="C151" s="2">
        <v>4.6566129147198298E-10</v>
      </c>
      <c r="D151" s="2">
        <v>4.6711050631166405E-10</v>
      </c>
      <c r="E151" s="2">
        <v>2.8216634550704701E-8</v>
      </c>
      <c r="F151" s="2">
        <v>2.9239023372037201E-5</v>
      </c>
      <c r="G151" s="2">
        <v>2.9886937420555901E-2</v>
      </c>
      <c r="H151" s="2">
        <v>0.97011365199920097</v>
      </c>
      <c r="I151" s="2">
        <v>0.99997076159320397</v>
      </c>
      <c r="J151" s="2">
        <v>0.99999784944029302</v>
      </c>
      <c r="K151" s="2">
        <v>0.99999962214812999</v>
      </c>
    </row>
    <row r="152" spans="2:11" s="9" customFormat="1" x14ac:dyDescent="0.25">
      <c r="B152" s="2">
        <v>4.6566128730774805E-10</v>
      </c>
      <c r="C152" s="2">
        <v>4.65661290467621E-10</v>
      </c>
      <c r="D152" s="2">
        <v>4.6686213136879599E-10</v>
      </c>
      <c r="E152" s="2">
        <v>2.5078561783447999E-8</v>
      </c>
      <c r="F152" s="2">
        <v>2.7207889928395501E-5</v>
      </c>
      <c r="G152" s="2">
        <v>2.91988646787214E-2</v>
      </c>
      <c r="H152" s="2">
        <v>0.97080166571544901</v>
      </c>
      <c r="I152" s="2">
        <v>0.999972792640759</v>
      </c>
      <c r="J152" s="2">
        <v>0.99999803449646796</v>
      </c>
      <c r="K152" s="2">
        <v>0.99999965874352403</v>
      </c>
    </row>
    <row r="153" spans="2:11" s="9" customFormat="1" x14ac:dyDescent="0.25">
      <c r="B153" s="2">
        <v>4.6566128730774505E-10</v>
      </c>
      <c r="C153" s="2">
        <v>4.6566128970549804E-10</v>
      </c>
      <c r="D153" s="2">
        <v>4.6665632427778704E-10</v>
      </c>
      <c r="E153" s="2">
        <v>2.2295342058260301E-8</v>
      </c>
      <c r="F153" s="2">
        <v>2.5317852010544499E-5</v>
      </c>
      <c r="G153" s="2">
        <v>2.8526168865716701E-2</v>
      </c>
      <c r="H153" s="2">
        <v>0.97147430841178295</v>
      </c>
      <c r="I153" s="2">
        <v>0.99997468260505895</v>
      </c>
      <c r="J153" s="2">
        <v>0.99999820362505198</v>
      </c>
      <c r="K153" s="2">
        <v>0.99999969179022996</v>
      </c>
    </row>
    <row r="154" spans="2:11" s="9" customFormat="1" x14ac:dyDescent="0.25">
      <c r="B154" s="2">
        <v>4.6566128730774298E-10</v>
      </c>
      <c r="C154" s="2">
        <v>4.6566128912718898E-10</v>
      </c>
      <c r="D154" s="2">
        <v>4.6648578952373998E-10</v>
      </c>
      <c r="E154" s="2">
        <v>1.98268485149964E-8</v>
      </c>
      <c r="F154" s="2">
        <v>2.35591085497532E-5</v>
      </c>
      <c r="G154" s="2">
        <v>2.7868527420803601E-2</v>
      </c>
      <c r="H154" s="2">
        <v>0.97213190206144695</v>
      </c>
      <c r="I154" s="2">
        <v>0.99997644128541396</v>
      </c>
      <c r="J154" s="2">
        <v>0.99999835819691896</v>
      </c>
      <c r="K154" s="2">
        <v>0.99999972163237105</v>
      </c>
    </row>
    <row r="155" spans="2:11" s="9" customFormat="1" x14ac:dyDescent="0.25">
      <c r="B155" s="2">
        <v>4.6566128730774205E-10</v>
      </c>
      <c r="C155" s="2">
        <v>4.6566128868836098E-10</v>
      </c>
      <c r="D155" s="2">
        <v>4.6634448193865903E-10</v>
      </c>
      <c r="E155" s="2">
        <v>1.76374918667026E-8</v>
      </c>
      <c r="F155" s="2">
        <v>2.1922539256781601E-5</v>
      </c>
      <c r="G155" s="2">
        <v>2.72256235951241E-2</v>
      </c>
      <c r="H155" s="2">
        <v>0.97277476288373999</v>
      </c>
      <c r="I155" s="2">
        <v>0.99997807780060499</v>
      </c>
      <c r="J155" s="2">
        <v>0.99999849946495201</v>
      </c>
      <c r="K155" s="2">
        <v>0.99999974858069496</v>
      </c>
    </row>
    <row r="156" spans="2:11" s="9" customFormat="1" x14ac:dyDescent="0.25">
      <c r="B156" s="2">
        <v>4.6566128730774102E-10</v>
      </c>
      <c r="C156" s="2">
        <v>4.6566128835537302E-10</v>
      </c>
      <c r="D156" s="2">
        <v>4.6622739240962201E-10</v>
      </c>
      <c r="E156" s="2">
        <v>1.5695707284136901E-8</v>
      </c>
      <c r="F156" s="2">
        <v>2.03996573405962E-5</v>
      </c>
      <c r="G156" s="2">
        <v>2.6597146390725902E-2</v>
      </c>
      <c r="H156" s="2">
        <v>0.97340320139932501</v>
      </c>
      <c r="I156" s="2">
        <v>0.999979600636132</v>
      </c>
      <c r="J156" s="2">
        <v>0.99999862857419897</v>
      </c>
      <c r="K156" s="2">
        <v>0.99999977291581899</v>
      </c>
    </row>
    <row r="157" spans="2:11" s="9" customFormat="1" x14ac:dyDescent="0.25">
      <c r="B157" s="2">
        <v>4.6566128730774102E-10</v>
      </c>
      <c r="C157" s="2">
        <v>4.6566128810269705E-10</v>
      </c>
      <c r="D157" s="2">
        <v>4.6613037031362203E-10</v>
      </c>
      <c r="E157" s="2">
        <v>1.3973499304814E-8</v>
      </c>
      <c r="F157" s="2">
        <v>1.8982565510155799E-5</v>
      </c>
      <c r="G157" s="2">
        <v>2.59827904980677E-2</v>
      </c>
      <c r="H157" s="2">
        <v>0.97401752248761597</v>
      </c>
      <c r="I157" s="2">
        <v>0.99998101768817904</v>
      </c>
      <c r="J157" s="2">
        <v>0.99999874657115495</v>
      </c>
      <c r="K157" s="2">
        <v>0.99999979489114899</v>
      </c>
    </row>
    <row r="158" spans="2:11" s="9" customFormat="1" x14ac:dyDescent="0.25">
      <c r="B158" s="2">
        <v>4.6566128730773998E-10</v>
      </c>
      <c r="C158" s="2">
        <v>4.6566128791096299E-10</v>
      </c>
      <c r="D158" s="2">
        <v>4.6604997638458997E-10</v>
      </c>
      <c r="E158" s="2">
        <v>1.24460382048769E-8</v>
      </c>
      <c r="F158" s="2">
        <v>1.7663915031381202E-5</v>
      </c>
      <c r="G158" s="2">
        <v>2.5382256232130501E-2</v>
      </c>
      <c r="H158" s="2">
        <v>0.97461802544605103</v>
      </c>
      <c r="I158" s="2">
        <v>0.99998233630453304</v>
      </c>
      <c r="J158" s="2">
        <v>0.99999885441224401</v>
      </c>
      <c r="K158" s="2">
        <v>0.99999981473551602</v>
      </c>
    </row>
    <row r="159" spans="2:11" s="9" customFormat="1" x14ac:dyDescent="0.25">
      <c r="B159" s="2">
        <v>4.6566128730773998E-10</v>
      </c>
      <c r="C159" s="2">
        <v>4.6566128776547402E-10</v>
      </c>
      <c r="D159" s="2">
        <v>4.6598336079697203E-10</v>
      </c>
      <c r="E159" s="2">
        <v>1.1091302014144501E-8</v>
      </c>
      <c r="F159" s="2">
        <v>1.64368676272455E-5</v>
      </c>
      <c r="G159" s="2">
        <v>2.47952494672707E-2</v>
      </c>
      <c r="H159" s="2">
        <v>0.97520500405106902</v>
      </c>
      <c r="I159" s="2">
        <v>0.99998356332265903</v>
      </c>
      <c r="J159" s="2">
        <v>0.99999895297157204</v>
      </c>
      <c r="K159" s="2">
        <v>0.99999983265556103</v>
      </c>
    </row>
    <row r="160" spans="2:11" s="9" customFormat="1" x14ac:dyDescent="0.25">
      <c r="B160" s="2">
        <v>4.6566128730773998E-10</v>
      </c>
      <c r="C160" s="2">
        <v>4.6566128765507405E-10</v>
      </c>
      <c r="D160" s="2">
        <v>4.6592816214405498E-10</v>
      </c>
      <c r="E160" s="2">
        <v>9.8897590128194405E-9</v>
      </c>
      <c r="F160" s="2">
        <v>1.52950600236189E-5</v>
      </c>
      <c r="G160" s="2">
        <v>2.42214815709248E-2</v>
      </c>
      <c r="H160" s="2">
        <v>0.97577874662063302</v>
      </c>
      <c r="I160" s="2">
        <v>0.99998470510513504</v>
      </c>
      <c r="J160" s="2">
        <v>0.99999904304800902</v>
      </c>
      <c r="K160" s="2">
        <v>0.99999984883788695</v>
      </c>
    </row>
    <row r="161" spans="2:11" s="9" customFormat="1" x14ac:dyDescent="0.25">
      <c r="B161" s="2">
        <v>4.6566128730773998E-10</v>
      </c>
      <c r="C161" s="2">
        <v>4.6566128757130102E-10</v>
      </c>
      <c r="D161" s="2">
        <v>4.65882423729987E-10</v>
      </c>
      <c r="E161" s="2">
        <v>8.8240861320430606E-9</v>
      </c>
      <c r="F161" s="2">
        <v>1.42325709572026E-5</v>
      </c>
      <c r="G161" s="2">
        <v>2.36606693362993E-2</v>
      </c>
      <c r="H161" s="2">
        <v>0.97633953607815205</v>
      </c>
      <c r="I161" s="2">
        <v>0.99998576757263102</v>
      </c>
      <c r="J161" s="2">
        <v>0.99999912537167002</v>
      </c>
      <c r="K161" s="2">
        <v>0.999999863451003</v>
      </c>
    </row>
    <row r="162" spans="2:11" s="9" customFormat="1" x14ac:dyDescent="0.25">
      <c r="B162" s="2">
        <v>4.6566128730773998E-10</v>
      </c>
      <c r="C162" s="2">
        <v>4.6566128750773302E-10</v>
      </c>
      <c r="D162" s="2">
        <v>4.6584452420815997E-10</v>
      </c>
      <c r="E162" s="2">
        <v>7.8789191981682793E-9</v>
      </c>
      <c r="F162" s="2">
        <v>1.3243890474622901E-5</v>
      </c>
      <c r="G162" s="2">
        <v>2.3112534914145302E-2</v>
      </c>
      <c r="H162" s="2">
        <v>0.97688765001762601</v>
      </c>
      <c r="I162" s="2">
        <v>0.99998675623458899</v>
      </c>
      <c r="J162" s="2">
        <v>0.99999920060982705</v>
      </c>
      <c r="K162" s="2">
        <v>0.99999987664707601</v>
      </c>
    </row>
    <row r="163" spans="2:11" s="9" customFormat="1" x14ac:dyDescent="0.25">
      <c r="B163" s="2">
        <v>4.65661287307739E-10</v>
      </c>
      <c r="C163" s="2">
        <v>4.6566128745949702E-10</v>
      </c>
      <c r="D163" s="2">
        <v>4.6581312010718401E-10</v>
      </c>
      <c r="E163" s="2">
        <v>7.0406314197694503E-9</v>
      </c>
      <c r="F163" s="2">
        <v>1.2323891363622401E-5</v>
      </c>
      <c r="G163" s="2">
        <v>2.2576805743734801E-2</v>
      </c>
      <c r="H163" s="2">
        <v>0.97742336076990899</v>
      </c>
      <c r="I163" s="2">
        <v>0.99998767621778495</v>
      </c>
      <c r="J163" s="2">
        <v>0.99999926937232197</v>
      </c>
      <c r="K163" s="2">
        <v>0.99999988856351796</v>
      </c>
    </row>
    <row r="164" spans="2:11" s="9" customFormat="1" x14ac:dyDescent="0.25">
      <c r="B164" s="2">
        <v>4.65661287307739E-10</v>
      </c>
      <c r="C164" s="2">
        <v>4.65661287422895E-10</v>
      </c>
      <c r="D164" s="2">
        <v>4.6578709820709099E-10</v>
      </c>
      <c r="E164" s="2">
        <v>6.2971369236225502E-9</v>
      </c>
      <c r="F164" s="2">
        <v>1.1467802568315E-5</v>
      </c>
      <c r="G164" s="2">
        <v>2.2053214483139801E-2</v>
      </c>
      <c r="H164" s="2">
        <v>0.97794693546991396</v>
      </c>
      <c r="I164" s="2">
        <v>0.99998853229290097</v>
      </c>
      <c r="J164" s="2">
        <v>0.99999933221650805</v>
      </c>
      <c r="K164" s="2">
        <v>0.99999989932441502</v>
      </c>
    </row>
    <row r="165" spans="2:11" s="9" customFormat="1" x14ac:dyDescent="0.25">
      <c r="B165" s="2">
        <v>4.65661287307739E-10</v>
      </c>
      <c r="C165" s="2">
        <v>4.6566128739512096E-10</v>
      </c>
      <c r="D165" s="2">
        <v>4.6576553607757397E-10</v>
      </c>
      <c r="E165" s="2">
        <v>5.6377165070561198E-9</v>
      </c>
      <c r="F165" s="2">
        <v>1.0671184450753099E-5</v>
      </c>
      <c r="G165" s="2">
        <v>2.1541498938915299E-2</v>
      </c>
      <c r="H165" s="2">
        <v>0.97845863612469397</v>
      </c>
      <c r="I165" s="2">
        <v>0.99998932889925396</v>
      </c>
      <c r="J165" s="2">
        <v>0.99999938965176904</v>
      </c>
      <c r="K165" s="2">
        <v>0.99999990904182201</v>
      </c>
    </row>
    <row r="166" spans="2:11" s="9" customFormat="1" x14ac:dyDescent="0.25">
      <c r="B166" s="2">
        <v>4.65661287307739E-10</v>
      </c>
      <c r="C166" s="2">
        <v>4.6566128737404595E-10</v>
      </c>
      <c r="D166" s="2">
        <v>4.6574766937941098E-10</v>
      </c>
      <c r="E166" s="2">
        <v>5.0528630944002999E-9</v>
      </c>
      <c r="F166" s="2">
        <v>9.9299057706077495E-6</v>
      </c>
      <c r="G166" s="2">
        <v>2.1041401995278701E-2</v>
      </c>
      <c r="H166" s="2">
        <v>0.97895871968221004</v>
      </c>
      <c r="I166" s="2">
        <v>0.99999007016781005</v>
      </c>
      <c r="J166" s="2">
        <v>0.999999442143642</v>
      </c>
      <c r="K166" s="2">
        <v>0.99999991781692699</v>
      </c>
    </row>
    <row r="167" spans="2:11" s="9" customFormat="1" x14ac:dyDescent="0.25">
      <c r="B167" s="2">
        <v>4.65661287307739E-10</v>
      </c>
      <c r="C167" s="2">
        <v>4.6566128735805304E-10</v>
      </c>
      <c r="D167" s="2">
        <v>4.6573286476994396E-10</v>
      </c>
      <c r="E167" s="2">
        <v>4.5341446693523396E-9</v>
      </c>
      <c r="F167" s="2">
        <v>9.2401222636628997E-6</v>
      </c>
      <c r="G167" s="2">
        <v>2.0552671542878601E-2</v>
      </c>
      <c r="H167" s="2">
        <v>0.97944743810073298</v>
      </c>
      <c r="I167" s="2">
        <v>0.9999907599426</v>
      </c>
      <c r="J167" s="2">
        <v>0.99999949011760203</v>
      </c>
      <c r="K167" s="2">
        <v>0.99999992574110497</v>
      </c>
    </row>
    <row r="168" spans="2:11" s="9" customFormat="1" x14ac:dyDescent="0.25">
      <c r="B168" s="2">
        <v>4.65661287307739E-10</v>
      </c>
      <c r="C168" s="2">
        <v>4.6566128734591799E-10</v>
      </c>
      <c r="D168" s="2">
        <v>4.6572059745217805E-10</v>
      </c>
      <c r="E168" s="2">
        <v>4.0740827070538204E-9</v>
      </c>
      <c r="F168" s="2">
        <v>8.5982567081065402E-6</v>
      </c>
      <c r="G168" s="2">
        <v>2.0075060407236799E-2</v>
      </c>
      <c r="H168" s="2">
        <v>0.97992503841874301</v>
      </c>
      <c r="I168" s="2">
        <v>0.99999140180064405</v>
      </c>
      <c r="J168" s="2">
        <v>0.99999953396249797</v>
      </c>
      <c r="K168" s="2">
        <v>0.99999993289687095</v>
      </c>
    </row>
    <row r="169" spans="2:11" s="9" customFormat="1" x14ac:dyDescent="0.25">
      <c r="B169" s="2">
        <v>4.65661287307739E-10</v>
      </c>
      <c r="C169" s="2">
        <v>4.6566128733671002E-10</v>
      </c>
      <c r="D169" s="2">
        <v>4.6571043257163503E-10</v>
      </c>
      <c r="E169" s="2">
        <v>3.66604435314599E-9</v>
      </c>
      <c r="F169" s="2">
        <v>8.0009803753067807E-6</v>
      </c>
      <c r="G169" s="2">
        <v>1.96083262769523E-2</v>
      </c>
      <c r="H169" s="2">
        <v>0.98039176282523299</v>
      </c>
      <c r="I169" s="2">
        <v>0.99999199907049696</v>
      </c>
      <c r="J169" s="2">
        <v>0.99999957403371598</v>
      </c>
      <c r="K169" s="2">
        <v>0.99999993935873799</v>
      </c>
    </row>
    <row r="170" spans="2:11" s="9" customFormat="1" x14ac:dyDescent="0.25">
      <c r="B170" s="2">
        <v>4.65661287307739E-10</v>
      </c>
      <c r="C170" s="2">
        <v>4.6566128732972303E-10</v>
      </c>
      <c r="D170" s="2">
        <v>4.6570200980151803E-10</v>
      </c>
      <c r="E170" s="2">
        <v>3.30414679527783E-9</v>
      </c>
      <c r="F170" s="2">
        <v>7.44519576892912E-6</v>
      </c>
      <c r="G170" s="2">
        <v>1.91522316317345E-2</v>
      </c>
      <c r="H170" s="2">
        <v>0.98084784873032504</v>
      </c>
      <c r="I170" s="2">
        <v>0.99999255484951</v>
      </c>
      <c r="J170" s="2">
        <v>0.99999961065605103</v>
      </c>
      <c r="K170" s="2">
        <v>0.99999994519399504</v>
      </c>
    </row>
    <row r="171" spans="2:11" s="9" customFormat="1" x14ac:dyDescent="0.25">
      <c r="B171" s="2">
        <v>4.65661287307739E-10</v>
      </c>
      <c r="C171" s="2">
        <v>4.6566128732442101E-10</v>
      </c>
      <c r="D171" s="2">
        <v>4.6569503056975595E-10</v>
      </c>
      <c r="E171" s="2">
        <v>2.9831724483273801E-9</v>
      </c>
      <c r="F171" s="2">
        <v>6.9280205629306997E-6</v>
      </c>
      <c r="G171" s="2">
        <v>1.8706543670351398E-2</v>
      </c>
      <c r="H171" s="2">
        <v>0.98129352883610699</v>
      </c>
      <c r="I171" s="2">
        <v>0.99999307201988097</v>
      </c>
      <c r="J171" s="2">
        <v>0.99999964412634501</v>
      </c>
      <c r="K171" s="2">
        <v>0.99999995046340395</v>
      </c>
    </row>
    <row r="172" spans="2:11" s="9" customFormat="1" x14ac:dyDescent="0.25">
      <c r="B172" s="2">
        <v>4.65661287307739E-10</v>
      </c>
      <c r="C172" s="2">
        <v>4.6566128732039698E-10</v>
      </c>
      <c r="D172" s="2">
        <v>4.6568924747514703E-10</v>
      </c>
      <c r="E172" s="2">
        <v>2.69849373051101E-9</v>
      </c>
      <c r="F172" s="2">
        <v>6.4467726551725197E-6</v>
      </c>
      <c r="G172" s="2">
        <v>1.8271034238554602E-2</v>
      </c>
      <c r="H172" s="2">
        <v>0.98172903120761801</v>
      </c>
      <c r="I172" s="2">
        <v>0.99999355326360595</v>
      </c>
      <c r="J172" s="2">
        <v>0.99999967471589002</v>
      </c>
      <c r="K172" s="2">
        <v>0.99999995522183605</v>
      </c>
    </row>
    <row r="173" spans="2:11" s="9" customFormat="1" x14ac:dyDescent="0.25">
      <c r="B173" s="2">
        <v>4.65661287307739E-10</v>
      </c>
      <c r="C173" s="2">
        <v>4.6566128731734396E-10</v>
      </c>
      <c r="D173" s="2">
        <v>4.6568445551741996E-10</v>
      </c>
      <c r="E173" s="2">
        <v>2.4460063458336199E-9</v>
      </c>
      <c r="F173" s="2">
        <v>5.9989562591769599E-6</v>
      </c>
      <c r="G173" s="2">
        <v>1.78454797570506E-2</v>
      </c>
      <c r="H173" s="2">
        <v>0.98215457934388095</v>
      </c>
      <c r="I173" s="2">
        <v>0.99999400107637604</v>
      </c>
      <c r="J173" s="2">
        <v>0.99999970267262805</v>
      </c>
      <c r="K173" s="2">
        <v>0.99999995951884002</v>
      </c>
    </row>
    <row r="174" spans="2:11" s="9" customFormat="1" x14ac:dyDescent="0.25">
      <c r="B174" s="2">
        <v>4.65661287307739E-10</v>
      </c>
      <c r="C174" s="2">
        <v>4.6566128731502796E-10</v>
      </c>
      <c r="D174" s="2">
        <v>4.6568048483033303E-10</v>
      </c>
      <c r="E174" s="2">
        <v>2.2220701109751899E-9</v>
      </c>
      <c r="F174" s="2">
        <v>5.5822489619297903E-6</v>
      </c>
      <c r="G174" s="2">
        <v>1.7429661149583501E-2</v>
      </c>
      <c r="H174" s="2">
        <v>0.98257039224893405</v>
      </c>
      <c r="I174" s="2">
        <v>0.999994417780528</v>
      </c>
      <c r="J174" s="2">
        <v>0.99999972822316396</v>
      </c>
      <c r="K174" s="2">
        <v>0.99999996339916197</v>
      </c>
    </row>
    <row r="175" spans="2:11" s="9" customFormat="1" x14ac:dyDescent="0.25">
      <c r="B175" s="2">
        <v>4.65661287307739E-10</v>
      </c>
      <c r="C175" s="2">
        <v>4.6566128731326999E-10</v>
      </c>
      <c r="D175" s="2">
        <v>4.6567719466022202E-10</v>
      </c>
      <c r="E175" s="2">
        <v>2.0234564734843599E-9</v>
      </c>
      <c r="F175" s="2">
        <v>5.1944896806392903E-6</v>
      </c>
      <c r="G175" s="2">
        <v>1.7023363771184699E-2</v>
      </c>
      <c r="H175" s="2">
        <v>0.98297668450278097</v>
      </c>
      <c r="I175" s="2">
        <v>0.99999480553707398</v>
      </c>
      <c r="J175" s="2">
        <v>0.99999975157459497</v>
      </c>
      <c r="K175" s="2">
        <v>0.99999996690320703</v>
      </c>
    </row>
    <row r="176" spans="2:11" s="9" customFormat="1" x14ac:dyDescent="0.25">
      <c r="B176" s="2">
        <v>4.65661287307739E-10</v>
      </c>
      <c r="C176" s="2">
        <v>4.6566128731193596E-10</v>
      </c>
      <c r="D176" s="2">
        <v>4.6567446837652597E-10</v>
      </c>
      <c r="E176" s="2">
        <v>1.8473019646208799E-9</v>
      </c>
      <c r="F176" s="2">
        <v>4.8336674560150997E-6</v>
      </c>
      <c r="G176" s="2">
        <v>1.66263773366476E-2</v>
      </c>
      <c r="H176" s="2">
        <v>0.98337366633218903</v>
      </c>
      <c r="I176" s="2">
        <v>0.99999516635691699</v>
      </c>
      <c r="J176" s="2">
        <v>0.99999977291619502</v>
      </c>
      <c r="K176" s="2">
        <v>0.999999970067463</v>
      </c>
    </row>
    <row r="177" spans="2:11" s="9" customFormat="1" x14ac:dyDescent="0.25">
      <c r="B177" s="2">
        <v>4.65661287307739E-10</v>
      </c>
      <c r="C177" s="2">
        <v>4.6566128731092401E-10</v>
      </c>
      <c r="D177" s="2">
        <v>4.65672209337445E-10</v>
      </c>
      <c r="E177" s="2">
        <v>1.69106691575436E-9</v>
      </c>
      <c r="F177" s="2">
        <v>4.4979110239723299E-6</v>
      </c>
      <c r="G177" s="2">
        <v>1.6238495849277799E-2</v>
      </c>
      <c r="H177" s="2">
        <v>0.98376154368128799</v>
      </c>
      <c r="I177" s="2">
        <v>0.99999550211127097</v>
      </c>
      <c r="J177" s="2">
        <v>0.99999979242095005</v>
      </c>
      <c r="K177" s="2">
        <v>0.99999997292487897</v>
      </c>
    </row>
    <row r="178" spans="2:11" s="9" customFormat="1" x14ac:dyDescent="0.25">
      <c r="B178" s="2">
        <v>4.65661287307739E-10</v>
      </c>
      <c r="C178" s="2">
        <v>4.6566128731015597E-10</v>
      </c>
      <c r="D178" s="2">
        <v>4.6567033746416003E-10</v>
      </c>
      <c r="E178" s="2">
        <v>1.5524988431136E-9</v>
      </c>
      <c r="F178" s="2">
        <v>4.1854791116954802E-6</v>
      </c>
      <c r="G178" s="2">
        <v>1.5859517529973999E-2</v>
      </c>
      <c r="H178" s="2">
        <v>0.98414051828190696</v>
      </c>
      <c r="I178" s="2">
        <v>0.99999581454136599</v>
      </c>
      <c r="J178" s="2">
        <v>0.99999981024695295</v>
      </c>
      <c r="K178" s="2">
        <v>0.99999997550521103</v>
      </c>
    </row>
    <row r="179" spans="2:11" s="9" customFormat="1" x14ac:dyDescent="0.25">
      <c r="B179" s="2">
        <v>4.65661287307739E-10</v>
      </c>
      <c r="C179" s="2">
        <v>4.6566128730957301E-10</v>
      </c>
      <c r="D179" s="2">
        <v>4.6566878640217999E-10</v>
      </c>
      <c r="E179" s="2">
        <v>1.4295999729881899E-9</v>
      </c>
      <c r="F179" s="2">
        <v>3.8947514077523702E-6</v>
      </c>
      <c r="G179" s="2">
        <v>1.54892447466772E-2</v>
      </c>
      <c r="H179" s="2">
        <v>0.98451078772358902</v>
      </c>
      <c r="I179" s="2">
        <v>0.99999610526747695</v>
      </c>
      <c r="J179" s="2">
        <v>0.99999982653869401</v>
      </c>
      <c r="K179" s="2">
        <v>0.99999997783532601</v>
      </c>
    </row>
    <row r="180" spans="2:11" s="9" customFormat="1" x14ac:dyDescent="0.25">
      <c r="B180" s="2">
        <v>4.65661287307739E-10</v>
      </c>
      <c r="C180" s="2">
        <v>4.6566128730913099E-10</v>
      </c>
      <c r="D180" s="2">
        <v>4.6566750116919398E-10</v>
      </c>
      <c r="E180" s="2">
        <v>1.3205984391784699E-9</v>
      </c>
      <c r="F180" s="2">
        <v>3.6242201594425302E-6</v>
      </c>
      <c r="G180" s="2">
        <v>1.5127483944239E-2</v>
      </c>
      <c r="H180" s="2">
        <v>0.98487254552325199</v>
      </c>
      <c r="I180" s="2">
        <v>0.99999637579732503</v>
      </c>
      <c r="J180" s="2">
        <v>0.99999984142822296</v>
      </c>
      <c r="K180" s="2">
        <v>0.99999997993948997</v>
      </c>
    </row>
    <row r="181" spans="2:11" s="9" customFormat="1" x14ac:dyDescent="0.25">
      <c r="B181" s="2">
        <v>4.65661287307739E-10</v>
      </c>
      <c r="C181" s="2">
        <v>4.6566128730879505E-10</v>
      </c>
      <c r="D181" s="2">
        <v>4.6566643620604903E-10</v>
      </c>
      <c r="E181" s="2">
        <v>1.2239227374352201E-9</v>
      </c>
      <c r="F181" s="2">
        <v>3.3724823538143999E-6</v>
      </c>
      <c r="G181" s="2">
        <v>1.4774045574744901E-2</v>
      </c>
      <c r="H181" s="2">
        <v>0.98522598119443805</v>
      </c>
      <c r="I181" s="2">
        <v>0.99999662753389595</v>
      </c>
      <c r="J181" s="2">
        <v>0.99999985503622901</v>
      </c>
      <c r="K181" s="2">
        <v>0.99999998183961103</v>
      </c>
    </row>
    <row r="182" spans="2:11" s="9" customFormat="1" x14ac:dyDescent="0.25">
      <c r="B182" s="2">
        <v>4.65661287307739E-10</v>
      </c>
      <c r="C182" s="2">
        <v>4.6566128730853997E-10</v>
      </c>
      <c r="D182" s="2">
        <v>4.6566555376175597E-10</v>
      </c>
      <c r="E182" s="2">
        <v>1.1381790685882499E-9</v>
      </c>
      <c r="F182" s="2">
        <v>3.1382324418122598E-6</v>
      </c>
      <c r="G182" s="2">
        <v>1.44287440283337E-2</v>
      </c>
      <c r="H182" s="2">
        <v>0.98557128031609897</v>
      </c>
      <c r="I182" s="2">
        <v>0.99999686178271696</v>
      </c>
      <c r="J182" s="2">
        <v>0.99999986747300895</v>
      </c>
      <c r="K182" s="2">
        <v>0.99999998355547703</v>
      </c>
    </row>
    <row r="183" spans="2:11" s="9" customFormat="1" x14ac:dyDescent="0.25">
      <c r="B183" s="2">
        <v>4.65661287307739E-10</v>
      </c>
      <c r="C183" s="2">
        <v>4.6566128730834703E-10</v>
      </c>
      <c r="D183" s="2">
        <v>4.6566482255529004E-10</v>
      </c>
      <c r="E183" s="2">
        <v>1.0621312437106599E-9</v>
      </c>
      <c r="F183" s="2">
        <v>2.92025556782765E-6</v>
      </c>
      <c r="G183" s="2">
        <v>1.4091397564546099E-2</v>
      </c>
      <c r="H183" s="2">
        <v>0.985908624600909</v>
      </c>
      <c r="I183" s="2">
        <v>0.99999707975862395</v>
      </c>
      <c r="J183" s="2">
        <v>0.99999987883937103</v>
      </c>
      <c r="K183" s="2">
        <v>0.99999998510495403</v>
      </c>
    </row>
    <row r="184" spans="2:11" s="9" customFormat="1" x14ac:dyDescent="0.25">
      <c r="B184" s="2">
        <v>4.65661287307739E-10</v>
      </c>
      <c r="C184" s="2">
        <v>4.6566128730820103E-10</v>
      </c>
      <c r="D184" s="2">
        <v>4.65664216666729E-10</v>
      </c>
      <c r="E184" s="2">
        <v>9.9468286160328204E-10</v>
      </c>
      <c r="F184" s="2">
        <v>2.7174212695515002E-6</v>
      </c>
      <c r="G184" s="2">
        <v>1.3761828244234499E-2</v>
      </c>
      <c r="H184" s="2">
        <v>0.98623819196303897</v>
      </c>
      <c r="I184" s="2">
        <v>0.999997282592061</v>
      </c>
      <c r="J184" s="2">
        <v>0.99999988922744298</v>
      </c>
      <c r="K184" s="2">
        <v>0.99999998650417798</v>
      </c>
    </row>
    <row r="185" spans="2:11" s="9" customFormat="1" x14ac:dyDescent="0.25">
      <c r="B185" s="2">
        <v>4.65661287307739E-10</v>
      </c>
      <c r="C185" s="2">
        <v>4.6566128730808895E-10</v>
      </c>
      <c r="D185" s="2">
        <v>4.6566371461844405E-10</v>
      </c>
      <c r="E185" s="2">
        <v>9.3486150164565296E-10</v>
      </c>
      <c r="F185" s="2">
        <v>2.52867761545958E-6</v>
      </c>
      <c r="G185" s="2">
        <v>1.3439861862067699E-2</v>
      </c>
      <c r="H185" s="2">
        <v>0.986560156585365</v>
      </c>
      <c r="I185" s="2">
        <v>0.99999747133494599</v>
      </c>
      <c r="J185" s="2">
        <v>0.99999989872142703</v>
      </c>
      <c r="K185" s="2">
        <v>0.99999998776771903</v>
      </c>
    </row>
    <row r="186" spans="2:11" s="9" customFormat="1" x14ac:dyDescent="0.25">
      <c r="B186" s="2">
        <v>4.65661287307739E-10</v>
      </c>
      <c r="C186" s="2">
        <v>4.6566128730800499E-10</v>
      </c>
      <c r="D186" s="2">
        <v>4.6566329861375204E-10</v>
      </c>
      <c r="E186" s="2">
        <v>8.8180470411581699E-10</v>
      </c>
      <c r="F186" s="2">
        <v>2.3530457495341801E-6</v>
      </c>
      <c r="G186" s="2">
        <v>1.3125327879653099E-2</v>
      </c>
      <c r="H186" s="2">
        <v>0.98687468898609998</v>
      </c>
      <c r="I186" s="2">
        <v>0.99999764696612303</v>
      </c>
      <c r="J186" s="2">
        <v>0.99999990739827405</v>
      </c>
      <c r="K186" s="2">
        <v>0.99999998890873298</v>
      </c>
    </row>
    <row r="187" spans="2:11" s="9" customFormat="1" x14ac:dyDescent="0.25">
      <c r="B187" s="2">
        <v>4.65661287307739E-10</v>
      </c>
      <c r="C187" s="2">
        <v>4.6566128730794099E-10</v>
      </c>
      <c r="D187" s="2">
        <v>4.6566295390606197E-10</v>
      </c>
      <c r="E187" s="2">
        <v>8.3474753585198095E-10</v>
      </c>
      <c r="F187" s="2">
        <v>2.1896148149351099E-6</v>
      </c>
      <c r="G187" s="2">
        <v>1.28180593593081E-2</v>
      </c>
      <c r="H187" s="2">
        <v>0.98718195608478898</v>
      </c>
      <c r="I187" s="2">
        <v>0.99999781039643698</v>
      </c>
      <c r="J187" s="2">
        <v>0.999999915328316</v>
      </c>
      <c r="K187" s="2">
        <v>0.999999989939103</v>
      </c>
    </row>
    <row r="188" spans="2:11" s="9" customFormat="1" x14ac:dyDescent="0.25">
      <c r="B188" s="2">
        <v>4.65661287307739E-10</v>
      </c>
      <c r="C188" s="2">
        <v>4.6566128730789198E-10</v>
      </c>
      <c r="D188" s="2">
        <v>4.6566266827612399E-10</v>
      </c>
      <c r="E188" s="2">
        <v>7.9301156198582899E-10</v>
      </c>
      <c r="F188" s="2">
        <v>2.03753723029731E-6</v>
      </c>
      <c r="G188" s="2">
        <v>1.25178928984978E-2</v>
      </c>
      <c r="H188" s="2">
        <v>0.98748212126766599</v>
      </c>
      <c r="I188" s="2">
        <v>0.99999796247346096</v>
      </c>
      <c r="J188" s="2">
        <v>0.99999992257582804</v>
      </c>
      <c r="K188" s="2">
        <v>0.99999999086955704</v>
      </c>
    </row>
    <row r="189" spans="2:11" s="9" customFormat="1" x14ac:dyDescent="0.25">
      <c r="B189" s="2">
        <v>4.65661287307739E-10</v>
      </c>
      <c r="C189" s="2">
        <v>4.6566128730785496E-10</v>
      </c>
      <c r="D189" s="2">
        <v>4.65662431598891E-10</v>
      </c>
      <c r="E189" s="2">
        <v>7.5599506474905896E-10</v>
      </c>
      <c r="F189" s="2">
        <v>1.8960242941618099E-6</v>
      </c>
      <c r="G189" s="2">
        <v>1.22246685649668E-2</v>
      </c>
      <c r="H189" s="2">
        <v>0.98777534445233905</v>
      </c>
      <c r="I189" s="2">
        <v>0.99999810398588895</v>
      </c>
      <c r="J189" s="2">
        <v>0.99999992919955505</v>
      </c>
      <c r="K189" s="2">
        <v>0.99999999170978504</v>
      </c>
    </row>
    <row r="190" spans="2:11" s="9" customFormat="1" x14ac:dyDescent="0.25">
      <c r="B190" s="2">
        <v>4.65661287307739E-10</v>
      </c>
      <c r="C190" s="2">
        <v>4.6566128730782704E-10</v>
      </c>
      <c r="D190" s="2">
        <v>4.6566223548459803E-10</v>
      </c>
      <c r="E190" s="2">
        <v>7.2316436833426498E-10</v>
      </c>
      <c r="F190" s="2">
        <v>1.7643420947472E-6</v>
      </c>
      <c r="G190" s="2">
        <v>1.19382298325801E-2</v>
      </c>
      <c r="H190" s="2">
        <v>0.98806178215177998</v>
      </c>
      <c r="I190" s="2">
        <v>0.99999823566762602</v>
      </c>
      <c r="J190" s="2">
        <v>0.99999993525318598</v>
      </c>
      <c r="K190" s="2">
        <v>0.99999999246853499</v>
      </c>
    </row>
    <row r="191" spans="2:11" s="9" customFormat="1" x14ac:dyDescent="0.25">
      <c r="B191" s="2">
        <v>4.65661287307739E-10</v>
      </c>
      <c r="C191" s="2">
        <v>4.6566128730780595E-10</v>
      </c>
      <c r="D191" s="2">
        <v>4.6566207298136204E-10</v>
      </c>
      <c r="E191" s="2">
        <v>6.9404614473780204E-10</v>
      </c>
      <c r="F191" s="2">
        <v>1.6418077038515999E-6</v>
      </c>
      <c r="G191" s="2">
        <v>1.1658423517892799E-2</v>
      </c>
      <c r="H191" s="2">
        <v>0.98834158753760804</v>
      </c>
      <c r="I191" s="2">
        <v>0.999998358201594</v>
      </c>
      <c r="J191" s="2">
        <v>0.99999994078578902</v>
      </c>
      <c r="K191" s="2">
        <v>0.99999999315371002</v>
      </c>
    </row>
    <row r="192" spans="2:11" s="9" customFormat="1" x14ac:dyDescent="0.25">
      <c r="B192" s="2">
        <v>4.65661287307739E-10</v>
      </c>
      <c r="C192" s="2">
        <v>4.6566128730779003E-10</v>
      </c>
      <c r="D192" s="2">
        <v>4.6566193832874597E-10</v>
      </c>
      <c r="E192" s="2">
        <v>6.6822058965538098E-10</v>
      </c>
      <c r="F192" s="2">
        <v>1.52778563514887E-6</v>
      </c>
      <c r="G192" s="2">
        <v>1.1385099717463799E-2</v>
      </c>
      <c r="H192" s="2">
        <v>0.98861491050264105</v>
      </c>
      <c r="I192" s="2">
        <v>0.99999847222327398</v>
      </c>
      <c r="J192" s="2">
        <v>0.99999994584220697</v>
      </c>
      <c r="K192" s="2">
        <v>0.99999999377244198</v>
      </c>
    </row>
    <row r="193" spans="2:11" s="9" customFormat="1" x14ac:dyDescent="0.25">
      <c r="B193" s="2">
        <v>4.65661287307739E-10</v>
      </c>
      <c r="C193" s="2">
        <v>4.6566128730777803E-10</v>
      </c>
      <c r="D193" s="2">
        <v>4.6566182675357098E-10</v>
      </c>
      <c r="E193" s="2">
        <v>6.4531537004495101E-10</v>
      </c>
      <c r="F193" s="2">
        <v>1.4216845485135501E-6</v>
      </c>
      <c r="G193" s="2">
        <v>1.11181117459302E-2</v>
      </c>
      <c r="H193" s="2">
        <v>0.98888189772269397</v>
      </c>
      <c r="I193" s="2">
        <v>0.99999857832400296</v>
      </c>
      <c r="J193" s="2">
        <v>0.99999995046342505</v>
      </c>
      <c r="K193" s="2">
        <v>0.99999999433117603</v>
      </c>
    </row>
    <row r="194" spans="2:11" s="9" customFormat="1" x14ac:dyDescent="0.25">
      <c r="B194" s="2">
        <v>4.65661287307739E-10</v>
      </c>
      <c r="C194" s="2">
        <v>4.65661287307768E-10</v>
      </c>
      <c r="D194" s="2">
        <v>4.6566173430070802E-10</v>
      </c>
      <c r="E194" s="2">
        <v>6.2500025609707198E-10</v>
      </c>
      <c r="F194" s="2">
        <v>1.32295418328409E-6</v>
      </c>
      <c r="G194" s="2">
        <v>1.08573160748497E-2</v>
      </c>
      <c r="H194" s="2">
        <v>0.989142692717637</v>
      </c>
      <c r="I194" s="2">
        <v>0.999998677054037</v>
      </c>
      <c r="J194" s="2">
        <v>0.99999995468689995</v>
      </c>
      <c r="K194" s="2">
        <v>0.99999999483572899</v>
      </c>
    </row>
    <row r="195" spans="2:11" s="9" customFormat="1" x14ac:dyDescent="0.25">
      <c r="B195" s="2">
        <v>4.65661287307739E-10</v>
      </c>
      <c r="C195" s="2">
        <v>4.6566128730776097E-10</v>
      </c>
      <c r="D195" s="2">
        <v>4.6566165769287703E-10</v>
      </c>
      <c r="E195" s="2">
        <v>6.0698236022002102E-10</v>
      </c>
      <c r="F195" s="2">
        <v>1.23108250456192E-6</v>
      </c>
      <c r="G195" s="2">
        <v>1.0602572272329899E-2</v>
      </c>
      <c r="H195" s="2">
        <v>0.98939743591165896</v>
      </c>
      <c r="I195" s="2">
        <v>0.99999876892540696</v>
      </c>
      <c r="J195" s="2">
        <v>0.99999995854686496</v>
      </c>
      <c r="K195" s="2">
        <v>0.99999999529135497</v>
      </c>
    </row>
    <row r="196" spans="2:11" s="9" customFormat="1" x14ac:dyDescent="0.25">
      <c r="B196" s="2">
        <v>4.65661287307739E-10</v>
      </c>
      <c r="C196" s="2">
        <v>4.6566128730775601E-10</v>
      </c>
      <c r="D196" s="2">
        <v>4.6566159421447599E-10</v>
      </c>
      <c r="E196" s="2">
        <v>5.91001914398665E-10</v>
      </c>
      <c r="F196" s="2">
        <v>1.14559304774732E-6</v>
      </c>
      <c r="G196" s="2">
        <v>1.0353742943445699E-2</v>
      </c>
      <c r="H196" s="2">
        <v>0.98964626469276695</v>
      </c>
      <c r="I196" s="2">
        <v>0.99999885441457703</v>
      </c>
      <c r="J196" s="2">
        <v>0.99999996207460895</v>
      </c>
      <c r="K196" s="2">
        <v>0.99999999570279896</v>
      </c>
    </row>
    <row r="197" spans="2:11" s="9" customFormat="1" x14ac:dyDescent="0.25">
      <c r="B197" s="2">
        <v>4.65661287307739E-10</v>
      </c>
      <c r="C197" s="2">
        <v>4.6566128730775198E-10</v>
      </c>
      <c r="D197" s="2">
        <v>4.6566154161531898E-10</v>
      </c>
      <c r="E197" s="2">
        <v>5.7682852504795105E-10</v>
      </c>
      <c r="F197" s="2">
        <v>1.06604244754251E-6</v>
      </c>
      <c r="G197" s="2">
        <v>1.0110693671462299E-2</v>
      </c>
      <c r="H197" s="2">
        <v>0.98988931347148401</v>
      </c>
      <c r="I197" s="2">
        <v>0.99999893396490902</v>
      </c>
      <c r="J197" s="2">
        <v>0.99999996529872304</v>
      </c>
      <c r="K197" s="2">
        <v>0.99999999607434498</v>
      </c>
    </row>
    <row r="198" spans="2:11" s="9" customFormat="1" x14ac:dyDescent="0.25">
      <c r="B198" s="2">
        <v>4.65661287307739E-10</v>
      </c>
      <c r="C198" s="2">
        <v>4.6566128730774898E-10</v>
      </c>
      <c r="D198" s="2">
        <v>4.6566149803086397E-10</v>
      </c>
      <c r="E198" s="2">
        <v>5.6425785136603399E-10</v>
      </c>
      <c r="F198" s="2">
        <v>9.9201813860707691E-7</v>
      </c>
      <c r="G198" s="2">
        <v>9.8732929598620896E-3</v>
      </c>
      <c r="H198" s="2">
        <v>0.99012671373874706</v>
      </c>
      <c r="I198" s="2">
        <v>0.99999900798896602</v>
      </c>
      <c r="J198" s="2">
        <v>0.99999996824534199</v>
      </c>
      <c r="K198" s="2">
        <v>0.99999999640986204</v>
      </c>
    </row>
    <row r="199" spans="2:11" s="9" customFormat="1" x14ac:dyDescent="0.25">
      <c r="B199" s="2">
        <v>4.65661287307739E-10</v>
      </c>
      <c r="C199" s="2">
        <v>4.6566128730774701E-10</v>
      </c>
      <c r="D199" s="2">
        <v>4.6566146191612802E-10</v>
      </c>
      <c r="E199" s="2">
        <v>5.5310865929788599E-10</v>
      </c>
      <c r="F199" s="2">
        <v>9.2313621594267004E-7</v>
      </c>
      <c r="G199" s="2">
        <v>9.6414121751877795E-3</v>
      </c>
      <c r="H199" s="2">
        <v>0.99035859412300298</v>
      </c>
      <c r="I199" s="2">
        <v>0.99999907687065104</v>
      </c>
      <c r="J199" s="2">
        <v>0.99999997093834803</v>
      </c>
      <c r="K199" s="2">
        <v>0.99999999671284401</v>
      </c>
    </row>
    <row r="200" spans="2:11" s="9" customFormat="1" x14ac:dyDescent="0.25">
      <c r="B200" s="2">
        <v>4.65661287307739E-10</v>
      </c>
      <c r="C200" s="2">
        <v>4.6566128730774505E-10</v>
      </c>
      <c r="D200" s="2">
        <v>4.6566143199091298E-10</v>
      </c>
      <c r="E200" s="2">
        <v>5.4322020863546303E-10</v>
      </c>
      <c r="F200" s="2">
        <v>8.5903944391057099E-7</v>
      </c>
      <c r="G200" s="2">
        <v>9.4149254907037409E-3</v>
      </c>
      <c r="H200" s="2">
        <v>0.99058508044648796</v>
      </c>
      <c r="I200" s="2">
        <v>0.999999140967199</v>
      </c>
      <c r="J200" s="2">
        <v>0.99999997339957103</v>
      </c>
      <c r="K200" s="2">
        <v>0.99999999698644604</v>
      </c>
    </row>
    <row r="201" spans="2:11" s="9" customFormat="1" x14ac:dyDescent="0.25">
      <c r="B201" s="2">
        <v>4.65661287307739E-10</v>
      </c>
      <c r="C201" s="2">
        <v>4.6566128730774298E-10</v>
      </c>
      <c r="D201" s="2">
        <v>4.6566140719442701E-10</v>
      </c>
      <c r="E201" s="2">
        <v>5.3444993558346505E-10</v>
      </c>
      <c r="F201" s="2">
        <v>7.9939540355794195E-7</v>
      </c>
      <c r="G201" s="2">
        <v>9.1937098308798801E-3</v>
      </c>
      <c r="H201" s="2">
        <v>0.99080629578069301</v>
      </c>
      <c r="I201" s="2">
        <v>0.99999920061102698</v>
      </c>
      <c r="J201" s="2">
        <v>0.99999997564896004</v>
      </c>
      <c r="K201" s="2">
        <v>0.99999999723351596</v>
      </c>
    </row>
    <row r="202" spans="2:11" s="9" customFormat="1" x14ac:dyDescent="0.25">
      <c r="B202" s="2">
        <v>4.65661287307739E-10</v>
      </c>
      <c r="C202" s="2">
        <v>4.6566128730774298E-10</v>
      </c>
      <c r="D202" s="2">
        <v>4.6566138664768297E-10</v>
      </c>
      <c r="E202" s="2">
        <v>5.2667139737957002E-10</v>
      </c>
      <c r="F202" s="2">
        <v>7.4389476864459203E-7</v>
      </c>
      <c r="G202" s="2">
        <v>8.9776448167004398E-3</v>
      </c>
      <c r="H202" s="2">
        <v>0.99102236050100601</v>
      </c>
      <c r="I202" s="2">
        <v>0.99999925611146001</v>
      </c>
      <c r="J202" s="2">
        <v>0.99999997770474602</v>
      </c>
      <c r="K202" s="2">
        <v>0.99999999745662804</v>
      </c>
    </row>
    <row r="203" spans="2:11" s="9" customFormat="1" x14ac:dyDescent="0.25">
      <c r="B203" s="2">
        <v>4.65661287307739E-10</v>
      </c>
      <c r="C203" s="2">
        <v>4.6566128730774205E-10</v>
      </c>
      <c r="D203" s="2">
        <v>4.6566136962233903E-10</v>
      </c>
      <c r="E203" s="2">
        <v>5.1977244933608303E-10</v>
      </c>
      <c r="F203" s="2">
        <v>6.9224970142992798E-7</v>
      </c>
      <c r="G203" s="2">
        <v>8.7666127117996297E-3</v>
      </c>
      <c r="H203" s="2">
        <v>0.99123339234053798</v>
      </c>
      <c r="I203" s="2">
        <v>0.99999930775633505</v>
      </c>
      <c r="J203" s="2">
        <v>0.99999997958359299</v>
      </c>
      <c r="K203" s="2">
        <v>0.99999999765810399</v>
      </c>
    </row>
    <row r="204" spans="2:11" s="9" customFormat="1" x14ac:dyDescent="0.25">
      <c r="B204" s="2">
        <v>4.65661287307739E-10</v>
      </c>
      <c r="C204" s="2">
        <v>4.6566128730774102E-10</v>
      </c>
      <c r="D204" s="2">
        <v>4.6566135551488101E-10</v>
      </c>
      <c r="E204" s="2">
        <v>5.1365362802091498E-10</v>
      </c>
      <c r="F204" s="2">
        <v>6.4419235990111805E-7</v>
      </c>
      <c r="G204" s="2">
        <v>8.5604983694243901E-3</v>
      </c>
      <c r="H204" s="2">
        <v>0.99143950644311796</v>
      </c>
      <c r="I204" s="2">
        <v>0.99999935581349397</v>
      </c>
      <c r="J204" s="2">
        <v>0.99999998130072998</v>
      </c>
      <c r="K204" s="2">
        <v>0.99999999784004401</v>
      </c>
    </row>
    <row r="205" spans="2:11" s="9" customFormat="1" x14ac:dyDescent="0.25">
      <c r="B205" s="2">
        <v>4.65661287307739E-10</v>
      </c>
      <c r="C205" s="2">
        <v>4.6566128730774102E-10</v>
      </c>
      <c r="D205" s="2">
        <v>4.6566134382522705E-10</v>
      </c>
      <c r="E205" s="2">
        <v>5.0822671726772398E-10</v>
      </c>
      <c r="F205" s="2">
        <v>5.9947350870070205E-7</v>
      </c>
      <c r="G205" s="2">
        <v>8.3591891802248606E-3</v>
      </c>
      <c r="H205" s="2">
        <v>0.991640815415473</v>
      </c>
      <c r="I205" s="2">
        <v>0.99999940053216996</v>
      </c>
      <c r="J205" s="2">
        <v>0.99999998287007497</v>
      </c>
      <c r="K205" s="2">
        <v>0.99999999800434003</v>
      </c>
    </row>
    <row r="206" spans="2:11" s="9" customFormat="1" x14ac:dyDescent="0.25">
      <c r="B206" s="2">
        <v>4.65661287307739E-10</v>
      </c>
      <c r="C206" s="2">
        <v>4.6566128730773998E-10</v>
      </c>
      <c r="D206" s="2">
        <v>4.6566133413900205E-10</v>
      </c>
      <c r="E206" s="2">
        <v>5.0341347634094703E-10</v>
      </c>
      <c r="F206" s="2">
        <v>5.5786122655015705E-7</v>
      </c>
      <c r="G206" s="2">
        <v>8.1625750208723109E-3</v>
      </c>
      <c r="H206" s="2">
        <v>0.991837429378577</v>
      </c>
      <c r="I206" s="2">
        <v>0.99999944214428405</v>
      </c>
      <c r="J206" s="2">
        <v>0.999999984304348</v>
      </c>
      <c r="K206" s="2">
        <v>0.99999999815270502</v>
      </c>
    </row>
    <row r="207" spans="2:11" s="9" customFormat="1" x14ac:dyDescent="0.25"/>
    <row r="208" spans="2:11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  <row r="981" s="9" customFormat="1" x14ac:dyDescent="0.25"/>
    <row r="982" s="9" customFormat="1" x14ac:dyDescent="0.25"/>
    <row r="983" s="9" customFormat="1" x14ac:dyDescent="0.25"/>
    <row r="984" s="9" customFormat="1" x14ac:dyDescent="0.25"/>
    <row r="985" s="9" customFormat="1" x14ac:dyDescent="0.25"/>
    <row r="986" s="9" customFormat="1" x14ac:dyDescent="0.25"/>
    <row r="987" s="9" customFormat="1" x14ac:dyDescent="0.25"/>
    <row r="988" s="9" customFormat="1" x14ac:dyDescent="0.25"/>
    <row r="989" s="9" customFormat="1" x14ac:dyDescent="0.25"/>
    <row r="990" s="9" customFormat="1" x14ac:dyDescent="0.25"/>
    <row r="991" s="9" customFormat="1" x14ac:dyDescent="0.25"/>
    <row r="992" s="9" customFormat="1" x14ac:dyDescent="0.25"/>
    <row r="993" spans="15:42" s="9" customFormat="1" x14ac:dyDescent="0.25"/>
    <row r="994" spans="15:42" s="9" customFormat="1" x14ac:dyDescent="0.25"/>
    <row r="995" spans="15:42" s="9" customFormat="1" x14ac:dyDescent="0.25"/>
    <row r="996" spans="15:42" s="9" customFormat="1" x14ac:dyDescent="0.25"/>
    <row r="997" spans="15:42" s="9" customFormat="1" x14ac:dyDescent="0.25"/>
    <row r="998" spans="15:42" s="9" customFormat="1" x14ac:dyDescent="0.25"/>
    <row r="999" spans="15:42" s="9" customFormat="1" x14ac:dyDescent="0.25"/>
    <row r="1000" spans="15:42" s="9" customFormat="1" x14ac:dyDescent="0.25"/>
    <row r="1001" spans="15:42" s="9" customFormat="1" x14ac:dyDescent="0.25"/>
    <row r="1002" spans="15:42" s="9" customFormat="1" x14ac:dyDescent="0.25"/>
    <row r="1003" spans="15:42" s="9" customFormat="1" x14ac:dyDescent="0.25"/>
    <row r="1004" spans="15:42" s="9" customFormat="1" x14ac:dyDescent="0.25"/>
    <row r="1005" spans="15:42" s="9" customFormat="1" x14ac:dyDescent="0.25"/>
    <row r="1006" spans="15:42" x14ac:dyDescent="0.25"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</row>
    <row r="1007" spans="15:42" x14ac:dyDescent="0.25"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</row>
    <row r="1008" spans="15:42" x14ac:dyDescent="0.25"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</row>
    <row r="1009" spans="15:42" x14ac:dyDescent="0.25"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</row>
    <row r="1010" spans="15:42" x14ac:dyDescent="0.25"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</row>
    <row r="1011" spans="15:42" x14ac:dyDescent="0.25"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</row>
    <row r="1012" spans="15:42" x14ac:dyDescent="0.25"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</row>
    <row r="1013" spans="15:42" x14ac:dyDescent="0.25"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</row>
    <row r="1014" spans="15:42" x14ac:dyDescent="0.25"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</row>
    <row r="1015" spans="15:42" x14ac:dyDescent="0.25"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</row>
    <row r="1016" spans="15:42" x14ac:dyDescent="0.25"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spans="15:42" x14ac:dyDescent="0.25"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spans="15:42" x14ac:dyDescent="0.25"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spans="15:42" x14ac:dyDescent="0.25"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</sheetData>
  <mergeCells count="6">
    <mergeCell ref="R57:S57"/>
    <mergeCell ref="B5:K5"/>
    <mergeCell ref="O5:X5"/>
    <mergeCell ref="AC5:AL5"/>
    <mergeCell ref="O34:X34"/>
    <mergeCell ref="AC34:AL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>
      <selection activeCell="H72" sqref="H72"/>
    </sheetView>
  </sheetViews>
  <sheetFormatPr defaultRowHeight="15" x14ac:dyDescent="0.25"/>
  <sheetData>
    <row r="1" spans="1:9" x14ac:dyDescent="0.25">
      <c r="C1" s="14" t="s">
        <v>36</v>
      </c>
      <c r="D1" s="15"/>
      <c r="E1" s="15"/>
      <c r="G1" s="14" t="s">
        <v>35</v>
      </c>
      <c r="H1" s="14"/>
      <c r="I1" s="14"/>
    </row>
    <row r="2" spans="1:9" x14ac:dyDescent="0.25">
      <c r="A2" t="s">
        <v>0</v>
      </c>
      <c r="C2">
        <v>5.5</v>
      </c>
      <c r="D2" t="s">
        <v>37</v>
      </c>
      <c r="E2">
        <v>6.5</v>
      </c>
      <c r="G2">
        <v>5.5</v>
      </c>
      <c r="H2" t="s">
        <v>37</v>
      </c>
      <c r="I2">
        <v>6.5</v>
      </c>
    </row>
    <row r="3" spans="1:9" x14ac:dyDescent="0.25">
      <c r="A3">
        <v>0.1</v>
      </c>
      <c r="C3" s="2">
        <v>0.50534765070800203</v>
      </c>
      <c r="D3" s="2">
        <f>1-E3</f>
        <v>0.48174446253625502</v>
      </c>
      <c r="E3" s="2">
        <v>0.51825553746374498</v>
      </c>
      <c r="G3" s="2">
        <v>0.50365605604989805</v>
      </c>
      <c r="H3" s="2">
        <f>1-I3</f>
        <v>0.48522858528027801</v>
      </c>
      <c r="I3" s="2">
        <v>0.51477141471972199</v>
      </c>
    </row>
    <row r="4" spans="1:9" x14ac:dyDescent="0.25">
      <c r="A4">
        <v>0.2</v>
      </c>
      <c r="C4" s="2">
        <v>0.50888321037248396</v>
      </c>
      <c r="D4" s="2">
        <f t="shared" ref="D4:D67" si="0">1-E4</f>
        <v>0.46445309009865299</v>
      </c>
      <c r="E4" s="2">
        <v>0.53554690990134701</v>
      </c>
      <c r="G4" s="2">
        <v>0.505657354775777</v>
      </c>
      <c r="H4" s="2">
        <f t="shared" ref="H4:H67" si="1">1-I4</f>
        <v>0.47185295239222402</v>
      </c>
      <c r="I4" s="2">
        <v>0.52814704760777598</v>
      </c>
    </row>
    <row r="5" spans="1:9" x14ac:dyDescent="0.25">
      <c r="A5">
        <v>0.3</v>
      </c>
      <c r="C5" s="2">
        <v>0.51069457007121799</v>
      </c>
      <c r="D5" s="2">
        <f t="shared" si="0"/>
        <v>0.44805878182414105</v>
      </c>
      <c r="E5" s="2">
        <v>0.55194121817585895</v>
      </c>
      <c r="G5" s="2">
        <v>0.50610777545818397</v>
      </c>
      <c r="H5" s="2">
        <f t="shared" si="1"/>
        <v>0.45975279140952896</v>
      </c>
      <c r="I5" s="2">
        <v>0.54024720859047104</v>
      </c>
    </row>
    <row r="6" spans="1:9" x14ac:dyDescent="0.25">
      <c r="A6">
        <v>0.4</v>
      </c>
      <c r="C6" s="2">
        <v>0.51099318640978397</v>
      </c>
      <c r="D6" s="2">
        <f t="shared" si="0"/>
        <v>0.43246895453755996</v>
      </c>
      <c r="E6" s="2">
        <v>0.56753104546244004</v>
      </c>
      <c r="G6" s="2">
        <v>0.50517148068274698</v>
      </c>
      <c r="H6" s="2">
        <f t="shared" si="1"/>
        <v>0.448783291318675</v>
      </c>
      <c r="I6" s="2">
        <v>0.551216708681325</v>
      </c>
    </row>
    <row r="7" spans="1:9" x14ac:dyDescent="0.25">
      <c r="A7">
        <v>0.5</v>
      </c>
      <c r="C7" s="2">
        <v>0.51006455514718496</v>
      </c>
      <c r="D7" s="2">
        <f t="shared" si="0"/>
        <v>0.41759009287410798</v>
      </c>
      <c r="E7" s="2">
        <v>0.58240990712589202</v>
      </c>
      <c r="G7" s="2">
        <v>0.50304698196453701</v>
      </c>
      <c r="H7" s="2">
        <f t="shared" si="1"/>
        <v>0.43879380792704303</v>
      </c>
      <c r="I7" s="2">
        <v>0.56120619207295697</v>
      </c>
    </row>
    <row r="8" spans="1:9" x14ac:dyDescent="0.25">
      <c r="A8">
        <v>0.6</v>
      </c>
      <c r="C8" s="2">
        <v>0.50819806080724805</v>
      </c>
      <c r="D8" s="2">
        <f t="shared" si="0"/>
        <v>0.40334897213746601</v>
      </c>
      <c r="E8" s="2">
        <v>0.59665102786253399</v>
      </c>
      <c r="G8" s="2">
        <v>0.49993751474133902</v>
      </c>
      <c r="H8" s="2">
        <f t="shared" si="1"/>
        <v>0.42964408842955004</v>
      </c>
      <c r="I8" s="2">
        <v>0.57035591157044996</v>
      </c>
    </row>
    <row r="9" spans="1:9" x14ac:dyDescent="0.25">
      <c r="A9">
        <v>0.7</v>
      </c>
      <c r="C9" s="2">
        <v>0.50563380927788604</v>
      </c>
      <c r="D9" s="2">
        <f t="shared" si="0"/>
        <v>0.38970124440514098</v>
      </c>
      <c r="E9" s="2">
        <v>0.61029875559485902</v>
      </c>
      <c r="G9" s="2">
        <v>0.49602799280766502</v>
      </c>
      <c r="H9" s="2">
        <f t="shared" si="1"/>
        <v>0.42121388337139598</v>
      </c>
      <c r="I9" s="2">
        <v>0.57878611662860402</v>
      </c>
    </row>
    <row r="10" spans="1:9" x14ac:dyDescent="0.25">
      <c r="A10">
        <v>0.8</v>
      </c>
      <c r="C10" s="2">
        <v>0.502542834348088</v>
      </c>
      <c r="D10" s="2">
        <f t="shared" si="0"/>
        <v>0.37662793382011905</v>
      </c>
      <c r="E10" s="2">
        <v>0.62337206617988095</v>
      </c>
      <c r="G10" s="2">
        <v>0.49147317300847898</v>
      </c>
      <c r="H10" s="2">
        <f t="shared" si="1"/>
        <v>0.41340542003514502</v>
      </c>
      <c r="I10" s="2">
        <v>0.58659457996485498</v>
      </c>
    </row>
    <row r="11" spans="1:9" x14ac:dyDescent="0.25">
      <c r="A11">
        <v>0.9</v>
      </c>
      <c r="C11" s="2">
        <v>0.49903280772859998</v>
      </c>
      <c r="D11" s="2">
        <f t="shared" si="0"/>
        <v>0.36412629890744797</v>
      </c>
      <c r="E11" s="2">
        <v>0.63587370109255203</v>
      </c>
      <c r="G11" s="2">
        <v>0.48639576732060702</v>
      </c>
      <c r="H11" s="2">
        <f t="shared" si="1"/>
        <v>0.40614091694654697</v>
      </c>
      <c r="I11" s="2">
        <v>0.59385908305345303</v>
      </c>
    </row>
    <row r="12" spans="1:9" x14ac:dyDescent="0.25">
      <c r="A12">
        <v>1</v>
      </c>
      <c r="C12" s="2">
        <v>0.49516428110367899</v>
      </c>
      <c r="D12" s="2">
        <f t="shared" si="0"/>
        <v>0.35220071963590105</v>
      </c>
      <c r="E12" s="2">
        <v>0.64779928036409895</v>
      </c>
      <c r="G12" s="2">
        <v>0.48089055107536999</v>
      </c>
      <c r="H12" s="2">
        <f t="shared" si="1"/>
        <v>0.39935793056990299</v>
      </c>
      <c r="I12" s="2">
        <v>0.60064206943009701</v>
      </c>
    </row>
    <row r="13" spans="1:9" x14ac:dyDescent="0.25">
      <c r="A13">
        <v>1.1000000000000001</v>
      </c>
      <c r="C13" s="2">
        <v>0.49096725204863101</v>
      </c>
      <c r="D13" s="2">
        <f t="shared" si="0"/>
        <v>0.34085610254088305</v>
      </c>
      <c r="E13" s="2">
        <v>0.65914389745911695</v>
      </c>
      <c r="G13" s="2">
        <v>0.47503071775656402</v>
      </c>
      <c r="H13" s="2">
        <f t="shared" si="1"/>
        <v>0.39300458906880997</v>
      </c>
      <c r="I13" s="2">
        <v>0.60699541093119003</v>
      </c>
    </row>
    <row r="14" spans="1:9" x14ac:dyDescent="0.25">
      <c r="A14">
        <v>1.2</v>
      </c>
      <c r="C14" s="2">
        <v>0.486454100380312</v>
      </c>
      <c r="D14" s="2">
        <f t="shared" si="0"/>
        <v>0.33009400445227099</v>
      </c>
      <c r="E14" s="2">
        <v>0.66990599554772901</v>
      </c>
      <c r="G14" s="2">
        <v>0.46887414161780999</v>
      </c>
      <c r="H14" s="2">
        <f t="shared" si="1"/>
        <v>0.38703572111369</v>
      </c>
      <c r="I14" s="2">
        <v>0.61296427888631</v>
      </c>
    </row>
    <row r="15" spans="1:9" x14ac:dyDescent="0.25">
      <c r="A15">
        <v>1.3</v>
      </c>
      <c r="C15" s="2">
        <v>0.48162844187102699</v>
      </c>
      <c r="D15" s="2">
        <f t="shared" si="0"/>
        <v>0.319910829494366</v>
      </c>
      <c r="E15" s="2">
        <v>0.680089170505634</v>
      </c>
      <c r="G15" s="2">
        <v>0.46246843239519603</v>
      </c>
      <c r="H15" s="2">
        <f t="shared" si="1"/>
        <v>0.38141019167366597</v>
      </c>
      <c r="I15" s="2">
        <v>0.61858980832633403</v>
      </c>
    </row>
    <row r="16" spans="1:9" x14ac:dyDescent="0.25">
      <c r="A16">
        <v>1.4</v>
      </c>
      <c r="C16" s="2">
        <v>0.47649068771557801</v>
      </c>
      <c r="D16" s="2">
        <f t="shared" si="0"/>
        <v>0.31029739032938197</v>
      </c>
      <c r="E16" s="2">
        <v>0.68970260967061803</v>
      </c>
      <c r="G16" s="2">
        <v>0.45585458934914402</v>
      </c>
      <c r="H16" s="2">
        <f t="shared" si="1"/>
        <v>0.37608929915368405</v>
      </c>
      <c r="I16" s="2">
        <v>0.62391070084631595</v>
      </c>
    </row>
    <row r="17" spans="1:9" x14ac:dyDescent="0.25">
      <c r="A17">
        <v>1.5</v>
      </c>
      <c r="C17" s="2">
        <v>0.47104138047399502</v>
      </c>
      <c r="D17" s="2">
        <f t="shared" si="0"/>
        <v>0.30123920476307398</v>
      </c>
      <c r="E17" s="2">
        <v>0.69876079523692602</v>
      </c>
      <c r="G17" s="2">
        <v>0.449069343684939</v>
      </c>
      <c r="H17" s="2">
        <f t="shared" si="1"/>
        <v>0.37103602464268104</v>
      </c>
      <c r="I17" s="2">
        <v>0.62896397535731896</v>
      </c>
    </row>
    <row r="18" spans="1:9" x14ac:dyDescent="0.25">
      <c r="A18">
        <v>1.6</v>
      </c>
      <c r="C18" s="2">
        <v>0.46528300504320702</v>
      </c>
      <c r="D18" s="2">
        <f t="shared" si="0"/>
        <v>0.29271721534415795</v>
      </c>
      <c r="E18" s="2">
        <v>0.70728278465584205</v>
      </c>
      <c r="G18" s="2">
        <v>0.44214652334308302</v>
      </c>
      <c r="H18" s="2">
        <f t="shared" si="1"/>
        <v>0.36621483540572397</v>
      </c>
      <c r="I18" s="2">
        <v>0.63378516459427603</v>
      </c>
    </row>
    <row r="19" spans="1:9" x14ac:dyDescent="0.25">
      <c r="A19">
        <v>1.7</v>
      </c>
      <c r="C19" s="2">
        <v>0.45922092510655999</v>
      </c>
      <c r="D19" s="2">
        <f t="shared" si="0"/>
        <v>0.28470862532293595</v>
      </c>
      <c r="E19" s="2">
        <v>0.71529137467706405</v>
      </c>
      <c r="G19" s="2">
        <v>0.43511771987789799</v>
      </c>
      <c r="H19" s="2">
        <f t="shared" si="1"/>
        <v>0.36159182656565902</v>
      </c>
      <c r="I19" s="2">
        <v>0.63840817343434098</v>
      </c>
    </row>
    <row r="20" spans="1:9" x14ac:dyDescent="0.25">
      <c r="A20">
        <v>1.8</v>
      </c>
      <c r="C20" s="2">
        <v>0.45286370423911898</v>
      </c>
      <c r="D20" s="2">
        <f t="shared" si="0"/>
        <v>0.27718779062816801</v>
      </c>
      <c r="E20" s="2">
        <v>0.72281220937183199</v>
      </c>
      <c r="G20" s="2">
        <v>0.42801248949385401</v>
      </c>
      <c r="H20" s="2">
        <f t="shared" si="1"/>
        <v>0.35713504157966103</v>
      </c>
      <c r="I20" s="2">
        <v>0.64286495842033897</v>
      </c>
    </row>
    <row r="21" spans="1:9" x14ac:dyDescent="0.25">
      <c r="A21">
        <v>1.9</v>
      </c>
      <c r="C21" s="2">
        <v>0.44622313454387602</v>
      </c>
      <c r="D21" s="2">
        <f t="shared" si="0"/>
        <v>0.27012702123117704</v>
      </c>
      <c r="E21" s="2">
        <v>0.72987297876882296</v>
      </c>
      <c r="G21" s="2">
        <v>0.42085832695478598</v>
      </c>
      <c r="H21" s="2">
        <f t="shared" si="1"/>
        <v>0.35281481652652402</v>
      </c>
      <c r="I21" s="2">
        <v>0.64718518347347598</v>
      </c>
    </row>
    <row r="22" spans="1:9" x14ac:dyDescent="0.25">
      <c r="A22">
        <v>2</v>
      </c>
      <c r="C22" s="2">
        <v>0.439314017603678</v>
      </c>
      <c r="D22" s="2">
        <f t="shared" si="0"/>
        <v>0.26349732891176703</v>
      </c>
      <c r="E22" s="2">
        <v>0.73650267108823297</v>
      </c>
      <c r="G22" s="2">
        <v>0.41368052246348302</v>
      </c>
      <c r="H22" s="2">
        <f t="shared" si="1"/>
        <v>0.34860408993355196</v>
      </c>
      <c r="I22" s="2">
        <v>0.65139591006644804</v>
      </c>
    </row>
    <row r="23" spans="1:9" x14ac:dyDescent="0.25">
      <c r="A23">
        <v>2.1</v>
      </c>
      <c r="C23" s="2">
        <v>0.43215385585703198</v>
      </c>
      <c r="D23" s="2">
        <f t="shared" si="0"/>
        <v>0.25726905336029504</v>
      </c>
      <c r="E23" s="2">
        <v>0.74273094663970496</v>
      </c>
      <c r="G23" s="2">
        <v>0.40650200741845999</v>
      </c>
      <c r="H23" s="2">
        <f t="shared" si="1"/>
        <v>0.34447862368280802</v>
      </c>
      <c r="I23" s="2">
        <v>0.65552137631719198</v>
      </c>
    </row>
    <row r="24" spans="1:9" x14ac:dyDescent="0.25">
      <c r="A24">
        <v>2.2000000000000002</v>
      </c>
      <c r="C24" s="2">
        <v>0.42476248141360201</v>
      </c>
      <c r="D24" s="2">
        <f t="shared" si="0"/>
        <v>0.25141238649854303</v>
      </c>
      <c r="E24" s="2">
        <v>0.74858761350145697</v>
      </c>
      <c r="G24" s="2">
        <v>0.39934324203524901</v>
      </c>
      <c r="H24" s="2">
        <f t="shared" si="1"/>
        <v>0.34041711794192397</v>
      </c>
      <c r="I24" s="2">
        <v>0.65958288205807603</v>
      </c>
    </row>
    <row r="25" spans="1:9" x14ac:dyDescent="0.25">
      <c r="A25">
        <v>2.2999999999999998</v>
      </c>
      <c r="C25" s="2">
        <v>0.41716162187261902</v>
      </c>
      <c r="D25" s="2">
        <f t="shared" si="0"/>
        <v>0.245897826497258</v>
      </c>
      <c r="E25" s="2">
        <v>0.754102173502742</v>
      </c>
      <c r="G25" s="2">
        <v>0.392222173600484</v>
      </c>
      <c r="H25" s="2">
        <f t="shared" si="1"/>
        <v>0.33640121886935703</v>
      </c>
      <c r="I25" s="2">
        <v>0.66359878113064297</v>
      </c>
    </row>
    <row r="26" spans="1:9" x14ac:dyDescent="0.25">
      <c r="A26">
        <v>2.4</v>
      </c>
      <c r="C26" s="2">
        <v>0.40937448358795198</v>
      </c>
      <c r="D26" s="2">
        <f t="shared" si="0"/>
        <v>0.24069652672568398</v>
      </c>
      <c r="E26" s="2">
        <v>0.75930347327431602</v>
      </c>
      <c r="G26" s="2">
        <v>0.385154254428971</v>
      </c>
      <c r="H26" s="2">
        <f t="shared" si="1"/>
        <v>0.33241544312947802</v>
      </c>
      <c r="I26" s="2">
        <v>0.66758455687052198</v>
      </c>
    </row>
    <row r="27" spans="1:9" x14ac:dyDescent="0.25">
      <c r="A27">
        <v>2.5</v>
      </c>
      <c r="C27" s="2">
        <v>0.40142533902170602</v>
      </c>
      <c r="D27" s="2">
        <f t="shared" si="0"/>
        <v>0.23578057152697096</v>
      </c>
      <c r="E27" s="2">
        <v>0.76421942847302904</v>
      </c>
      <c r="G27" s="2">
        <v>0.37815255503384998</v>
      </c>
      <c r="H27" s="2">
        <f t="shared" si="1"/>
        <v>0.32844700965270901</v>
      </c>
      <c r="I27" s="2">
        <v>0.67155299034729099</v>
      </c>
    </row>
    <row r="28" spans="1:9" x14ac:dyDescent="0.25">
      <c r="A28">
        <v>2.6</v>
      </c>
      <c r="C28" s="2">
        <v>0.39333910018149099</v>
      </c>
      <c r="D28" s="2">
        <f t="shared" si="0"/>
        <v>0.23112320952877496</v>
      </c>
      <c r="E28" s="2">
        <v>0.76887679047122504</v>
      </c>
      <c r="G28" s="2">
        <v>0.37122790211552198</v>
      </c>
      <c r="H28" s="2">
        <f t="shared" si="1"/>
        <v>0.32448563832553301</v>
      </c>
      <c r="I28" s="2">
        <v>0.67551436167446699</v>
      </c>
    </row>
    <row r="29" spans="1:9" x14ac:dyDescent="0.25">
      <c r="A29">
        <v>2.7</v>
      </c>
      <c r="C29" s="2">
        <v>0.38514094511736802</v>
      </c>
      <c r="D29" s="2">
        <f t="shared" si="0"/>
        <v>0.22669901059321595</v>
      </c>
      <c r="E29" s="2">
        <v>0.77330098940678405</v>
      </c>
      <c r="G29" s="2">
        <v>0.36438906839983598</v>
      </c>
      <c r="H29" s="2">
        <f t="shared" si="1"/>
        <v>0.32052330648873495</v>
      </c>
      <c r="I29" s="2">
        <v>0.67947669351126505</v>
      </c>
    </row>
    <row r="30" spans="1:9" x14ac:dyDescent="0.25">
      <c r="A30">
        <v>2.8</v>
      </c>
      <c r="C30" s="2">
        <v>0.37685595847389802</v>
      </c>
      <c r="D30" s="2">
        <f t="shared" si="0"/>
        <v>0.22248398783094503</v>
      </c>
      <c r="E30" s="2">
        <v>0.77751601216905497</v>
      </c>
      <c r="G30" s="2">
        <v>0.35764298155405899</v>
      </c>
      <c r="H30" s="2">
        <f t="shared" si="1"/>
        <v>0.31655399244584104</v>
      </c>
      <c r="I30" s="2">
        <v>0.68344600755415896</v>
      </c>
    </row>
    <row r="31" spans="1:9" x14ac:dyDescent="0.25">
      <c r="A31">
        <v>2.9</v>
      </c>
      <c r="C31" s="2">
        <v>0.36850880884953202</v>
      </c>
      <c r="D31" s="2">
        <f t="shared" si="0"/>
        <v>0.21845567857451798</v>
      </c>
      <c r="E31" s="2">
        <v>0.78154432142548202</v>
      </c>
      <c r="G31" s="2">
        <v>0.35099494435551398</v>
      </c>
      <c r="H31" s="2">
        <f t="shared" si="1"/>
        <v>0.31257341633941005</v>
      </c>
      <c r="I31" s="2">
        <v>0.68742658366058995</v>
      </c>
    </row>
    <row r="32" spans="1:9" x14ac:dyDescent="0.25">
      <c r="A32">
        <v>3</v>
      </c>
      <c r="C32" s="2">
        <v>0.36012346367061598</v>
      </c>
      <c r="D32" s="2">
        <f t="shared" si="0"/>
        <v>0.214593192453439</v>
      </c>
      <c r="E32" s="2">
        <v>0.785406807546561</v>
      </c>
      <c r="G32" s="2">
        <v>0.344448838818606</v>
      </c>
      <c r="H32" s="2">
        <f t="shared" si="1"/>
        <v>0.30857879828710899</v>
      </c>
      <c r="I32" s="2">
        <v>0.69142120171289101</v>
      </c>
    </row>
    <row r="33" spans="1:9" x14ac:dyDescent="0.25">
      <c r="A33">
        <v>3.1</v>
      </c>
      <c r="C33" s="2">
        <v>0.35172294391991399</v>
      </c>
      <c r="D33" s="2">
        <f t="shared" si="0"/>
        <v>0.21087723171516504</v>
      </c>
      <c r="E33" s="2">
        <v>0.78912276828483496</v>
      </c>
      <c r="G33" s="2">
        <v>0.33800734883776801</v>
      </c>
      <c r="H33" s="2">
        <f t="shared" si="1"/>
        <v>0.30456861614239505</v>
      </c>
      <c r="I33" s="2">
        <v>0.69543138385760495</v>
      </c>
    </row>
    <row r="34" spans="1:9" x14ac:dyDescent="0.25">
      <c r="A34">
        <v>3.2</v>
      </c>
      <c r="C34" s="2">
        <v>0.34332911982685699</v>
      </c>
      <c r="D34" s="2">
        <f t="shared" si="0"/>
        <v>0.20729008821793404</v>
      </c>
      <c r="E34" s="2">
        <v>0.79270991178206596</v>
      </c>
      <c r="G34" s="2">
        <v>0.33167213868733197</v>
      </c>
      <c r="H34" s="2">
        <f t="shared" si="1"/>
        <v>0.30054240065424798</v>
      </c>
      <c r="I34" s="2">
        <v>0.69945759934575202</v>
      </c>
    </row>
    <row r="35" spans="1:9" x14ac:dyDescent="0.25">
      <c r="A35">
        <v>3.3</v>
      </c>
      <c r="C35" s="2">
        <v>0.33496254745977699</v>
      </c>
      <c r="D35" s="2">
        <f t="shared" si="0"/>
        <v>0.203815620930207</v>
      </c>
      <c r="E35" s="2">
        <v>0.796184379069793</v>
      </c>
      <c r="G35" s="2">
        <v>0.32544402834764802</v>
      </c>
      <c r="H35" s="2">
        <f t="shared" si="1"/>
        <v>0.29650054420524896</v>
      </c>
      <c r="I35" s="2">
        <v>0.70349945579475104</v>
      </c>
    </row>
    <row r="36" spans="1:9" x14ac:dyDescent="0.25">
      <c r="A36">
        <v>3.4</v>
      </c>
      <c r="C36" s="2">
        <v>0.326642345095702</v>
      </c>
      <c r="D36" s="2">
        <f t="shared" si="0"/>
        <v>0.20043921728893299</v>
      </c>
      <c r="E36" s="2">
        <v>0.79956078271106701</v>
      </c>
      <c r="G36" s="2">
        <v>0.31932314909514897</v>
      </c>
      <c r="H36" s="2">
        <f t="shared" si="1"/>
        <v>0.29244413289040105</v>
      </c>
      <c r="I36" s="2">
        <v>0.70755586710959895</v>
      </c>
    </row>
    <row r="37" spans="1:9" x14ac:dyDescent="0.25">
      <c r="A37">
        <v>3.5</v>
      </c>
      <c r="C37" s="2">
        <v>0.31838610731668998</v>
      </c>
      <c r="D37" s="2">
        <f t="shared" si="0"/>
        <v>0.19714774137301305</v>
      </c>
      <c r="E37" s="2">
        <v>0.80285225862698695</v>
      </c>
      <c r="G37" s="2">
        <v>0.31330906649703399</v>
      </c>
      <c r="H37" s="2">
        <f t="shared" si="1"/>
        <v>0.28837480671939797</v>
      </c>
      <c r="I37" s="2">
        <v>0.71162519328060203</v>
      </c>
    </row>
    <row r="38" spans="1:9" x14ac:dyDescent="0.25">
      <c r="A38">
        <v>3.6</v>
      </c>
      <c r="C38" s="2">
        <v>0.31020985402111301</v>
      </c>
      <c r="D38" s="2">
        <f t="shared" si="0"/>
        <v>0.19392947151891005</v>
      </c>
      <c r="E38" s="2">
        <v>0.80607052848108995</v>
      </c>
      <c r="G38" s="2">
        <v>0.307400912103171</v>
      </c>
      <c r="H38" s="2">
        <f t="shared" si="1"/>
        <v>0.28429462766298197</v>
      </c>
      <c r="I38" s="2">
        <v>0.71570537233701803</v>
      </c>
    </row>
    <row r="39" spans="1:9" x14ac:dyDescent="0.25">
      <c r="A39">
        <v>3.7</v>
      </c>
      <c r="C39" s="2">
        <v>0.30212801096059799</v>
      </c>
      <c r="D39" s="2">
        <f t="shared" si="0"/>
        <v>0.19077402972414803</v>
      </c>
      <c r="E39" s="2">
        <v>0.80922597027585197</v>
      </c>
      <c r="G39" s="2">
        <v>0.30159747018016803</v>
      </c>
      <c r="H39" s="2">
        <f t="shared" si="1"/>
        <v>0.28020597953380599</v>
      </c>
      <c r="I39" s="2">
        <v>0.71979402046619401</v>
      </c>
    </row>
    <row r="40" spans="1:9" x14ac:dyDescent="0.25">
      <c r="A40">
        <v>3.8</v>
      </c>
      <c r="C40" s="2">
        <v>0.29415341802276501</v>
      </c>
      <c r="D40" s="2">
        <f t="shared" si="0"/>
        <v>0.187672304937058</v>
      </c>
      <c r="E40" s="2">
        <v>0.812327695062942</v>
      </c>
      <c r="G40" s="2">
        <v>0.29589726321668602</v>
      </c>
      <c r="H40" s="2">
        <f t="shared" si="1"/>
        <v>0.27611147774386102</v>
      </c>
      <c r="I40" s="2">
        <v>0.72388852225613898</v>
      </c>
    </row>
    <row r="41" spans="1:9" x14ac:dyDescent="0.25">
      <c r="A41">
        <v>3.9</v>
      </c>
      <c r="C41" s="2">
        <v>0.28629736126979699</v>
      </c>
      <c r="D41" s="2">
        <f t="shared" si="0"/>
        <v>0.18461637210639004</v>
      </c>
      <c r="E41" s="2">
        <v>0.81538362789360996</v>
      </c>
      <c r="G41" s="2">
        <v>0.29029862339142998</v>
      </c>
      <c r="H41" s="2">
        <f t="shared" si="1"/>
        <v>0.27201389432367196</v>
      </c>
      <c r="I41" s="2">
        <v>0.72798610567632804</v>
      </c>
    </row>
    <row r="42" spans="1:9" x14ac:dyDescent="0.25">
      <c r="A42">
        <v>4</v>
      </c>
      <c r="C42" s="2">
        <v>0.27856962469702701</v>
      </c>
      <c r="D42" s="2">
        <f t="shared" si="0"/>
        <v>0.18159940865474</v>
      </c>
      <c r="E42" s="2">
        <v>0.81840059134526</v>
      </c>
      <c r="G42" s="2">
        <v>0.284799738604884</v>
      </c>
      <c r="H42" s="2">
        <f t="shared" si="1"/>
        <v>0.26791609990312804</v>
      </c>
      <c r="I42" s="2">
        <v>0.73208390009687196</v>
      </c>
    </row>
    <row r="43" spans="1:9" x14ac:dyDescent="0.25">
      <c r="A43">
        <v>4.0999999999999996</v>
      </c>
      <c r="C43" s="2">
        <v>0.27097856064682102</v>
      </c>
      <c r="D43" s="2">
        <f t="shared" si="0"/>
        <v>0.17861560794158005</v>
      </c>
      <c r="E43" s="2">
        <v>0.82138439205841995</v>
      </c>
      <c r="G43" s="2">
        <v>0.279398715522439</v>
      </c>
      <c r="H43" s="2">
        <f t="shared" si="1"/>
        <v>0.26382100784711104</v>
      </c>
      <c r="I43" s="2">
        <v>0.73617899215288896</v>
      </c>
    </row>
    <row r="44" spans="1:9" x14ac:dyDescent="0.25">
      <c r="A44">
        <v>4.2</v>
      </c>
      <c r="C44" s="2">
        <v>0.263531157642374</v>
      </c>
      <c r="D44" s="2">
        <f t="shared" si="0"/>
        <v>0.17566010255766695</v>
      </c>
      <c r="E44" s="2">
        <v>0.82433989744233305</v>
      </c>
      <c r="G44" s="2">
        <v>0.27409360579997</v>
      </c>
      <c r="H44" s="2">
        <f t="shared" si="1"/>
        <v>0.25973153687579897</v>
      </c>
      <c r="I44" s="2">
        <v>0.74026846312420103</v>
      </c>
    </row>
    <row r="45" spans="1:9" x14ac:dyDescent="0.25">
      <c r="A45">
        <v>4.3</v>
      </c>
      <c r="C45" s="2">
        <v>0.25623314662168201</v>
      </c>
      <c r="D45" s="2">
        <f t="shared" si="0"/>
        <v>0.17272886916985197</v>
      </c>
      <c r="E45" s="2">
        <v>0.82727113083014803</v>
      </c>
      <c r="G45" s="2">
        <v>0.26888243909047799</v>
      </c>
      <c r="H45" s="2">
        <f t="shared" si="1"/>
        <v>0.25565057683464898</v>
      </c>
      <c r="I45" s="2">
        <v>0.74434942316535102</v>
      </c>
    </row>
    <row r="46" spans="1:9" x14ac:dyDescent="0.25">
      <c r="A46">
        <v>4.4000000000000004</v>
      </c>
      <c r="C46" s="2">
        <v>0.249089082409687</v>
      </c>
      <c r="D46" s="2">
        <f t="shared" si="0"/>
        <v>0.16981865559419695</v>
      </c>
      <c r="E46" s="2">
        <v>0.83018134440580305</v>
      </c>
      <c r="G46" s="2">
        <v>0.263763246819886</v>
      </c>
      <c r="H46" s="2">
        <f t="shared" si="1"/>
        <v>0.25158096213578796</v>
      </c>
      <c r="I46" s="2">
        <v>0.74841903786421204</v>
      </c>
    </row>
    <row r="47" spans="1:9" x14ac:dyDescent="0.25">
      <c r="A47">
        <v>4.5</v>
      </c>
      <c r="C47" s="2">
        <v>0.24210244346703999</v>
      </c>
      <c r="D47" s="2">
        <f t="shared" si="0"/>
        <v>0.16692690056098303</v>
      </c>
      <c r="E47" s="2">
        <v>0.83307309943901697</v>
      </c>
      <c r="G47" s="2">
        <v>0.25873408069727</v>
      </c>
      <c r="H47" s="2">
        <f t="shared" si="1"/>
        <v>0.24752545080597899</v>
      </c>
      <c r="I47" s="2">
        <v>0.75247454919402101</v>
      </c>
    </row>
    <row r="48" spans="1:9" x14ac:dyDescent="0.25">
      <c r="A48">
        <v>4.5999999999999996</v>
      </c>
      <c r="C48" s="2">
        <v>0.235275731916508</v>
      </c>
      <c r="D48" s="2">
        <f t="shared" si="0"/>
        <v>0.16405165723299198</v>
      </c>
      <c r="E48" s="2">
        <v>0.83594834276700802</v>
      </c>
      <c r="G48" s="2">
        <v>0.253793029468181</v>
      </c>
      <c r="H48" s="2">
        <f t="shared" si="1"/>
        <v>0.24348670802065397</v>
      </c>
      <c r="I48" s="2">
        <v>0.75651329197934603</v>
      </c>
    </row>
    <row r="49" spans="1:9" x14ac:dyDescent="0.25">
      <c r="A49">
        <v>4.7</v>
      </c>
      <c r="C49" s="2">
        <v>0.22861055778800399</v>
      </c>
      <c r="D49" s="2">
        <f t="shared" si="0"/>
        <v>0.16119152999639896</v>
      </c>
      <c r="E49" s="2">
        <v>0.83880847000360104</v>
      </c>
      <c r="G49" s="2">
        <v>0.24893821883643999</v>
      </c>
      <c r="H49" s="2">
        <f t="shared" si="1"/>
        <v>0.23946729467047501</v>
      </c>
      <c r="I49" s="2">
        <v>0.76053270532952499</v>
      </c>
    </row>
    <row r="50" spans="1:9" x14ac:dyDescent="0.25">
      <c r="A50">
        <v>4.8</v>
      </c>
      <c r="C50" s="2">
        <v>0.22210775001927599</v>
      </c>
      <c r="D50" s="2">
        <f t="shared" si="0"/>
        <v>0.15834559643465596</v>
      </c>
      <c r="E50" s="2">
        <v>0.84165440356534404</v>
      </c>
      <c r="G50" s="2">
        <v>0.24416783526271199</v>
      </c>
      <c r="H50" s="2">
        <f t="shared" si="1"/>
        <v>0.23546965674715103</v>
      </c>
      <c r="I50" s="2">
        <v>0.76453034325284897</v>
      </c>
    </row>
    <row r="51" spans="1:9" x14ac:dyDescent="0.25">
      <c r="A51">
        <v>4.9000000000000004</v>
      </c>
      <c r="C51" s="2">
        <v>0.215767433256108</v>
      </c>
      <c r="D51" s="2">
        <f t="shared" si="0"/>
        <v>0.15551335328181304</v>
      </c>
      <c r="E51" s="2">
        <v>0.84448664671818696</v>
      </c>
      <c r="G51" s="2">
        <v>0.23948012013794501</v>
      </c>
      <c r="H51" s="2">
        <f t="shared" si="1"/>
        <v>0.23149612007516795</v>
      </c>
      <c r="I51" s="2">
        <v>0.76850387992483205</v>
      </c>
    </row>
    <row r="52" spans="1:9" x14ac:dyDescent="0.25">
      <c r="A52">
        <v>5</v>
      </c>
      <c r="C52" s="2">
        <v>0.20958911526833701</v>
      </c>
      <c r="D52" s="2">
        <f t="shared" si="0"/>
        <v>0.15269465695009299</v>
      </c>
      <c r="E52" s="2">
        <v>0.84730534304990701</v>
      </c>
      <c r="G52" s="2">
        <v>0.23487337583245901</v>
      </c>
      <c r="H52" s="2">
        <f t="shared" si="1"/>
        <v>0.22754888583667499</v>
      </c>
      <c r="I52" s="2">
        <v>0.77245111416332501</v>
      </c>
    </row>
    <row r="53" spans="1:9" x14ac:dyDescent="0.25">
      <c r="A53">
        <v>5.0999999999999996</v>
      </c>
      <c r="C53" s="2">
        <v>0.20357176845326599</v>
      </c>
      <c r="D53" s="2">
        <f t="shared" si="0"/>
        <v>0.14988966902402601</v>
      </c>
      <c r="E53" s="2">
        <v>0.85011033097597399</v>
      </c>
      <c r="G53" s="2">
        <v>0.230345967375748</v>
      </c>
      <c r="H53" s="2">
        <f t="shared" si="1"/>
        <v>0.22363002824651601</v>
      </c>
      <c r="I53" s="2">
        <v>0.77636997175348399</v>
      </c>
    </row>
    <row r="54" spans="1:9" x14ac:dyDescent="0.25">
      <c r="A54">
        <v>5.2</v>
      </c>
      <c r="C54" s="2">
        <v>0.1977138919793</v>
      </c>
      <c r="D54" s="2">
        <f t="shared" si="0"/>
        <v>0.14709881474285402</v>
      </c>
      <c r="E54" s="2">
        <v>0.85290118525714598</v>
      </c>
      <c r="G54" s="2">
        <v>0.225896322895905</v>
      </c>
      <c r="H54" s="2">
        <f t="shared" si="1"/>
        <v>0.21974149373448404</v>
      </c>
      <c r="I54" s="2">
        <v>0.78025850626551596</v>
      </c>
    </row>
    <row r="55" spans="1:9" x14ac:dyDescent="0.25">
      <c r="A55">
        <v>5.3</v>
      </c>
      <c r="C55" s="2">
        <v>0.19201359582114599</v>
      </c>
      <c r="D55" s="2">
        <f t="shared" si="0"/>
        <v>0.14432272853345596</v>
      </c>
      <c r="E55" s="2">
        <v>0.85567727146654404</v>
      </c>
      <c r="G55" s="2">
        <v>0.221522933084247</v>
      </c>
      <c r="H55" s="2">
        <f t="shared" si="1"/>
        <v>0.21588510135721894</v>
      </c>
      <c r="I55" s="2">
        <v>0.78411489864278106</v>
      </c>
    </row>
    <row r="56" spans="1:9" x14ac:dyDescent="0.25">
      <c r="A56">
        <v>5.4</v>
      </c>
      <c r="C56" s="2">
        <v>0.18646865039306099</v>
      </c>
      <c r="D56" s="2">
        <f t="shared" si="0"/>
        <v>0.14156222157626996</v>
      </c>
      <c r="E56" s="2">
        <v>0.85843777842373004</v>
      </c>
      <c r="G56" s="2">
        <v>0.217224349904795</v>
      </c>
      <c r="H56" s="2">
        <f t="shared" si="1"/>
        <v>0.21206254420669501</v>
      </c>
      <c r="I56" s="2">
        <v>0.78793745579330499</v>
      </c>
    </row>
    <row r="57" spans="1:9" x14ac:dyDescent="0.25">
      <c r="A57">
        <v>5.5</v>
      </c>
      <c r="C57" s="2">
        <v>0.18107654777476001</v>
      </c>
      <c r="D57" s="2">
        <f t="shared" si="0"/>
        <v>0.13881824260480302</v>
      </c>
      <c r="E57" s="2">
        <v>0.86118175739519698</v>
      </c>
      <c r="G57" s="2">
        <v>0.21299918472993201</v>
      </c>
      <c r="H57" s="2">
        <f t="shared" si="1"/>
        <v>0.20827539161942399</v>
      </c>
      <c r="I57" s="2">
        <v>0.79172460838057601</v>
      </c>
    </row>
    <row r="58" spans="1:9" x14ac:dyDescent="0.25">
      <c r="A58">
        <v>5.6</v>
      </c>
      <c r="C58" s="2">
        <v>0.17583453993708301</v>
      </c>
      <c r="D58" s="2">
        <f t="shared" si="0"/>
        <v>0.13609185303833504</v>
      </c>
      <c r="E58" s="2">
        <v>0.86390814696166496</v>
      </c>
      <c r="G58" s="2">
        <v>0.208846106051225</v>
      </c>
      <c r="H58" s="2">
        <f t="shared" si="1"/>
        <v>0.20452509202190094</v>
      </c>
      <c r="I58" s="2">
        <v>0.79547490797809906</v>
      </c>
    </row>
    <row r="59" spans="1:9" x14ac:dyDescent="0.25">
      <c r="A59">
        <v>5.7</v>
      </c>
      <c r="C59" s="2">
        <v>0.17073970111449099</v>
      </c>
      <c r="D59" s="2">
        <f t="shared" si="0"/>
        <v>0.133384188008974</v>
      </c>
      <c r="E59" s="2">
        <v>0.866615811991026</v>
      </c>
      <c r="G59" s="2">
        <v>0.204763836887532</v>
      </c>
      <c r="H59" s="2">
        <f t="shared" si="1"/>
        <v>0.20081297627403405</v>
      </c>
      <c r="I59" s="2">
        <v>0.79918702372596595</v>
      </c>
    </row>
    <row r="60" spans="1:9" x14ac:dyDescent="0.25">
      <c r="A60">
        <v>5.8</v>
      </c>
      <c r="C60" s="2">
        <v>0.16578895501297</v>
      </c>
      <c r="D60" s="2">
        <f t="shared" si="0"/>
        <v>0.13069643887738902</v>
      </c>
      <c r="E60" s="2">
        <v>0.86930356112261098</v>
      </c>
      <c r="G60" s="2">
        <v>0.20075115198996801</v>
      </c>
      <c r="H60" s="2">
        <f t="shared" si="1"/>
        <v>0.19714026139445295</v>
      </c>
      <c r="I60" s="2">
        <v>0.80285973860554705</v>
      </c>
    </row>
    <row r="61" spans="1:9" x14ac:dyDescent="0.25">
      <c r="A61">
        <v>5.9</v>
      </c>
      <c r="C61" s="2">
        <v>0.16097911281381599</v>
      </c>
      <c r="D61" s="2">
        <f t="shared" si="0"/>
        <v>0.12802982952677899</v>
      </c>
      <c r="E61" s="2">
        <v>0.87197017047322101</v>
      </c>
      <c r="G61" s="2">
        <v>0.19680687492454799</v>
      </c>
      <c r="H61" s="2">
        <f t="shared" si="1"/>
        <v>0.193508054570248</v>
      </c>
      <c r="I61" s="2">
        <v>0.806491945429752</v>
      </c>
    </row>
    <row r="62" spans="1:9" x14ac:dyDescent="0.25">
      <c r="A62">
        <v>6</v>
      </c>
      <c r="C62" s="2">
        <v>0.15630690648640799</v>
      </c>
      <c r="D62" s="2">
        <f t="shared" si="0"/>
        <v>0.12538559587434195</v>
      </c>
      <c r="E62" s="2">
        <v>0.87461440412565805</v>
      </c>
      <c r="G62" s="2">
        <v>0.19292987770159101</v>
      </c>
      <c r="H62" s="2">
        <f t="shared" si="1"/>
        <v>0.189917358103876</v>
      </c>
      <c r="I62" s="2">
        <v>0.810082641896124</v>
      </c>
    </row>
    <row r="63" spans="1:9" x14ac:dyDescent="0.25">
      <c r="A63">
        <v>6.1</v>
      </c>
      <c r="C63" s="2">
        <v>0.15176900407452101</v>
      </c>
      <c r="D63" s="2">
        <f t="shared" si="0"/>
        <v>0.122764975868218</v>
      </c>
      <c r="E63" s="2">
        <v>0.877235024131782</v>
      </c>
      <c r="G63" s="2">
        <v>0.18911906731629599</v>
      </c>
      <c r="H63" s="2">
        <f t="shared" si="1"/>
        <v>0.18636907084757104</v>
      </c>
      <c r="I63" s="2">
        <v>0.81363092915242896</v>
      </c>
    </row>
    <row r="64" spans="1:9" x14ac:dyDescent="0.25">
      <c r="A64">
        <v>6.2</v>
      </c>
      <c r="C64" s="2">
        <v>0.14736205023447399</v>
      </c>
      <c r="D64" s="2">
        <f t="shared" si="0"/>
        <v>0.120169185697794</v>
      </c>
      <c r="E64" s="2">
        <v>0.879830814302206</v>
      </c>
      <c r="G64" s="2">
        <v>0.18537339862827401</v>
      </c>
      <c r="H64" s="2">
        <f t="shared" si="1"/>
        <v>0.18286399695514399</v>
      </c>
      <c r="I64" s="2">
        <v>0.81713600304485601</v>
      </c>
    </row>
    <row r="65" spans="1:9" x14ac:dyDescent="0.25">
      <c r="A65">
        <v>6.3</v>
      </c>
      <c r="C65" s="2">
        <v>0.14308267410893499</v>
      </c>
      <c r="D65" s="2">
        <f t="shared" si="0"/>
        <v>0.11759941470882296</v>
      </c>
      <c r="E65" s="2">
        <v>0.88240058529117704</v>
      </c>
      <c r="G65" s="2">
        <v>0.18169186086570299</v>
      </c>
      <c r="H65" s="2">
        <f t="shared" si="1"/>
        <v>0.17940284748090196</v>
      </c>
      <c r="I65" s="2">
        <v>0.82059715251909804</v>
      </c>
    </row>
    <row r="66" spans="1:9" x14ac:dyDescent="0.25">
      <c r="A66">
        <v>6.4</v>
      </c>
      <c r="C66" s="2">
        <v>0.138927509382471</v>
      </c>
      <c r="D66" s="2">
        <f t="shared" si="0"/>
        <v>0.11505681375028698</v>
      </c>
      <c r="E66" s="2">
        <v>0.88494318624971302</v>
      </c>
      <c r="G66" s="2">
        <v>0.17807347751948799</v>
      </c>
      <c r="H66" s="2">
        <f t="shared" si="1"/>
        <v>0.17598624553021502</v>
      </c>
      <c r="I66" s="2">
        <v>0.82401375446978498</v>
      </c>
    </row>
    <row r="67" spans="1:9" x14ac:dyDescent="0.25">
      <c r="A67">
        <v>6.5</v>
      </c>
      <c r="C67" s="2">
        <v>0.13489320867941301</v>
      </c>
      <c r="D67" s="2">
        <f t="shared" si="0"/>
        <v>0.11254248699915703</v>
      </c>
      <c r="E67" s="2">
        <v>0.88745751300084297</v>
      </c>
      <c r="G67" s="2">
        <v>0.174517303674598</v>
      </c>
      <c r="H67" s="2">
        <f t="shared" si="1"/>
        <v>0.17261473066305999</v>
      </c>
      <c r="I67" s="2">
        <v>0.82738526933694001</v>
      </c>
    </row>
    <row r="68" spans="1:9" x14ac:dyDescent="0.25">
      <c r="A68">
        <v>6.6</v>
      </c>
      <c r="C68" s="2">
        <v>0.13097645830228399</v>
      </c>
      <c r="D68" s="2">
        <f t="shared" ref="D68:D72" si="2">1-E68</f>
        <v>0.11005748404335902</v>
      </c>
      <c r="E68" s="2">
        <v>0.88994251595664098</v>
      </c>
      <c r="G68" s="2">
        <v>0.17102242346716101</v>
      </c>
      <c r="H68" s="2">
        <f t="shared" ref="H68:H72" si="3">1-I68</f>
        <v>0.16928876322995601</v>
      </c>
      <c r="I68" s="2">
        <v>0.83071123677004399</v>
      </c>
    </row>
    <row r="69" spans="1:9" x14ac:dyDescent="0.25">
      <c r="A69">
        <v>6.7</v>
      </c>
      <c r="C69" s="2">
        <v>0.127173977590325</v>
      </c>
      <c r="D69" s="2">
        <f t="shared" si="2"/>
        <v>0.10760279992349098</v>
      </c>
      <c r="E69" s="2">
        <v>0.89239720007650902</v>
      </c>
      <c r="G69" s="2">
        <v>0.16758794767661001</v>
      </c>
      <c r="H69" s="2">
        <f t="shared" si="3"/>
        <v>0.16600872861916705</v>
      </c>
      <c r="I69" s="2">
        <v>0.83399127138083295</v>
      </c>
    </row>
    <row r="70" spans="1:9" x14ac:dyDescent="0.25">
      <c r="A70">
        <v>6.8</v>
      </c>
      <c r="C70" s="2">
        <v>0.12348254373076099</v>
      </c>
      <c r="D70" s="2">
        <f t="shared" si="2"/>
        <v>0.10517936290915697</v>
      </c>
      <c r="E70" s="2">
        <v>0.89482063709084303</v>
      </c>
      <c r="G70" s="2">
        <v>0.16421301145876899</v>
      </c>
      <c r="H70" s="2">
        <f t="shared" si="3"/>
        <v>0.16277494139841597</v>
      </c>
      <c r="I70" s="2">
        <v>0.83722505860158403</v>
      </c>
    </row>
    <row r="71" spans="1:9" x14ac:dyDescent="0.25">
      <c r="A71">
        <v>6.9</v>
      </c>
      <c r="C71" s="2">
        <v>0.119898987254066</v>
      </c>
      <c r="D71" s="2">
        <f t="shared" si="2"/>
        <v>0.10278803715557305</v>
      </c>
      <c r="E71" s="2">
        <v>0.89721196284442695</v>
      </c>
      <c r="G71" s="2">
        <v>0.160896772222895</v>
      </c>
      <c r="H71" s="2">
        <f t="shared" si="3"/>
        <v>0.15958764933812297</v>
      </c>
      <c r="I71" s="2">
        <v>0.84041235066187703</v>
      </c>
    </row>
    <row r="72" spans="1:9" x14ac:dyDescent="0.25">
      <c r="A72">
        <v>7</v>
      </c>
      <c r="C72" s="2">
        <v>0.11642020033757899</v>
      </c>
      <c r="D72" s="2">
        <f t="shared" si="2"/>
        <v>0.10042961921653903</v>
      </c>
      <c r="E72" s="2">
        <v>0.89957038078346097</v>
      </c>
      <c r="G72" s="2">
        <v>0.15763840765338799</v>
      </c>
      <c r="H72" s="2">
        <f t="shared" si="3"/>
        <v>0.15644703730624299</v>
      </c>
      <c r="I72" s="2">
        <v>0.84355296269375701</v>
      </c>
    </row>
  </sheetData>
  <mergeCells count="2">
    <mergeCell ref="G1:I1"/>
    <mergeCell ref="C1:E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A2" sqref="A2:A201"/>
    </sheetView>
  </sheetViews>
  <sheetFormatPr defaultRowHeight="15" x14ac:dyDescent="0.25"/>
  <sheetData>
    <row r="1" spans="1:5" x14ac:dyDescent="0.25">
      <c r="B1">
        <v>5.5</v>
      </c>
      <c r="C1">
        <v>6.5</v>
      </c>
      <c r="D1">
        <v>5.5</v>
      </c>
      <c r="E1">
        <v>6.5</v>
      </c>
    </row>
    <row r="2" spans="1:5" x14ac:dyDescent="0.25">
      <c r="A2">
        <v>0.1</v>
      </c>
      <c r="B2" s="2">
        <v>0.50534765070800203</v>
      </c>
      <c r="C2" s="2">
        <v>0.51825553746374498</v>
      </c>
      <c r="D2" s="2">
        <v>0.50365605604989805</v>
      </c>
      <c r="E2" s="2">
        <v>0.51477141471972199</v>
      </c>
    </row>
    <row r="3" spans="1:5" x14ac:dyDescent="0.25">
      <c r="A3">
        <v>0.2</v>
      </c>
      <c r="B3" s="2">
        <v>0.50888321037248396</v>
      </c>
      <c r="C3" s="2">
        <v>0.53554690990134701</v>
      </c>
      <c r="D3" s="2">
        <v>0.505657354775777</v>
      </c>
      <c r="E3" s="2">
        <v>0.52814704760777598</v>
      </c>
    </row>
    <row r="4" spans="1:5" x14ac:dyDescent="0.25">
      <c r="A4">
        <v>0.3</v>
      </c>
      <c r="B4" s="2">
        <v>0.51069457007121799</v>
      </c>
      <c r="C4" s="2">
        <v>0.55194121817585895</v>
      </c>
      <c r="D4" s="2">
        <v>0.50610777545818397</v>
      </c>
      <c r="E4" s="2">
        <v>0.54024720859047104</v>
      </c>
    </row>
    <row r="5" spans="1:5" x14ac:dyDescent="0.25">
      <c r="A5">
        <v>0.4</v>
      </c>
      <c r="B5" s="2">
        <v>0.51099318640978397</v>
      </c>
      <c r="C5" s="2">
        <v>0.56753104546244004</v>
      </c>
      <c r="D5" s="2">
        <v>0.50517148068274698</v>
      </c>
      <c r="E5" s="2">
        <v>0.551216708681325</v>
      </c>
    </row>
    <row r="6" spans="1:5" x14ac:dyDescent="0.25">
      <c r="A6">
        <v>0.5</v>
      </c>
      <c r="B6" s="2">
        <v>0.51006455514718496</v>
      </c>
      <c r="C6" s="2">
        <v>0.58240990712589202</v>
      </c>
      <c r="D6" s="2">
        <v>0.50304698196453701</v>
      </c>
      <c r="E6" s="2">
        <v>0.56120619207295697</v>
      </c>
    </row>
    <row r="7" spans="1:5" x14ac:dyDescent="0.25">
      <c r="A7">
        <v>0.6</v>
      </c>
      <c r="B7" s="2">
        <v>0.50819806080724805</v>
      </c>
      <c r="C7" s="2">
        <v>0.59665102786253399</v>
      </c>
      <c r="D7" s="2">
        <v>0.49993751474133902</v>
      </c>
      <c r="E7" s="2">
        <v>0.57035591157044996</v>
      </c>
    </row>
    <row r="8" spans="1:5" x14ac:dyDescent="0.25">
      <c r="A8">
        <v>0.7</v>
      </c>
      <c r="B8" s="2">
        <v>0.50563380927788604</v>
      </c>
      <c r="C8" s="2">
        <v>0.61029875559485902</v>
      </c>
      <c r="D8" s="2">
        <v>0.49602799280766502</v>
      </c>
      <c r="E8" s="2">
        <v>0.57878611662860402</v>
      </c>
    </row>
    <row r="9" spans="1:5" x14ac:dyDescent="0.25">
      <c r="A9">
        <v>0.8</v>
      </c>
      <c r="B9" s="2">
        <v>0.502542834348088</v>
      </c>
      <c r="C9" s="2">
        <v>0.62337206617988095</v>
      </c>
      <c r="D9" s="2">
        <v>0.49147317300847898</v>
      </c>
      <c r="E9" s="2">
        <v>0.58659457996485498</v>
      </c>
    </row>
    <row r="10" spans="1:5" x14ac:dyDescent="0.25">
      <c r="A10">
        <v>0.9</v>
      </c>
      <c r="B10" s="2">
        <v>0.49903280772859998</v>
      </c>
      <c r="C10" s="2">
        <v>0.63587370109255203</v>
      </c>
      <c r="D10" s="2">
        <v>0.48639576732060702</v>
      </c>
      <c r="E10" s="2">
        <v>0.59385908305345303</v>
      </c>
    </row>
    <row r="11" spans="1:5" x14ac:dyDescent="0.25">
      <c r="A11">
        <v>1</v>
      </c>
      <c r="B11" s="2">
        <v>0.49516428110367899</v>
      </c>
      <c r="C11" s="2">
        <v>0.64779928036409895</v>
      </c>
      <c r="D11" s="2">
        <v>0.48089055107536999</v>
      </c>
      <c r="E11" s="2">
        <v>0.60064206943009701</v>
      </c>
    </row>
    <row r="12" spans="1:5" x14ac:dyDescent="0.25">
      <c r="A12">
        <v>1.1000000000000001</v>
      </c>
      <c r="B12" s="2">
        <v>0.49096725204863101</v>
      </c>
      <c r="C12" s="2">
        <v>0.65914389745911695</v>
      </c>
      <c r="D12" s="2">
        <v>0.47503071775656402</v>
      </c>
      <c r="E12" s="2">
        <v>0.60699541093119003</v>
      </c>
    </row>
    <row r="13" spans="1:5" x14ac:dyDescent="0.25">
      <c r="A13">
        <v>1.2</v>
      </c>
      <c r="B13" s="2">
        <v>0.486454100380312</v>
      </c>
      <c r="C13" s="2">
        <v>0.66990599554772901</v>
      </c>
      <c r="D13" s="2">
        <v>0.46887414161780999</v>
      </c>
      <c r="E13" s="2">
        <v>0.61296427888631</v>
      </c>
    </row>
    <row r="14" spans="1:5" x14ac:dyDescent="0.25">
      <c r="A14">
        <v>1.3</v>
      </c>
      <c r="B14" s="2">
        <v>0.48162844187102699</v>
      </c>
      <c r="C14" s="2">
        <v>0.680089170505634</v>
      </c>
      <c r="D14" s="2">
        <v>0.46246843239519603</v>
      </c>
      <c r="E14" s="2">
        <v>0.61858980832633403</v>
      </c>
    </row>
    <row r="15" spans="1:5" x14ac:dyDescent="0.25">
      <c r="A15">
        <v>1.4</v>
      </c>
      <c r="B15" s="2">
        <v>0.47649068771557801</v>
      </c>
      <c r="C15" s="2">
        <v>0.68970260967061803</v>
      </c>
      <c r="D15" s="2">
        <v>0.45585458934914402</v>
      </c>
      <c r="E15" s="2">
        <v>0.62391070084631595</v>
      </c>
    </row>
    <row r="16" spans="1:5" x14ac:dyDescent="0.25">
      <c r="A16">
        <v>1.5</v>
      </c>
      <c r="B16" s="2">
        <v>0.47104138047399502</v>
      </c>
      <c r="C16" s="2">
        <v>0.69876079523692602</v>
      </c>
      <c r="D16" s="2">
        <v>0.449069343684939</v>
      </c>
      <c r="E16" s="2">
        <v>0.62896397535731896</v>
      </c>
    </row>
    <row r="17" spans="1:5" x14ac:dyDescent="0.25">
      <c r="A17">
        <v>1.6</v>
      </c>
      <c r="B17" s="2">
        <v>0.46528300504320702</v>
      </c>
      <c r="C17" s="2">
        <v>0.70728278465584205</v>
      </c>
      <c r="D17" s="2">
        <v>0.44214652334308302</v>
      </c>
      <c r="E17" s="2">
        <v>0.63378516459427603</v>
      </c>
    </row>
    <row r="18" spans="1:5" x14ac:dyDescent="0.25">
      <c r="A18">
        <v>1.7</v>
      </c>
      <c r="B18" s="2">
        <v>0.45922092510655999</v>
      </c>
      <c r="C18" s="2">
        <v>0.71529137467706405</v>
      </c>
      <c r="D18" s="2">
        <v>0.43511771987789799</v>
      </c>
      <c r="E18" s="2">
        <v>0.63840817343434098</v>
      </c>
    </row>
    <row r="19" spans="1:5" x14ac:dyDescent="0.25">
      <c r="A19">
        <v>1.8</v>
      </c>
      <c r="B19" s="2">
        <v>0.45286370423911898</v>
      </c>
      <c r="C19" s="2">
        <v>0.72281220937183199</v>
      </c>
      <c r="D19" s="2">
        <v>0.42801248949385401</v>
      </c>
      <c r="E19" s="2">
        <v>0.64286495842033897</v>
      </c>
    </row>
    <row r="20" spans="1:5" x14ac:dyDescent="0.25">
      <c r="A20">
        <v>1.9</v>
      </c>
      <c r="B20" s="2">
        <v>0.44622313454387602</v>
      </c>
      <c r="C20" s="2">
        <v>0.72987297876882296</v>
      </c>
      <c r="D20" s="2">
        <v>0.42085832695478598</v>
      </c>
      <c r="E20" s="2">
        <v>0.64718518347347598</v>
      </c>
    </row>
    <row r="21" spans="1:5" x14ac:dyDescent="0.25">
      <c r="A21">
        <v>2</v>
      </c>
      <c r="B21" s="2">
        <v>0.439314017603678</v>
      </c>
      <c r="C21" s="2">
        <v>0.73650267108823297</v>
      </c>
      <c r="D21" s="2">
        <v>0.41368052246348302</v>
      </c>
      <c r="E21" s="2">
        <v>0.65139591006644804</v>
      </c>
    </row>
    <row r="22" spans="1:5" x14ac:dyDescent="0.25">
      <c r="A22">
        <v>2.1</v>
      </c>
      <c r="B22" s="2">
        <v>0.43215385585703198</v>
      </c>
      <c r="C22" s="2">
        <v>0.74273094663970496</v>
      </c>
      <c r="D22" s="2">
        <v>0.40650200741845999</v>
      </c>
      <c r="E22" s="2">
        <v>0.65552137631719198</v>
      </c>
    </row>
    <row r="23" spans="1:5" x14ac:dyDescent="0.25">
      <c r="A23">
        <v>2.2000000000000002</v>
      </c>
      <c r="B23" s="2">
        <v>0.42476248141360201</v>
      </c>
      <c r="C23" s="2">
        <v>0.74858761350145697</v>
      </c>
      <c r="D23" s="2">
        <v>0.39934324203524901</v>
      </c>
      <c r="E23" s="2">
        <v>0.65958288205807603</v>
      </c>
    </row>
    <row r="24" spans="1:5" x14ac:dyDescent="0.25">
      <c r="A24">
        <v>2.2999999999999998</v>
      </c>
      <c r="B24" s="2">
        <v>0.41716162187261902</v>
      </c>
      <c r="C24" s="2">
        <v>0.754102173502742</v>
      </c>
      <c r="D24" s="2">
        <v>0.392222173600484</v>
      </c>
      <c r="E24" s="2">
        <v>0.66359878113064297</v>
      </c>
    </row>
    <row r="25" spans="1:5" x14ac:dyDescent="0.25">
      <c r="A25">
        <v>2.4</v>
      </c>
      <c r="B25" s="2">
        <v>0.40937448358795198</v>
      </c>
      <c r="C25" s="2">
        <v>0.75930347327431602</v>
      </c>
      <c r="D25" s="2">
        <v>0.385154254428971</v>
      </c>
      <c r="E25" s="2">
        <v>0.66758455687052198</v>
      </c>
    </row>
    <row r="26" spans="1:5" x14ac:dyDescent="0.25">
      <c r="A26">
        <v>2.5</v>
      </c>
      <c r="B26" s="2">
        <v>0.40142533902170602</v>
      </c>
      <c r="C26" s="2">
        <v>0.76421942847302904</v>
      </c>
      <c r="D26" s="2">
        <v>0.37815255503384998</v>
      </c>
      <c r="E26" s="2">
        <v>0.67155299034729099</v>
      </c>
    </row>
    <row r="27" spans="1:5" x14ac:dyDescent="0.25">
      <c r="A27">
        <v>2.6</v>
      </c>
      <c r="B27" s="2">
        <v>0.39333910018149099</v>
      </c>
      <c r="C27" s="2">
        <v>0.76887679047122504</v>
      </c>
      <c r="D27" s="2">
        <v>0.37122790211552198</v>
      </c>
      <c r="E27" s="2">
        <v>0.67551436167446699</v>
      </c>
    </row>
    <row r="28" spans="1:5" x14ac:dyDescent="0.25">
      <c r="A28">
        <v>2.7</v>
      </c>
      <c r="B28" s="2">
        <v>0.38514094511736802</v>
      </c>
      <c r="C28" s="2">
        <v>0.77330098940678405</v>
      </c>
      <c r="D28" s="2">
        <v>0.36438906839983598</v>
      </c>
      <c r="E28" s="2">
        <v>0.67947669351126505</v>
      </c>
    </row>
    <row r="29" spans="1:5" x14ac:dyDescent="0.25">
      <c r="A29">
        <v>2.8</v>
      </c>
      <c r="B29" s="2">
        <v>0.37685595847389802</v>
      </c>
      <c r="C29" s="2">
        <v>0.77751601216905497</v>
      </c>
      <c r="D29" s="2">
        <v>0.35764298155405899</v>
      </c>
      <c r="E29" s="2">
        <v>0.68344600755415896</v>
      </c>
    </row>
    <row r="30" spans="1:5" x14ac:dyDescent="0.25">
      <c r="A30">
        <v>2.9</v>
      </c>
      <c r="B30" s="2">
        <v>0.36850880884953202</v>
      </c>
      <c r="C30" s="2">
        <v>0.78154432142548202</v>
      </c>
      <c r="D30" s="2">
        <v>0.35099494435551398</v>
      </c>
      <c r="E30" s="2">
        <v>0.68742658366058995</v>
      </c>
    </row>
    <row r="31" spans="1:5" x14ac:dyDescent="0.25">
      <c r="A31">
        <v>3</v>
      </c>
      <c r="B31" s="2">
        <v>0.36012346367061598</v>
      </c>
      <c r="C31" s="2">
        <v>0.785406807546561</v>
      </c>
      <c r="D31" s="2">
        <v>0.344448838818606</v>
      </c>
      <c r="E31" s="2">
        <v>0.69142120171289101</v>
      </c>
    </row>
    <row r="32" spans="1:5" x14ac:dyDescent="0.25">
      <c r="A32">
        <v>3.1</v>
      </c>
      <c r="B32" s="2">
        <v>0.35172294391991399</v>
      </c>
      <c r="C32" s="2">
        <v>0.78912276828483496</v>
      </c>
      <c r="D32" s="2">
        <v>0.33800734883776801</v>
      </c>
      <c r="E32" s="2">
        <v>0.69543138385760495</v>
      </c>
    </row>
    <row r="33" spans="1:5" x14ac:dyDescent="0.25">
      <c r="A33">
        <v>3.2</v>
      </c>
      <c r="B33" s="2">
        <v>0.34332911982685699</v>
      </c>
      <c r="C33" s="2">
        <v>0.79270991178206596</v>
      </c>
      <c r="D33" s="2">
        <v>0.33167213868733197</v>
      </c>
      <c r="E33" s="2">
        <v>0.69945759934575202</v>
      </c>
    </row>
    <row r="34" spans="1:5" x14ac:dyDescent="0.25">
      <c r="A34">
        <v>3.3</v>
      </c>
      <c r="B34" s="2">
        <v>0.33496254745977699</v>
      </c>
      <c r="C34" s="2">
        <v>0.796184379069793</v>
      </c>
      <c r="D34" s="2">
        <v>0.32544402834764802</v>
      </c>
      <c r="E34" s="2">
        <v>0.70349945579475104</v>
      </c>
    </row>
    <row r="35" spans="1:5" x14ac:dyDescent="0.25">
      <c r="A35">
        <v>3.4</v>
      </c>
      <c r="B35" s="2">
        <v>0.326642345095702</v>
      </c>
      <c r="C35" s="2">
        <v>0.79956078271106701</v>
      </c>
      <c r="D35" s="2">
        <v>0.31932314909514897</v>
      </c>
      <c r="E35" s="2">
        <v>0.70755586710959895</v>
      </c>
    </row>
    <row r="36" spans="1:5" x14ac:dyDescent="0.25">
      <c r="A36">
        <v>3.5</v>
      </c>
      <c r="B36" s="2">
        <v>0.31838610731668998</v>
      </c>
      <c r="C36" s="2">
        <v>0.80285225862698695</v>
      </c>
      <c r="D36" s="2">
        <v>0.31330906649703399</v>
      </c>
      <c r="E36" s="2">
        <v>0.71162519328060203</v>
      </c>
    </row>
    <row r="37" spans="1:5" x14ac:dyDescent="0.25">
      <c r="A37">
        <v>3.6</v>
      </c>
      <c r="B37" s="2">
        <v>0.31020985402111301</v>
      </c>
      <c r="C37" s="2">
        <v>0.80607052848108995</v>
      </c>
      <c r="D37" s="2">
        <v>0.307400912103171</v>
      </c>
      <c r="E37" s="2">
        <v>0.71570537233701803</v>
      </c>
    </row>
    <row r="38" spans="1:5" x14ac:dyDescent="0.25">
      <c r="A38">
        <v>3.7</v>
      </c>
      <c r="B38" s="2">
        <v>0.30212801096059799</v>
      </c>
      <c r="C38" s="2">
        <v>0.80922597027585197</v>
      </c>
      <c r="D38" s="2">
        <v>0.30159747018016803</v>
      </c>
      <c r="E38" s="2">
        <v>0.71979402046619401</v>
      </c>
    </row>
    <row r="39" spans="1:5" x14ac:dyDescent="0.25">
      <c r="A39">
        <v>3.8</v>
      </c>
      <c r="B39" s="2">
        <v>0.29415341802276501</v>
      </c>
      <c r="C39" s="2">
        <v>0.812327695062942</v>
      </c>
      <c r="D39" s="2">
        <v>0.29589726321668602</v>
      </c>
      <c r="E39" s="2">
        <v>0.72388852225613898</v>
      </c>
    </row>
    <row r="40" spans="1:5" x14ac:dyDescent="0.25">
      <c r="A40">
        <v>3.9</v>
      </c>
      <c r="B40" s="2">
        <v>0.28629736126979699</v>
      </c>
      <c r="C40" s="2">
        <v>0.81538362789360996</v>
      </c>
      <c r="D40" s="2">
        <v>0.29029862339142998</v>
      </c>
      <c r="E40" s="2">
        <v>0.72798610567632804</v>
      </c>
    </row>
    <row r="41" spans="1:5" x14ac:dyDescent="0.25">
      <c r="A41">
        <v>4</v>
      </c>
      <c r="B41" s="2">
        <v>0.27856962469702701</v>
      </c>
      <c r="C41" s="2">
        <v>0.81840059134526</v>
      </c>
      <c r="D41" s="2">
        <v>0.284799738604884</v>
      </c>
      <c r="E41" s="2">
        <v>0.73208390009687196</v>
      </c>
    </row>
    <row r="42" spans="1:5" x14ac:dyDescent="0.25">
      <c r="A42">
        <v>4.0999999999999996</v>
      </c>
      <c r="B42" s="2">
        <v>0.27097856064682102</v>
      </c>
      <c r="C42" s="2">
        <v>0.82138439205841995</v>
      </c>
      <c r="D42" s="2">
        <v>0.279398715522439</v>
      </c>
      <c r="E42" s="2">
        <v>0.73617899215288896</v>
      </c>
    </row>
    <row r="43" spans="1:5" x14ac:dyDescent="0.25">
      <c r="A43">
        <v>4.2</v>
      </c>
      <c r="B43" s="2">
        <v>0.263531157642374</v>
      </c>
      <c r="C43" s="2">
        <v>0.82433989744233305</v>
      </c>
      <c r="D43" s="2">
        <v>0.27409360579997</v>
      </c>
      <c r="E43" s="2">
        <v>0.74026846312420103</v>
      </c>
    </row>
    <row r="44" spans="1:5" x14ac:dyDescent="0.25">
      <c r="A44">
        <v>4.3</v>
      </c>
      <c r="B44" s="2">
        <v>0.25623314662168201</v>
      </c>
      <c r="C44" s="2">
        <v>0.82727113083014803</v>
      </c>
      <c r="D44" s="2">
        <v>0.26888243909047799</v>
      </c>
      <c r="E44" s="2">
        <v>0.74434942316535102</v>
      </c>
    </row>
    <row r="45" spans="1:5" x14ac:dyDescent="0.25">
      <c r="A45">
        <v>4.4000000000000004</v>
      </c>
      <c r="B45" s="2">
        <v>0.249089082409687</v>
      </c>
      <c r="C45" s="2">
        <v>0.83018134440580305</v>
      </c>
      <c r="D45" s="2">
        <v>0.263763246819886</v>
      </c>
      <c r="E45" s="2">
        <v>0.74841903786421204</v>
      </c>
    </row>
    <row r="46" spans="1:5" x14ac:dyDescent="0.25">
      <c r="A46">
        <v>4.5</v>
      </c>
      <c r="B46" s="2">
        <v>0.24210244346703999</v>
      </c>
      <c r="C46" s="2">
        <v>0.83307309943901697</v>
      </c>
      <c r="D46" s="2">
        <v>0.25873408069727</v>
      </c>
      <c r="E46" s="2">
        <v>0.75247454919402101</v>
      </c>
    </row>
    <row r="47" spans="1:5" x14ac:dyDescent="0.25">
      <c r="A47">
        <v>4.5999999999999996</v>
      </c>
      <c r="B47" s="2">
        <v>0.235275731916508</v>
      </c>
      <c r="C47" s="2">
        <v>0.83594834276700802</v>
      </c>
      <c r="D47" s="2">
        <v>0.253793029468181</v>
      </c>
      <c r="E47" s="2">
        <v>0.75651329197934603</v>
      </c>
    </row>
    <row r="48" spans="1:5" x14ac:dyDescent="0.25">
      <c r="A48">
        <v>4.7</v>
      </c>
      <c r="B48" s="2">
        <v>0.22861055778800399</v>
      </c>
      <c r="C48" s="2">
        <v>0.83880847000360104</v>
      </c>
      <c r="D48" s="2">
        <v>0.24893821883643999</v>
      </c>
      <c r="E48" s="2">
        <v>0.76053270532952499</v>
      </c>
    </row>
    <row r="49" spans="1:5" x14ac:dyDescent="0.25">
      <c r="A49">
        <v>4.8</v>
      </c>
      <c r="B49" s="2">
        <v>0.22210775001927599</v>
      </c>
      <c r="C49" s="2">
        <v>0.84165440356534404</v>
      </c>
      <c r="D49" s="2">
        <v>0.24416783526271199</v>
      </c>
      <c r="E49" s="2">
        <v>0.76453034325284897</v>
      </c>
    </row>
    <row r="50" spans="1:5" x14ac:dyDescent="0.25">
      <c r="A50">
        <v>4.9000000000000004</v>
      </c>
      <c r="B50" s="2">
        <v>0.215767433256108</v>
      </c>
      <c r="C50" s="2">
        <v>0.84448664671818696</v>
      </c>
      <c r="D50" s="2">
        <v>0.23948012013794501</v>
      </c>
      <c r="E50" s="2">
        <v>0.76850387992483205</v>
      </c>
    </row>
    <row r="51" spans="1:5" x14ac:dyDescent="0.25">
      <c r="A51">
        <v>5</v>
      </c>
      <c r="B51" s="2">
        <v>0.20958911526833701</v>
      </c>
      <c r="C51" s="2">
        <v>0.84730534304990701</v>
      </c>
      <c r="D51" s="2">
        <v>0.23487337583245901</v>
      </c>
      <c r="E51" s="2">
        <v>0.77245111416332501</v>
      </c>
    </row>
    <row r="52" spans="1:5" x14ac:dyDescent="0.25">
      <c r="A52">
        <v>5.0999999999999996</v>
      </c>
      <c r="B52" s="2">
        <v>0.20357176845326599</v>
      </c>
      <c r="C52" s="2">
        <v>0.85011033097597399</v>
      </c>
      <c r="D52" s="2">
        <v>0.230345967375748</v>
      </c>
      <c r="E52" s="2">
        <v>0.77636997175348399</v>
      </c>
    </row>
    <row r="53" spans="1:5" x14ac:dyDescent="0.25">
      <c r="A53">
        <v>5.2</v>
      </c>
      <c r="B53" s="2">
        <v>0.1977138919793</v>
      </c>
      <c r="C53" s="2">
        <v>0.85290118525714598</v>
      </c>
      <c r="D53" s="2">
        <v>0.225896322895905</v>
      </c>
      <c r="E53" s="2">
        <v>0.78025850626551596</v>
      </c>
    </row>
    <row r="54" spans="1:5" x14ac:dyDescent="0.25">
      <c r="A54">
        <v>5.3</v>
      </c>
      <c r="B54" s="2">
        <v>0.19201359582114599</v>
      </c>
      <c r="C54" s="2">
        <v>0.85567727146654404</v>
      </c>
      <c r="D54" s="2">
        <v>0.221522933084247</v>
      </c>
      <c r="E54" s="2">
        <v>0.78411489864278106</v>
      </c>
    </row>
    <row r="55" spans="1:5" x14ac:dyDescent="0.25">
      <c r="A55">
        <v>5.4</v>
      </c>
      <c r="B55" s="2">
        <v>0.18646865039306099</v>
      </c>
      <c r="C55" s="2">
        <v>0.85843777842373004</v>
      </c>
      <c r="D55" s="2">
        <v>0.217224349904795</v>
      </c>
      <c r="E55" s="2">
        <v>0.78793745579330499</v>
      </c>
    </row>
    <row r="56" spans="1:5" x14ac:dyDescent="0.25">
      <c r="A56">
        <v>5.5</v>
      </c>
      <c r="B56" s="2">
        <v>0.18107654777476001</v>
      </c>
      <c r="C56" s="2">
        <v>0.86118175739519698</v>
      </c>
      <c r="D56" s="2">
        <v>0.21299918472993201</v>
      </c>
      <c r="E56" s="2">
        <v>0.79172460838057601</v>
      </c>
    </row>
    <row r="57" spans="1:5" x14ac:dyDescent="0.25">
      <c r="A57">
        <v>5.6</v>
      </c>
      <c r="B57" s="2">
        <v>0.17583453993708301</v>
      </c>
      <c r="C57" s="2">
        <v>0.86390814696166496</v>
      </c>
      <c r="D57" s="2">
        <v>0.208846106051225</v>
      </c>
      <c r="E57" s="2">
        <v>0.79547490797809906</v>
      </c>
    </row>
    <row r="58" spans="1:5" x14ac:dyDescent="0.25">
      <c r="A58">
        <v>5.7</v>
      </c>
      <c r="B58" s="2">
        <v>0.17073970111449099</v>
      </c>
      <c r="C58" s="2">
        <v>0.866615811991026</v>
      </c>
      <c r="D58" s="2">
        <v>0.204763836887532</v>
      </c>
      <c r="E58" s="2">
        <v>0.79918702372596595</v>
      </c>
    </row>
    <row r="59" spans="1:5" x14ac:dyDescent="0.25">
      <c r="A59">
        <v>5.8</v>
      </c>
      <c r="B59" s="2">
        <v>0.16578895501297</v>
      </c>
      <c r="C59" s="2">
        <v>0.86930356112261098</v>
      </c>
      <c r="D59" s="2">
        <v>0.20075115198996801</v>
      </c>
      <c r="E59" s="2">
        <v>0.80285973860554705</v>
      </c>
    </row>
    <row r="60" spans="1:5" x14ac:dyDescent="0.25">
      <c r="A60">
        <v>5.9</v>
      </c>
      <c r="B60" s="2">
        <v>0.16097911281381599</v>
      </c>
      <c r="C60" s="2">
        <v>0.87197017047322101</v>
      </c>
      <c r="D60" s="2">
        <v>0.19680687492454799</v>
      </c>
      <c r="E60" s="2">
        <v>0.806491945429752</v>
      </c>
    </row>
    <row r="61" spans="1:5" x14ac:dyDescent="0.25">
      <c r="A61">
        <v>6</v>
      </c>
      <c r="B61" s="2">
        <v>0.15630690648640799</v>
      </c>
      <c r="C61" s="2">
        <v>0.87461440412565805</v>
      </c>
      <c r="D61" s="2">
        <v>0.19292987770159101</v>
      </c>
      <c r="E61" s="2">
        <v>0.810082641896124</v>
      </c>
    </row>
    <row r="62" spans="1:5" x14ac:dyDescent="0.25">
      <c r="A62">
        <v>6.1</v>
      </c>
      <c r="B62" s="2">
        <v>0.15176900407452101</v>
      </c>
      <c r="C62" s="2">
        <v>0.877235024131782</v>
      </c>
      <c r="D62" s="2">
        <v>0.18911906731629599</v>
      </c>
      <c r="E62" s="2">
        <v>0.81363092915242896</v>
      </c>
    </row>
    <row r="63" spans="1:5" x14ac:dyDescent="0.25">
      <c r="A63">
        <v>6.2</v>
      </c>
      <c r="B63" s="2">
        <v>0.14736205023447399</v>
      </c>
      <c r="C63" s="2">
        <v>0.879830814302206</v>
      </c>
      <c r="D63" s="2">
        <v>0.18537339862827401</v>
      </c>
      <c r="E63" s="2">
        <v>0.81713600304485601</v>
      </c>
    </row>
    <row r="64" spans="1:5" x14ac:dyDescent="0.25">
      <c r="A64">
        <v>6.3</v>
      </c>
      <c r="B64" s="2">
        <v>0.14308267410893499</v>
      </c>
      <c r="C64" s="2">
        <v>0.88240058529117704</v>
      </c>
      <c r="D64" s="2">
        <v>0.18169186086570299</v>
      </c>
      <c r="E64" s="2">
        <v>0.82059715251909804</v>
      </c>
    </row>
    <row r="65" spans="1:5" x14ac:dyDescent="0.25">
      <c r="A65">
        <v>6.4</v>
      </c>
      <c r="B65" s="2">
        <v>0.138927509382471</v>
      </c>
      <c r="C65" s="2">
        <v>0.88494318624971302</v>
      </c>
      <c r="D65" s="2">
        <v>0.17807347751948799</v>
      </c>
      <c r="E65" s="2">
        <v>0.82401375446978498</v>
      </c>
    </row>
    <row r="66" spans="1:5" x14ac:dyDescent="0.25">
      <c r="A66">
        <v>6.5</v>
      </c>
      <c r="B66" s="2">
        <v>0.13489320867941301</v>
      </c>
      <c r="C66" s="2">
        <v>0.88745751300084297</v>
      </c>
      <c r="D66" s="2">
        <v>0.174517303674598</v>
      </c>
      <c r="E66" s="2">
        <v>0.82738526933694001</v>
      </c>
    </row>
    <row r="67" spans="1:5" x14ac:dyDescent="0.25">
      <c r="A67">
        <v>6.6</v>
      </c>
      <c r="B67" s="2">
        <v>0.13097645830228399</v>
      </c>
      <c r="C67" s="2">
        <v>0.88994251595664098</v>
      </c>
      <c r="D67" s="2">
        <v>0.17102242346716101</v>
      </c>
      <c r="E67" s="2">
        <v>0.83071123677004399</v>
      </c>
    </row>
    <row r="68" spans="1:5" x14ac:dyDescent="0.25">
      <c r="A68">
        <v>6.7</v>
      </c>
      <c r="B68" s="2">
        <v>0.127173977590325</v>
      </c>
      <c r="C68" s="2">
        <v>0.89239720007650902</v>
      </c>
      <c r="D68" s="2">
        <v>0.16758794767661001</v>
      </c>
      <c r="E68" s="2">
        <v>0.83399127138083295</v>
      </c>
    </row>
    <row r="69" spans="1:5" x14ac:dyDescent="0.25">
      <c r="A69">
        <v>6.8</v>
      </c>
      <c r="B69" s="2">
        <v>0.12348254373076099</v>
      </c>
      <c r="C69" s="2">
        <v>0.89482063709084303</v>
      </c>
      <c r="D69" s="2">
        <v>0.16421301145876899</v>
      </c>
      <c r="E69" s="2">
        <v>0.83722505860158403</v>
      </c>
    </row>
    <row r="70" spans="1:5" x14ac:dyDescent="0.25">
      <c r="A70">
        <v>6.9</v>
      </c>
      <c r="B70" s="2">
        <v>0.119898987254066</v>
      </c>
      <c r="C70" s="2">
        <v>0.89721196284442695</v>
      </c>
      <c r="D70" s="2">
        <v>0.160896772222895</v>
      </c>
      <c r="E70" s="2">
        <v>0.84041235066187703</v>
      </c>
    </row>
    <row r="71" spans="1:5" x14ac:dyDescent="0.25">
      <c r="A71">
        <v>7</v>
      </c>
      <c r="B71" s="2">
        <v>0.11642020033757899</v>
      </c>
      <c r="C71" s="2">
        <v>0.89957038078346097</v>
      </c>
      <c r="D71" s="2">
        <v>0.15763840765338799</v>
      </c>
      <c r="E71" s="2">
        <v>0.84355296269375701</v>
      </c>
    </row>
    <row r="72" spans="1:5" x14ac:dyDescent="0.25">
      <c r="A72">
        <v>7.1</v>
      </c>
      <c r="B72" s="2">
        <v>0.113043141039454</v>
      </c>
      <c r="C72" s="2">
        <v>0.90189516317221496</v>
      </c>
      <c r="D72" s="2">
        <v>0.15443711387506201</v>
      </c>
      <c r="E72" s="2">
        <v>0.84664676897244595</v>
      </c>
    </row>
    <row r="73" spans="1:5" x14ac:dyDescent="0.25">
      <c r="A73">
        <v>7.2</v>
      </c>
      <c r="B73" s="2">
        <v>0.109764836515735</v>
      </c>
      <c r="C73" s="2">
        <v>0.90418565160226805</v>
      </c>
      <c r="D73" s="2">
        <v>0.15129210375936</v>
      </c>
      <c r="E73" s="2">
        <v>0.84969369929750704</v>
      </c>
    </row>
    <row r="74" spans="1:5" x14ac:dyDescent="0.25">
      <c r="A74">
        <v>7.3</v>
      </c>
      <c r="B74" s="2">
        <v>0.10658238792897901</v>
      </c>
      <c r="C74" s="2">
        <v>0.90644125789329899</v>
      </c>
      <c r="D74" s="2">
        <v>0.148202605367727</v>
      </c>
      <c r="E74" s="2">
        <v>0.85269373551744798</v>
      </c>
    </row>
    <row r="75" spans="1:5" x14ac:dyDescent="0.25">
      <c r="A75">
        <v>7.4</v>
      </c>
      <c r="B75" s="2">
        <v>0.10349296158516599</v>
      </c>
      <c r="C75" s="2">
        <v>0.90866145936031295</v>
      </c>
      <c r="D75" s="2">
        <v>0.14516786052751501</v>
      </c>
      <c r="E75" s="2">
        <v>0.85564690819915301</v>
      </c>
    </row>
    <row r="76" spans="1:5" x14ac:dyDescent="0.25">
      <c r="A76">
        <v>7.5</v>
      </c>
      <c r="B76" s="2">
        <v>0.10049380588135</v>
      </c>
      <c r="C76" s="2">
        <v>0.910845804099776</v>
      </c>
      <c r="D76" s="2">
        <v>0.142187123535019</v>
      </c>
      <c r="E76" s="2">
        <v>0.85855329344214204</v>
      </c>
    </row>
    <row r="77" spans="1:5" x14ac:dyDescent="0.25">
      <c r="A77">
        <v>7.6</v>
      </c>
      <c r="B77" s="2">
        <v>9.7582240841063497E-2</v>
      </c>
      <c r="C77" s="2">
        <v>0.91299390519835599</v>
      </c>
      <c r="D77" s="2">
        <v>0.13925965997985701</v>
      </c>
      <c r="E77" s="2">
        <v>0.86141300983660396</v>
      </c>
    </row>
    <row r="78" spans="1:5" x14ac:dyDescent="0.25">
      <c r="A78">
        <v>7.7</v>
      </c>
      <c r="B78" s="2">
        <v>9.4755660855326898E-2</v>
      </c>
      <c r="C78" s="2">
        <v>0.91510544011930794</v>
      </c>
      <c r="D78" s="2">
        <v>0.136384745684479</v>
      </c>
      <c r="E78" s="2">
        <v>0.864226215563211</v>
      </c>
    </row>
    <row r="79" spans="1:5" x14ac:dyDescent="0.25">
      <c r="A79">
        <v>7.8</v>
      </c>
      <c r="B79" s="2">
        <v>9.2011534264672803E-2</v>
      </c>
      <c r="C79" s="2">
        <v>0.91718014871268905</v>
      </c>
      <c r="D79" s="2">
        <v>0.13356166575245901</v>
      </c>
      <c r="E79" s="2">
        <v>0.86699310563197396</v>
      </c>
    </row>
    <row r="80" spans="1:5" x14ac:dyDescent="0.25">
      <c r="A80">
        <v>7.9</v>
      </c>
      <c r="B80" s="2">
        <v>8.9347402626702196E-2</v>
      </c>
      <c r="C80" s="2">
        <v>0.91921783102385402</v>
      </c>
      <c r="D80" s="2">
        <v>0.13078971371904699</v>
      </c>
      <c r="E80" s="2">
        <v>0.86971390925685099</v>
      </c>
    </row>
    <row r="81" spans="1:5" x14ac:dyDescent="0.25">
      <c r="A81">
        <v>8</v>
      </c>
      <c r="B81" s="2">
        <v>8.6760879725756995E-2</v>
      </c>
      <c r="C81" s="2">
        <v>0.92121834494386701</v>
      </c>
      <c r="D81" s="2">
        <v>0.12806819079749801</v>
      </c>
      <c r="E81" s="2">
        <v>0.87238888736233</v>
      </c>
    </row>
    <row r="82" spans="1:5" x14ac:dyDescent="0.25">
      <c r="A82">
        <v>8.1</v>
      </c>
      <c r="B82" s="2">
        <v>8.4249650373503904E-2</v>
      </c>
      <c r="C82" s="2">
        <v>0.92318160374015001</v>
      </c>
      <c r="D82" s="2">
        <v>0.12539640521475001</v>
      </c>
      <c r="E82" s="2">
        <v>0.87501833021786202</v>
      </c>
    </row>
    <row r="83" spans="1:5" x14ac:dyDescent="0.25">
      <c r="A83">
        <v>8.1999999999999993</v>
      </c>
      <c r="B83" s="2">
        <v>8.1811471624558194E-2</v>
      </c>
      <c r="C83" s="2">
        <v>0.92510757413003597</v>
      </c>
      <c r="D83" s="2">
        <v>0.122773671630061</v>
      </c>
      <c r="E83" s="2">
        <v>0.877602555195794</v>
      </c>
    </row>
    <row r="84" spans="1:5" x14ac:dyDescent="0.25">
      <c r="A84">
        <v>8.3000000000000007</v>
      </c>
      <c r="B84" s="2">
        <v>7.9444160810041201E-2</v>
      </c>
      <c r="C84" s="2">
        <v>0.92699627107910398</v>
      </c>
      <c r="D84" s="2">
        <v>0.120199310630498</v>
      </c>
      <c r="E84" s="2">
        <v>0.88014190464826303</v>
      </c>
    </row>
    <row r="85" spans="1:5" x14ac:dyDescent="0.25">
      <c r="A85">
        <v>8.4</v>
      </c>
      <c r="B85" s="2">
        <v>7.71456098692931E-2</v>
      </c>
      <c r="C85" s="2">
        <v>0.92884775915663698</v>
      </c>
      <c r="D85" s="2">
        <v>0.117672648297241</v>
      </c>
      <c r="E85" s="2">
        <v>0.882636743898364</v>
      </c>
    </row>
    <row r="86" spans="1:5" x14ac:dyDescent="0.25">
      <c r="A86">
        <v>8.5</v>
      </c>
      <c r="B86" s="2">
        <v>7.4913772901730999E-2</v>
      </c>
      <c r="C86" s="2">
        <v>0.93066214713209405</v>
      </c>
      <c r="D86" s="2">
        <v>0.115193015836978</v>
      </c>
      <c r="E86" s="2">
        <v>0.88508745934097</v>
      </c>
    </row>
    <row r="87" spans="1:5" x14ac:dyDescent="0.25">
      <c r="A87">
        <v>8.6</v>
      </c>
      <c r="B87" s="2">
        <v>7.2746667182693195E-2</v>
      </c>
      <c r="C87" s="2">
        <v>0.93243958604003596</v>
      </c>
      <c r="D87" s="2">
        <v>0.11275974927285499</v>
      </c>
      <c r="E87" s="2">
        <v>0.88749445664840598</v>
      </c>
    </row>
    <row r="88" spans="1:5" x14ac:dyDescent="0.25">
      <c r="A88">
        <v>8.6999999999999993</v>
      </c>
      <c r="B88" s="2">
        <v>7.06423714102795E-2</v>
      </c>
      <c r="C88" s="2">
        <v>0.93418026656028896</v>
      </c>
      <c r="D88" s="2">
        <v>0.110372189189725</v>
      </c>
      <c r="E88" s="2">
        <v>0.88985815907641197</v>
      </c>
    </row>
    <row r="89" spans="1:5" x14ac:dyDescent="0.25">
      <c r="A89">
        <v>8.8000000000000007</v>
      </c>
      <c r="B89" s="2">
        <v>6.8599023936097306E-2</v>
      </c>
      <c r="C89" s="2">
        <v>0.93588441643676201</v>
      </c>
      <c r="D89" s="2">
        <v>0.108029680528698</v>
      </c>
      <c r="E89" s="2">
        <v>0.89217900586572896</v>
      </c>
    </row>
    <row r="90" spans="1:5" x14ac:dyDescent="0.25">
      <c r="A90">
        <v>8.9</v>
      </c>
      <c r="B90" s="2">
        <v>6.6614820993203705E-2</v>
      </c>
      <c r="C90" s="2">
        <v>0.93755229794635897</v>
      </c>
      <c r="D90" s="2">
        <v>0.10573157242628101</v>
      </c>
      <c r="E90" s="2">
        <v>0.89445745073483696</v>
      </c>
    </row>
    <row r="91" spans="1:5" x14ac:dyDescent="0.25">
      <c r="A91">
        <v>9</v>
      </c>
      <c r="B91" s="2">
        <v>6.4688014932258106E-2</v>
      </c>
      <c r="C91" s="2">
        <v>0.93918420542741399</v>
      </c>
      <c r="D91" s="2">
        <v>0.103477218093617</v>
      </c>
      <c r="E91" s="2">
        <v>0.89669396045944505</v>
      </c>
    </row>
    <row r="92" spans="1:5" x14ac:dyDescent="0.25">
      <c r="A92">
        <v>9.1</v>
      </c>
      <c r="B92" s="2">
        <v>6.2816912474960199E-2</v>
      </c>
      <c r="C92" s="2">
        <v>0.94078046287541806</v>
      </c>
      <c r="D92" s="2">
        <v>0.10126597473169401</v>
      </c>
      <c r="E92" s="2">
        <v>0.89888901353447703</v>
      </c>
    </row>
    <row r="93" spans="1:5" x14ac:dyDescent="0.25">
      <c r="A93">
        <v>9.1999999999999993</v>
      </c>
      <c r="B93" s="2">
        <v>6.0999872992144398E-2</v>
      </c>
      <c r="C93" s="2">
        <v>0.94234142161226497</v>
      </c>
      <c r="D93" s="2">
        <v>9.9097203478568499E-2</v>
      </c>
      <c r="E93" s="2">
        <v>0.90104309891443202</v>
      </c>
    </row>
    <row r="94" spans="1:5" x14ac:dyDescent="0.25">
      <c r="A94">
        <v>9.3000000000000007</v>
      </c>
      <c r="B94" s="2">
        <v>5.9235306812470301E-2</v>
      </c>
      <c r="C94" s="2">
        <v>0.94386745803394001</v>
      </c>
      <c r="D94" s="2">
        <v>9.6970269384951693E-2</v>
      </c>
      <c r="E94" s="2">
        <v>0.90315671482813598</v>
      </c>
    </row>
    <row r="95" spans="1:5" x14ac:dyDescent="0.25">
      <c r="A95">
        <v>9.4</v>
      </c>
      <c r="B95" s="2">
        <v>5.75216735664099E-2</v>
      </c>
      <c r="C95" s="2">
        <v>0.94535897144039505</v>
      </c>
      <c r="D95" s="2">
        <v>9.4884541414786097E-2</v>
      </c>
      <c r="E95" s="2">
        <v>0.90523036766408205</v>
      </c>
    </row>
    <row r="96" spans="1:5" x14ac:dyDescent="0.25">
      <c r="A96">
        <v>9.5</v>
      </c>
      <c r="B96" s="2">
        <v>5.5857480569163398E-2</v>
      </c>
      <c r="C96" s="2">
        <v>0.94681638195031204</v>
      </c>
      <c r="D96" s="2">
        <v>9.2839392467635895E-2</v>
      </c>
      <c r="E96" s="2">
        <v>0.90726457092268098</v>
      </c>
    </row>
    <row r="97" spans="1:5" x14ac:dyDescent="0.25">
      <c r="A97">
        <v>9.6</v>
      </c>
      <c r="B97" s="2">
        <v>5.42412812452586E-2</v>
      </c>
      <c r="C97" s="2">
        <v>0.94824012850261497</v>
      </c>
      <c r="D97" s="2">
        <v>9.08341994199688E-2</v>
      </c>
      <c r="E97" s="2">
        <v>0.90925984423192396</v>
      </c>
    </row>
    <row r="98" spans="1:5" x14ac:dyDescent="0.25">
      <c r="A98">
        <v>9.6999999999999993</v>
      </c>
      <c r="B98" s="2">
        <v>5.2671676130948503E-2</v>
      </c>
      <c r="C98" s="2">
        <v>0.94963066705100796</v>
      </c>
      <c r="D98" s="2">
        <v>8.8868343182673198E-2</v>
      </c>
      <c r="E98" s="2">
        <v>0.91121671242311697</v>
      </c>
    </row>
    <row r="99" spans="1:5" x14ac:dyDescent="0.25">
      <c r="A99">
        <v>9.8000000000000007</v>
      </c>
      <c r="B99" s="2">
        <v>5.11473011700865E-2</v>
      </c>
      <c r="C99" s="2">
        <v>0.95098846829291495</v>
      </c>
      <c r="D99" s="2">
        <v>8.6941208772292097E-2</v>
      </c>
      <c r="E99" s="2">
        <v>0.91313570466348004</v>
      </c>
    </row>
    <row r="100" spans="1:5" x14ac:dyDescent="0.25">
      <c r="A100">
        <v>9.9</v>
      </c>
      <c r="B100" s="2">
        <v>4.9666841725684703E-2</v>
      </c>
      <c r="C100" s="2">
        <v>0.95231401665194404</v>
      </c>
      <c r="D100" s="2">
        <v>8.5052185393744401E-2</v>
      </c>
      <c r="E100" s="2">
        <v>0.91501735364257697</v>
      </c>
    </row>
    <row r="101" spans="1:5" x14ac:dyDescent="0.25">
      <c r="A101">
        <v>10</v>
      </c>
      <c r="B101" s="2">
        <v>4.82290207954401E-2</v>
      </c>
      <c r="C101" s="2">
        <v>0.95360780812107604</v>
      </c>
      <c r="D101" s="2">
        <v>8.3200666532438503E-2</v>
      </c>
      <c r="E101" s="2">
        <v>0.916862194809697</v>
      </c>
    </row>
    <row r="102" spans="1:5" x14ac:dyDescent="0.25">
      <c r="A102">
        <v>10.1</v>
      </c>
      <c r="B102" s="2">
        <v>4.6832600283692898E-2</v>
      </c>
      <c r="C102" s="2">
        <v>0.95487034883755195</v>
      </c>
      <c r="D102" s="2">
        <v>8.1386050053902606E-2</v>
      </c>
      <c r="E102" s="2">
        <v>0.91867076565942496</v>
      </c>
    </row>
    <row r="103" spans="1:5" x14ac:dyDescent="0.25">
      <c r="A103">
        <v>10.199999999999999</v>
      </c>
      <c r="B103" s="2">
        <v>4.5476379698641198E-2</v>
      </c>
      <c r="C103" s="2">
        <v>0.95610215360658402</v>
      </c>
      <c r="D103" s="2">
        <v>7.9607738309203202E-2</v>
      </c>
      <c r="E103" s="2">
        <v>0.92044360506280098</v>
      </c>
    </row>
    <row r="104" spans="1:5" x14ac:dyDescent="0.25">
      <c r="A104">
        <v>10.3</v>
      </c>
      <c r="B104" s="2">
        <v>4.4159194894828301E-2</v>
      </c>
      <c r="C104" s="2">
        <v>0.95730374450802902</v>
      </c>
      <c r="D104" s="2">
        <v>7.7865138244624404E-2</v>
      </c>
      <c r="E104" s="2">
        <v>0.922181252641609</v>
      </c>
    </row>
    <row r="105" spans="1:5" x14ac:dyDescent="0.25">
      <c r="A105">
        <v>10.4</v>
      </c>
      <c r="B105" s="2">
        <v>4.2879916860105498E-2</v>
      </c>
      <c r="C105" s="2">
        <v>0.95847564958404796</v>
      </c>
      <c r="D105" s="2">
        <v>7.6157661514175204E-2</v>
      </c>
      <c r="E105" s="2">
        <v>0.92388424818342096</v>
      </c>
    </row>
    <row r="106" spans="1:5" x14ac:dyDescent="0.25">
      <c r="A106">
        <v>10.5</v>
      </c>
      <c r="B106" s="2">
        <v>4.1637450546132403E-2</v>
      </c>
      <c r="C106" s="2">
        <v>0.95961840160552403</v>
      </c>
      <c r="D106" s="2">
        <v>7.4484724593709403E-2</v>
      </c>
      <c r="E106" s="2">
        <v>0.92555313109522397</v>
      </c>
    </row>
    <row r="107" spans="1:5" x14ac:dyDescent="0.25">
      <c r="A107">
        <v>10.6</v>
      </c>
      <c r="B107" s="2">
        <v>4.0430733741371502E-2</v>
      </c>
      <c r="C107" s="2">
        <v>0.96073253691487404</v>
      </c>
      <c r="D107" s="2">
        <v>7.2845748895495693E-2</v>
      </c>
      <c r="E107" s="2">
        <v>0.92718843989347299</v>
      </c>
    </row>
    <row r="108" spans="1:5" x14ac:dyDescent="0.25">
      <c r="A108">
        <v>10.7</v>
      </c>
      <c r="B108" s="2">
        <v>3.92587359853988E-2</v>
      </c>
      <c r="C108" s="2">
        <v>0.96181859434277095</v>
      </c>
      <c r="D108" s="2">
        <v>7.1240160882267506E-2</v>
      </c>
      <c r="E108" s="2">
        <v>0.92879071172864203</v>
      </c>
    </row>
    <row r="109" spans="1:5" x14ac:dyDescent="0.25">
      <c r="A109">
        <v>10.8</v>
      </c>
      <c r="B109" s="2">
        <v>3.8120457523324103E-2</v>
      </c>
      <c r="C109" s="2">
        <v>0.96287711419618605</v>
      </c>
      <c r="D109" s="2">
        <v>6.9667392179859594E-2</v>
      </c>
      <c r="E109" s="2">
        <v>0.930360481942337</v>
      </c>
    </row>
    <row r="110" spans="1:5" x14ac:dyDescent="0.25">
      <c r="A110">
        <v>10.9</v>
      </c>
      <c r="B110" s="2">
        <v>3.7014928299041398E-2</v>
      </c>
      <c r="C110" s="2">
        <v>0.96390863731507903</v>
      </c>
      <c r="D110" s="2">
        <v>6.8126879687640501E-2</v>
      </c>
      <c r="E110" s="2">
        <v>0.93189828365523197</v>
      </c>
    </row>
    <row r="111" spans="1:5" x14ac:dyDescent="0.25">
      <c r="A111">
        <v>11</v>
      </c>
      <c r="B111" s="2">
        <v>3.5941206985995601E-2</v>
      </c>
      <c r="C111" s="2">
        <v>0.96491370419508005</v>
      </c>
      <c r="D111" s="2">
        <v>6.6618065686088399E-2</v>
      </c>
      <c r="E111" s="2">
        <v>0.933404647384108</v>
      </c>
    </row>
    <row r="112" spans="1:5" x14ac:dyDescent="0.25">
      <c r="A112">
        <v>11.1</v>
      </c>
      <c r="B112" s="2">
        <v>3.4898380054159198E-2</v>
      </c>
      <c r="C112" s="2">
        <v>0.96589285417340398</v>
      </c>
      <c r="D112" s="2">
        <v>6.5140397940893199E-2</v>
      </c>
      <c r="E112" s="2">
        <v>0.934880100686449</v>
      </c>
    </row>
    <row r="113" spans="1:5" x14ac:dyDescent="0.25">
      <c r="A113">
        <v>11.2</v>
      </c>
      <c r="B113" s="2">
        <v>3.3885560871892803E-2</v>
      </c>
      <c r="C113" s="2">
        <v>0.96684662467530003</v>
      </c>
      <c r="D113" s="2">
        <v>6.3693329803090198E-2</v>
      </c>
      <c r="E113" s="2">
        <v>0.93632516783103104</v>
      </c>
    </row>
    <row r="114" spans="1:5" x14ac:dyDescent="0.25">
      <c r="A114">
        <v>11.3</v>
      </c>
      <c r="B114" s="2">
        <v>3.2901888841366099E-2</v>
      </c>
      <c r="C114" s="2">
        <v>0.96777555051831299</v>
      </c>
      <c r="D114" s="2">
        <v>6.2276320304806898E-2</v>
      </c>
      <c r="E114" s="2">
        <v>0.937740369493132</v>
      </c>
    </row>
    <row r="115" spans="1:5" x14ac:dyDescent="0.25">
      <c r="A115">
        <v>11.4</v>
      </c>
      <c r="B115" s="2">
        <v>3.1946528566251797E-2</v>
      </c>
      <c r="C115" s="2">
        <v>0.96868016327167805</v>
      </c>
      <c r="D115" s="2">
        <v>6.0888834250235703E-2</v>
      </c>
      <c r="E115" s="2">
        <v>0.93912622247297695</v>
      </c>
    </row>
    <row r="116" spans="1:5" x14ac:dyDescent="0.25">
      <c r="A116">
        <v>11.5</v>
      </c>
      <c r="B116" s="2">
        <v>3.1018669050401099E-2</v>
      </c>
      <c r="C116" s="2">
        <v>0.96956099066819901</v>
      </c>
      <c r="D116" s="2">
        <v>5.95303423015573E-2</v>
      </c>
      <c r="E116" s="2">
        <v>0.94048323943617096</v>
      </c>
    </row>
    <row r="117" spans="1:5" x14ac:dyDescent="0.25">
      <c r="A117">
        <v>11.6</v>
      </c>
      <c r="B117" s="2">
        <v>3.0117522926265999E-2</v>
      </c>
      <c r="C117" s="2">
        <v>0.97041855606599303</v>
      </c>
      <c r="D117" s="2">
        <v>5.8200321059568703E-2</v>
      </c>
      <c r="E117" s="2">
        <v>0.94181192867488295</v>
      </c>
    </row>
    <row r="118" spans="1:5" x14ac:dyDescent="0.25">
      <c r="A118">
        <v>11.7</v>
      </c>
      <c r="B118" s="2">
        <v>2.92423257118356E-2</v>
      </c>
      <c r="C118" s="2">
        <v>0.97125337795757405</v>
      </c>
      <c r="D118" s="2">
        <v>5.6898253138826703E-2</v>
      </c>
      <c r="E118" s="2">
        <v>0.94311279388867297</v>
      </c>
    </row>
    <row r="119" spans="1:5" x14ac:dyDescent="0.25">
      <c r="A119">
        <v>11.8</v>
      </c>
      <c r="B119" s="2">
        <v>2.8392335094916999E-2</v>
      </c>
      <c r="C119" s="2">
        <v>0.972065969523768</v>
      </c>
      <c r="D119" s="2">
        <v>5.5623627237169099E-2</v>
      </c>
      <c r="E119" s="2">
        <v>0.94438633398384697</v>
      </c>
    </row>
    <row r="120" spans="1:5" x14ac:dyDescent="0.25">
      <c r="A120">
        <v>11.9</v>
      </c>
      <c r="B120" s="2">
        <v>2.75668302436008E-2</v>
      </c>
      <c r="C120" s="2">
        <v>0.97285683823004798</v>
      </c>
      <c r="D120" s="2">
        <v>5.4375938199517901E-2</v>
      </c>
      <c r="E120" s="2">
        <v>0.945633042890343</v>
      </c>
    </row>
    <row r="121" spans="1:5" x14ac:dyDescent="0.25">
      <c r="A121">
        <v>12</v>
      </c>
      <c r="B121" s="2">
        <v>2.6765111141823301E-2</v>
      </c>
      <c r="C121" s="2">
        <v>0.97362648546293096</v>
      </c>
      <c r="D121" s="2">
        <v>5.3154687075909798E-2</v>
      </c>
      <c r="E121" s="2">
        <v>0.94685340939515705</v>
      </c>
    </row>
    <row r="122" spans="1:5" x14ac:dyDescent="0.25">
      <c r="A122">
        <v>12.1</v>
      </c>
      <c r="B122" s="2">
        <v>2.5986497948937901E-2</v>
      </c>
      <c r="C122" s="2">
        <v>0.97437540620416996</v>
      </c>
      <c r="D122" s="2">
        <v>5.1959381173716498E-2</v>
      </c>
      <c r="E122" s="2">
        <v>0.948047916991412</v>
      </c>
    </row>
    <row r="123" spans="1:5" x14ac:dyDescent="0.25">
      <c r="A123">
        <v>12.2</v>
      </c>
      <c r="B123" s="2">
        <v>2.52303303822944E-2</v>
      </c>
      <c r="C123" s="2">
        <v>0.97510408874052601</v>
      </c>
      <c r="D123" s="2">
        <v>5.0789534104088499E-2</v>
      </c>
      <c r="E123" s="2">
        <v>0.94921704374217097</v>
      </c>
    </row>
    <row r="124" spans="1:5" x14ac:dyDescent="0.25">
      <c r="A124">
        <v>12.3</v>
      </c>
      <c r="B124" s="2">
        <v>2.4495967121816401E-2</v>
      </c>
      <c r="C124" s="2">
        <v>0.97581301440701096</v>
      </c>
      <c r="D124" s="2">
        <v>4.9644665822621802E-2</v>
      </c>
      <c r="E124" s="2">
        <v>0.95036126215820005</v>
      </c>
    </row>
    <row r="125" spans="1:5" x14ac:dyDescent="0.25">
      <c r="A125">
        <v>12.4</v>
      </c>
      <c r="B125" s="2">
        <v>2.3782785235658299E-2</v>
      </c>
      <c r="C125" s="2">
        <v>0.97650265736156305</v>
      </c>
      <c r="D125" s="2">
        <v>4.8524302664339602E-2</v>
      </c>
      <c r="E125" s="2">
        <v>0.95148103908887605</v>
      </c>
    </row>
    <row r="126" spans="1:5" x14ac:dyDescent="0.25">
      <c r="A126">
        <v>12.5</v>
      </c>
      <c r="B126" s="2">
        <v>2.30901796260208E-2</v>
      </c>
      <c r="C126" s="2">
        <v>0.97717348438917295</v>
      </c>
      <c r="D126" s="2">
        <v>4.74279773730448E-2</v>
      </c>
      <c r="E126" s="2">
        <v>0.95257683562550499</v>
      </c>
    </row>
    <row r="127" spans="1:5" x14ac:dyDescent="0.25">
      <c r="A127">
        <v>12.6</v>
      </c>
      <c r="B127" s="2">
        <v>2.2417562494269499E-2</v>
      </c>
      <c r="C127" s="2">
        <v>0.977825954733609</v>
      </c>
      <c r="D127" s="2">
        <v>4.6355229125163197E-2</v>
      </c>
      <c r="E127" s="2">
        <v>0.95364910701634498</v>
      </c>
    </row>
    <row r="128" spans="1:5" x14ac:dyDescent="0.25">
      <c r="A128">
        <v>12.7</v>
      </c>
      <c r="B128" s="2">
        <v>2.1764362824533499E-2</v>
      </c>
      <c r="C128" s="2">
        <v>0.978460519954926</v>
      </c>
      <c r="D128" s="2">
        <v>4.5305603548159497E-2</v>
      </c>
      <c r="E128" s="2">
        <v>0.95469830259267996</v>
      </c>
    </row>
    <row r="129" spans="1:5" x14ac:dyDescent="0.25">
      <c r="A129">
        <v>12.8</v>
      </c>
      <c r="B129" s="2">
        <v>2.11300284190299E-2</v>
      </c>
      <c r="C129" s="2">
        <v>0.979077623602157</v>
      </c>
      <c r="D129" s="2">
        <v>4.4278652733696799E-2</v>
      </c>
      <c r="E129" s="2">
        <v>0.95572486570527304</v>
      </c>
    </row>
    <row r="130" spans="1:5" x14ac:dyDescent="0.25">
      <c r="A130">
        <v>12.9</v>
      </c>
      <c r="B130" s="2">
        <v>2.0514015244274101E-2</v>
      </c>
      <c r="C130" s="2">
        <v>0.979677701955594</v>
      </c>
      <c r="D130" s="2">
        <v>4.3273935245643803E-2</v>
      </c>
      <c r="E130" s="2">
        <v>0.95672923367065299</v>
      </c>
    </row>
    <row r="131" spans="1:5" x14ac:dyDescent="0.25">
      <c r="A131">
        <v>13</v>
      </c>
      <c r="B131" s="2">
        <v>1.9915802278439601E-2</v>
      </c>
      <c r="C131" s="2">
        <v>0.980261182690221</v>
      </c>
      <c r="D131" s="2">
        <v>4.2291016123093501E-2</v>
      </c>
      <c r="E131" s="2">
        <v>0.95771183772660295</v>
      </c>
    </row>
    <row r="132" spans="1:5" x14ac:dyDescent="0.25">
      <c r="A132">
        <v>13.1</v>
      </c>
      <c r="B132" s="2">
        <v>1.9334880815373601E-2</v>
      </c>
      <c r="C132" s="2">
        <v>0.98082848566340897</v>
      </c>
      <c r="D132" s="2">
        <v>4.1329466878558499E-2</v>
      </c>
      <c r="E132" s="2">
        <v>0.95867310299636399</v>
      </c>
    </row>
    <row r="133" spans="1:5" x14ac:dyDescent="0.25">
      <c r="A133">
        <v>13.2</v>
      </c>
      <c r="B133" s="2">
        <v>1.8770756600547899E-2</v>
      </c>
      <c r="C133" s="2">
        <v>0.98138002266565405</v>
      </c>
      <c r="D133" s="2">
        <v>4.0388865491490199E-2</v>
      </c>
      <c r="E133" s="2">
        <v>0.95961344846099195</v>
      </c>
    </row>
    <row r="134" spans="1:5" x14ac:dyDescent="0.25">
      <c r="A134">
        <v>13.3</v>
      </c>
      <c r="B134" s="2">
        <v>1.8222949410231198E-2</v>
      </c>
      <c r="C134" s="2">
        <v>0.98191619739937996</v>
      </c>
      <c r="D134" s="2">
        <v>3.9468796397312898E-2</v>
      </c>
      <c r="E134" s="2">
        <v>0.96053328693941298</v>
      </c>
    </row>
    <row r="135" spans="1:5" x14ac:dyDescent="0.25">
      <c r="A135">
        <v>13.4</v>
      </c>
      <c r="B135" s="2">
        <v>1.7690992644360099E-2</v>
      </c>
      <c r="C135" s="2">
        <v>0.982437405473083</v>
      </c>
      <c r="D135" s="2">
        <v>3.8568850472119498E-2</v>
      </c>
      <c r="E135" s="2">
        <v>0.96143302507568196</v>
      </c>
    </row>
    <row r="136" spans="1:5" x14ac:dyDescent="0.25">
      <c r="A136">
        <v>13.5</v>
      </c>
      <c r="B136" s="2">
        <v>1.71744329325457E-2</v>
      </c>
      <c r="C136" s="2">
        <v>0.98294403440961298</v>
      </c>
      <c r="D136" s="2">
        <v>3.7688625013234903E-2</v>
      </c>
      <c r="E136" s="2">
        <v>0.96231306333303701</v>
      </c>
    </row>
    <row r="137" spans="1:5" x14ac:dyDescent="0.25">
      <c r="A137">
        <v>13.6</v>
      </c>
      <c r="B137" s="2">
        <v>1.6672829752687E-2</v>
      </c>
      <c r="C137" s="2">
        <v>0.98343646366745496</v>
      </c>
      <c r="D137" s="2">
        <v>3.6827723715804103E-2</v>
      </c>
      <c r="E137" s="2">
        <v>0.96317379599429698</v>
      </c>
    </row>
    <row r="138" spans="1:5" x14ac:dyDescent="0.25">
      <c r="A138">
        <v>13.7</v>
      </c>
      <c r="B138" s="2">
        <v>1.61857550616917E-2</v>
      </c>
      <c r="C138" s="2">
        <v>0.98391506467393797</v>
      </c>
      <c r="D138" s="2">
        <v>3.5985759195697603E-2</v>
      </c>
      <c r="E138" s="2">
        <v>0.96401561039908701</v>
      </c>
    </row>
    <row r="139" spans="1:5" x14ac:dyDescent="0.25">
      <c r="A139">
        <v>13.8</v>
      </c>
      <c r="B139" s="2">
        <v>1.57127929378191E-2</v>
      </c>
      <c r="C139" s="2">
        <v>0.98438020086934597</v>
      </c>
      <c r="D139" s="2">
        <v>3.5162342738850598E-2</v>
      </c>
      <c r="E139" s="2">
        <v>0.96483889004896095</v>
      </c>
    </row>
    <row r="140" spans="1:5" x14ac:dyDescent="0.25">
      <c r="A140">
        <v>13.9</v>
      </c>
      <c r="B140" s="2">
        <v>1.5253539234195101E-2</v>
      </c>
      <c r="C140" s="2">
        <v>0.984832227760993</v>
      </c>
      <c r="D140" s="2">
        <v>3.4357099626019599E-2</v>
      </c>
      <c r="E140" s="2">
        <v>0.96564400995960697</v>
      </c>
    </row>
    <row r="141" spans="1:5" x14ac:dyDescent="0.25">
      <c r="A141">
        <v>14</v>
      </c>
      <c r="B141" s="2">
        <v>1.48076012430674E-2</v>
      </c>
      <c r="C141" s="2">
        <v>0.98527149298633998</v>
      </c>
      <c r="D141" s="2">
        <v>3.3569658836396003E-2</v>
      </c>
      <c r="E141" s="2">
        <v>0.96643133980976503</v>
      </c>
    </row>
    <row r="142" spans="1:5" x14ac:dyDescent="0.25">
      <c r="A142">
        <v>14.1</v>
      </c>
      <c r="B142" s="2">
        <v>1.4374597370385E-2</v>
      </c>
      <c r="C142" s="2">
        <v>0.98569833638433102</v>
      </c>
      <c r="D142" s="2">
        <v>3.2799655576645201E-2</v>
      </c>
      <c r="E142" s="2">
        <v>0.96720124318182799</v>
      </c>
    </row>
    <row r="143" spans="1:5" x14ac:dyDescent="0.25">
      <c r="A143">
        <v>14.2</v>
      </c>
      <c r="B143" s="2">
        <v>1.39541568203158E-2</v>
      </c>
      <c r="C143" s="2">
        <v>0.98611309007413805</v>
      </c>
      <c r="D143" s="2">
        <v>3.2046731237423E-2</v>
      </c>
      <c r="E143" s="2">
        <v>0.96795407759266305</v>
      </c>
    </row>
    <row r="144" spans="1:5" x14ac:dyDescent="0.25">
      <c r="A144">
        <v>14.3</v>
      </c>
      <c r="B144" s="2">
        <v>1.35459192893304E-2</v>
      </c>
      <c r="C144" s="2">
        <v>0.98651607854057999</v>
      </c>
      <c r="D144" s="2">
        <v>3.1310533347137799E-2</v>
      </c>
      <c r="E144" s="2">
        <v>0.96869019452838501</v>
      </c>
    </row>
    <row r="145" spans="1:5" x14ac:dyDescent="0.25">
      <c r="A145">
        <v>14.4</v>
      </c>
      <c r="B145" s="2">
        <v>1.31495346694955E-2</v>
      </c>
      <c r="C145" s="2">
        <v>0.98690761872551303</v>
      </c>
      <c r="D145" s="2">
        <v>3.0590715523149601E-2</v>
      </c>
      <c r="E145" s="2">
        <v>0.96940993948279097</v>
      </c>
    </row>
    <row r="146" spans="1:5" x14ac:dyDescent="0.25">
      <c r="A146">
        <v>14.5</v>
      </c>
      <c r="B146" s="2">
        <v>1.2764662760644399E-2</v>
      </c>
      <c r="C146" s="2">
        <v>0.98728802012454098</v>
      </c>
      <c r="D146" s="2">
        <v>2.9886937420555901E-2</v>
      </c>
      <c r="E146" s="2">
        <v>0.97011365199920097</v>
      </c>
    </row>
    <row r="147" spans="1:5" x14ac:dyDescent="0.25">
      <c r="A147">
        <v>14.6</v>
      </c>
      <c r="B147" s="2">
        <v>1.2390972991101101E-2</v>
      </c>
      <c r="C147" s="2">
        <v>0.98765758488844502</v>
      </c>
      <c r="D147" s="2">
        <v>2.91988646787214E-2</v>
      </c>
      <c r="E147" s="2">
        <v>0.97080166571544901</v>
      </c>
    </row>
    <row r="148" spans="1:5" x14ac:dyDescent="0.25">
      <c r="A148">
        <v>14.7</v>
      </c>
      <c r="B148" s="2">
        <v>1.2028144146655999E-2</v>
      </c>
      <c r="C148" s="2">
        <v>0.98801660792874302</v>
      </c>
      <c r="D148" s="2">
        <v>2.8526168865716701E-2</v>
      </c>
      <c r="E148" s="2">
        <v>0.97147430841178295</v>
      </c>
    </row>
    <row r="149" spans="1:5" x14ac:dyDescent="0.25">
      <c r="A149">
        <v>14.8</v>
      </c>
      <c r="B149" s="2">
        <v>1.16758641075012E-2</v>
      </c>
      <c r="C149" s="2">
        <v>0.98836537702687399</v>
      </c>
      <c r="D149" s="2">
        <v>2.7868527420803601E-2</v>
      </c>
      <c r="E149" s="2">
        <v>0.97213190206144695</v>
      </c>
    </row>
    <row r="150" spans="1:5" x14ac:dyDescent="0.25">
      <c r="A150">
        <v>14.9</v>
      </c>
      <c r="B150" s="2">
        <v>1.13338295928489E-2</v>
      </c>
      <c r="C150" s="2">
        <v>0.98870417294649704</v>
      </c>
      <c r="D150" s="2">
        <v>2.72256235951241E-2</v>
      </c>
      <c r="E150" s="2">
        <v>0.97277476288373999</v>
      </c>
    </row>
    <row r="151" spans="1:5" x14ac:dyDescent="0.25">
      <c r="A151">
        <v>15</v>
      </c>
      <c r="B151" s="2">
        <v>1.10017459129686E-2</v>
      </c>
      <c r="C151" s="2">
        <v>0.98903326954844895</v>
      </c>
      <c r="D151" s="2">
        <v>2.6597146390725902E-2</v>
      </c>
      <c r="E151" s="2">
        <v>0.97340320139932501</v>
      </c>
    </row>
    <row r="152" spans="1:5" x14ac:dyDescent="0.25">
      <c r="A152">
        <v>15.1</v>
      </c>
      <c r="B152" s="2">
        <v>1.06793267283941E-2</v>
      </c>
      <c r="C152" s="2">
        <v>0.98935293390793599</v>
      </c>
      <c r="D152" s="2">
        <v>2.59827904980677E-2</v>
      </c>
      <c r="E152" s="2">
        <v>0.97401752248761597</v>
      </c>
    </row>
    <row r="153" spans="1:5" x14ac:dyDescent="0.25">
      <c r="A153">
        <v>15.2</v>
      </c>
      <c r="B153" s="2">
        <v>1.0366293816055E-2</v>
      </c>
      <c r="C153" s="2">
        <v>0.98966342643357297</v>
      </c>
      <c r="D153" s="2">
        <v>2.5382256232130501E-2</v>
      </c>
      <c r="E153" s="2">
        <v>0.97461802544605103</v>
      </c>
    </row>
    <row r="154" spans="1:5" x14ac:dyDescent="0.25">
      <c r="A154">
        <v>15.3</v>
      </c>
      <c r="B154" s="2">
        <v>1.00623768421078E-2</v>
      </c>
      <c r="C154" s="2">
        <v>0.98996500098788198</v>
      </c>
      <c r="D154" s="2">
        <v>2.47952494672707E-2</v>
      </c>
      <c r="E154" s="2">
        <v>0.97520500405106902</v>
      </c>
    </row>
    <row r="155" spans="1:5" x14ac:dyDescent="0.25">
      <c r="A155">
        <v>15.4</v>
      </c>
      <c r="B155" s="2">
        <v>9.7673131412466894E-3</v>
      </c>
      <c r="C155" s="2">
        <v>0.99025790500894195</v>
      </c>
      <c r="D155" s="2">
        <v>2.42214815709248E-2</v>
      </c>
      <c r="E155" s="2">
        <v>0.97577874662063302</v>
      </c>
    </row>
    <row r="156" spans="1:5" x14ac:dyDescent="0.25">
      <c r="A156">
        <v>15.5</v>
      </c>
      <c r="B156" s="2">
        <v>9.4808475022801503E-3</v>
      </c>
      <c r="C156" s="2">
        <v>0.99054237963285097</v>
      </c>
      <c r="D156" s="2">
        <v>2.36606693362993E-2</v>
      </c>
      <c r="E156" s="2">
        <v>0.97633953607815205</v>
      </c>
    </row>
    <row r="157" spans="1:5" x14ac:dyDescent="0.25">
      <c r="A157">
        <v>15.6</v>
      </c>
      <c r="B157" s="2">
        <v>9.2027319597787604E-3</v>
      </c>
      <c r="C157" s="2">
        <v>0.990818659816734</v>
      </c>
      <c r="D157" s="2">
        <v>2.3112534914145302E-2</v>
      </c>
      <c r="E157" s="2">
        <v>0.97688765001762601</v>
      </c>
    </row>
    <row r="158" spans="1:5" x14ac:dyDescent="0.25">
      <c r="A158">
        <v>15.7</v>
      </c>
      <c r="B158" s="2">
        <v>8.9327255915970794E-3</v>
      </c>
      <c r="C158" s="2">
        <v>0.99108697446201499</v>
      </c>
      <c r="D158" s="2">
        <v>2.2576805743734801E-2</v>
      </c>
      <c r="E158" s="2">
        <v>0.97742336076990899</v>
      </c>
    </row>
    <row r="159" spans="1:5" x14ac:dyDescent="0.25">
      <c r="A159">
        <v>15.8</v>
      </c>
      <c r="B159" s="2">
        <v>8.6705943220897006E-3</v>
      </c>
      <c r="C159" s="2">
        <v>0.99134754653772506</v>
      </c>
      <c r="D159" s="2">
        <v>2.2053214483139801E-2</v>
      </c>
      <c r="E159" s="2">
        <v>0.97794693546991396</v>
      </c>
    </row>
    <row r="160" spans="1:5" x14ac:dyDescent="0.25">
      <c r="A160">
        <v>15.9</v>
      </c>
      <c r="B160" s="2">
        <v>8.4161107308411906E-3</v>
      </c>
      <c r="C160" s="2">
        <v>0.99160059320361804</v>
      </c>
      <c r="D160" s="2">
        <v>2.1541498938915299E-2</v>
      </c>
      <c r="E160" s="2">
        <v>0.97845863612469397</v>
      </c>
    </row>
    <row r="161" spans="1:5" x14ac:dyDescent="0.25">
      <c r="A161">
        <v>16</v>
      </c>
      <c r="B161" s="2">
        <v>8.1690538667439205E-3</v>
      </c>
      <c r="C161" s="2">
        <v>0.99184632593288902</v>
      </c>
      <c r="D161" s="2">
        <v>2.1041401995278701E-2</v>
      </c>
      <c r="E161" s="2">
        <v>0.97895871968221004</v>
      </c>
    </row>
    <row r="162" spans="1:5" x14ac:dyDescent="0.25">
      <c r="A162">
        <v>16.100000000000001</v>
      </c>
      <c r="B162" s="2">
        <v>7.9292090672592203E-3</v>
      </c>
      <c r="C162" s="2">
        <v>0.99208495063431601</v>
      </c>
      <c r="D162" s="2">
        <v>2.0552671542878601E-2</v>
      </c>
      <c r="E162" s="2">
        <v>0.97944743810073298</v>
      </c>
    </row>
    <row r="163" spans="1:5" x14ac:dyDescent="0.25">
      <c r="A163">
        <v>16.2</v>
      </c>
      <c r="B163" s="2">
        <v>7.6963677827064101E-3</v>
      </c>
      <c r="C163" s="2">
        <v>0.99231666777365202</v>
      </c>
      <c r="D163" s="2">
        <v>2.0075060407236799E-2</v>
      </c>
      <c r="E163" s="2">
        <v>0.97992503841874301</v>
      </c>
    </row>
    <row r="164" spans="1:5" x14ac:dyDescent="0.25">
      <c r="A164">
        <v>16.3</v>
      </c>
      <c r="B164" s="2">
        <v>7.47032740543051E-3</v>
      </c>
      <c r="C164" s="2">
        <v>0.99254167249411696</v>
      </c>
      <c r="D164" s="2">
        <v>1.96083262769523E-2</v>
      </c>
      <c r="E164" s="2">
        <v>0.98039176282523299</v>
      </c>
    </row>
    <row r="165" spans="1:5" x14ac:dyDescent="0.25">
      <c r="A165">
        <v>16.399999999999999</v>
      </c>
      <c r="B165" s="2">
        <v>7.2508911037029201E-3</v>
      </c>
      <c r="C165" s="2">
        <v>0.992760154735853</v>
      </c>
      <c r="D165" s="2">
        <v>1.91522316317345E-2</v>
      </c>
      <c r="E165" s="2">
        <v>0.98084784873032504</v>
      </c>
    </row>
    <row r="166" spans="1:5" x14ac:dyDescent="0.25">
      <c r="A166">
        <v>16.5</v>
      </c>
      <c r="B166" s="2">
        <v>7.0378676602175097E-3</v>
      </c>
      <c r="C166" s="2">
        <v>0.99297229935421705</v>
      </c>
      <c r="D166" s="2">
        <v>1.8706543670351398E-2</v>
      </c>
      <c r="E166" s="2">
        <v>0.98129352883610699</v>
      </c>
    </row>
    <row r="167" spans="1:5" x14ac:dyDescent="0.25">
      <c r="A167">
        <v>16.600000000000001</v>
      </c>
      <c r="B167" s="2">
        <v>6.8310713150480998E-3</v>
      </c>
      <c r="C167" s="2">
        <v>0.99317828623679705</v>
      </c>
      <c r="D167" s="2">
        <v>1.8271034238554602E-2</v>
      </c>
      <c r="E167" s="2">
        <v>0.98172903120761801</v>
      </c>
    </row>
    <row r="168" spans="1:5" x14ac:dyDescent="0.25">
      <c r="A168">
        <v>16.7</v>
      </c>
      <c r="B168" s="2">
        <v>6.6303216129365503E-3</v>
      </c>
      <c r="C168" s="2">
        <v>0.99337829041906101</v>
      </c>
      <c r="D168" s="2">
        <v>1.78454797570506E-2</v>
      </c>
      <c r="E168" s="2">
        <v>0.98215457934388095</v>
      </c>
    </row>
    <row r="169" spans="1:5" x14ac:dyDescent="0.25">
      <c r="A169">
        <v>16.8</v>
      </c>
      <c r="B169" s="2">
        <v>6.4354432547911698E-3</v>
      </c>
      <c r="C169" s="2">
        <v>0.993572482198537</v>
      </c>
      <c r="D169" s="2">
        <v>1.7429661149583501E-2</v>
      </c>
      <c r="E169" s="2">
        <v>0.98257039224893405</v>
      </c>
    </row>
    <row r="170" spans="1:5" x14ac:dyDescent="0.25">
      <c r="A170">
        <v>16.899999999999999</v>
      </c>
      <c r="B170" s="2">
        <v>6.2462659532712796E-3</v>
      </c>
      <c r="C170" s="2">
        <v>0.99376102724746695</v>
      </c>
      <c r="D170" s="2">
        <v>1.7023363771184699E-2</v>
      </c>
      <c r="E170" s="2">
        <v>0.98297668450278097</v>
      </c>
    </row>
    <row r="171" spans="1:5" x14ac:dyDescent="0.25">
      <c r="A171">
        <v>17</v>
      </c>
      <c r="B171" s="2">
        <v>6.0626242923452599E-3</v>
      </c>
      <c r="C171" s="2">
        <v>0.99394408672383905</v>
      </c>
      <c r="D171" s="2">
        <v>1.66263773366476E-2</v>
      </c>
      <c r="E171" s="2">
        <v>0.98337366633218903</v>
      </c>
    </row>
    <row r="172" spans="1:5" x14ac:dyDescent="0.25">
      <c r="A172">
        <v>17.100000000000001</v>
      </c>
      <c r="B172" s="2">
        <v>5.88435759070839E-3</v>
      </c>
      <c r="C172" s="2">
        <v>0.994121817380757</v>
      </c>
      <c r="D172" s="2">
        <v>1.6238495849277799E-2</v>
      </c>
      <c r="E172" s="2">
        <v>0.98376154368128799</v>
      </c>
    </row>
    <row r="173" spans="1:5" x14ac:dyDescent="0.25">
      <c r="A173">
        <v>17.2</v>
      </c>
      <c r="B173" s="2">
        <v>5.71130976895271E-3</v>
      </c>
      <c r="C173" s="2">
        <v>0.99429437167409995</v>
      </c>
      <c r="D173" s="2">
        <v>1.5859517529973999E-2</v>
      </c>
      <c r="E173" s="2">
        <v>0.98414051828190696</v>
      </c>
    </row>
    <row r="174" spans="1:5" x14ac:dyDescent="0.25">
      <c r="A174">
        <v>17.3</v>
      </c>
      <c r="B174" s="2">
        <v>5.5433292203865697E-3</v>
      </c>
      <c r="C174" s="2">
        <v>0.994461897868407</v>
      </c>
      <c r="D174" s="2">
        <v>1.54892447466772E-2</v>
      </c>
      <c r="E174" s="2">
        <v>0.98451078772358902</v>
      </c>
    </row>
    <row r="175" spans="1:5" x14ac:dyDescent="0.25">
      <c r="A175">
        <v>17.399999999999999</v>
      </c>
      <c r="B175" s="2">
        <v>5.3802686853977001E-3</v>
      </c>
      <c r="C175" s="2">
        <v>0.99462454014097101</v>
      </c>
      <c r="D175" s="2">
        <v>1.5127483944239E-2</v>
      </c>
      <c r="E175" s="2">
        <v>0.98487254552325199</v>
      </c>
    </row>
    <row r="176" spans="1:5" x14ac:dyDescent="0.25">
      <c r="A176">
        <v>17.5</v>
      </c>
      <c r="B176" s="2">
        <v>5.2219851292683497E-3</v>
      </c>
      <c r="C176" s="2">
        <v>0.99478243868410299</v>
      </c>
      <c r="D176" s="2">
        <v>1.4774045574744901E-2</v>
      </c>
      <c r="E176" s="2">
        <v>0.98522598119443805</v>
      </c>
    </row>
    <row r="177" spans="1:5" x14ac:dyDescent="0.25">
      <c r="A177">
        <v>17.600000000000001</v>
      </c>
      <c r="B177" s="2">
        <v>5.0683396233428E-3</v>
      </c>
      <c r="C177" s="2">
        <v>0.99493572980554001</v>
      </c>
      <c r="D177" s="2">
        <v>1.44287440283337E-2</v>
      </c>
      <c r="E177" s="2">
        <v>0.98557128031609897</v>
      </c>
    </row>
    <row r="178" spans="1:5" x14ac:dyDescent="0.25">
      <c r="A178">
        <v>17.7</v>
      </c>
      <c r="B178" s="2">
        <v>4.9191972294561704E-3</v>
      </c>
      <c r="C178" s="2">
        <v>0.99508454602698804</v>
      </c>
      <c r="D178" s="2">
        <v>1.4091397564546099E-2</v>
      </c>
      <c r="E178" s="2">
        <v>0.985908624600909</v>
      </c>
    </row>
    <row r="179" spans="1:5" x14ac:dyDescent="0.25">
      <c r="A179">
        <v>17.8</v>
      </c>
      <c r="B179" s="2">
        <v>4.7744268875383102E-3</v>
      </c>
      <c r="C179" s="2">
        <v>0.99522901618076698</v>
      </c>
      <c r="D179" s="2">
        <v>1.3761828244234499E-2</v>
      </c>
      <c r="E179" s="2">
        <v>0.98623819196303897</v>
      </c>
    </row>
    <row r="180" spans="1:5" x14ac:dyDescent="0.25">
      <c r="A180">
        <v>17.899999999999999</v>
      </c>
      <c r="B180" s="2">
        <v>4.6339013063026301E-3</v>
      </c>
      <c r="C180" s="2">
        <v>0.99536926550457905</v>
      </c>
      <c r="D180" s="2">
        <v>1.3439861862067699E-2</v>
      </c>
      <c r="E180" s="2">
        <v>0.986560156585365</v>
      </c>
    </row>
    <row r="181" spans="1:5" x14ac:dyDescent="0.25">
      <c r="A181">
        <v>18</v>
      </c>
      <c r="B181" s="2">
        <v>4.4974968569385203E-3</v>
      </c>
      <c r="C181" s="2">
        <v>0.99550541573436302</v>
      </c>
      <c r="D181" s="2">
        <v>1.3125327879653099E-2</v>
      </c>
      <c r="E181" s="2">
        <v>0.98687468898609998</v>
      </c>
    </row>
    <row r="182" spans="1:5" x14ac:dyDescent="0.25">
      <c r="A182">
        <v>18.100000000000001</v>
      </c>
      <c r="B182" s="2">
        <v>4.3650934697252904E-3</v>
      </c>
      <c r="C182" s="2">
        <v>0.99563758519525702</v>
      </c>
      <c r="D182" s="2">
        <v>1.28180593593081E-2</v>
      </c>
      <c r="E182" s="2">
        <v>0.98718195608478898</v>
      </c>
    </row>
    <row r="183" spans="1:5" x14ac:dyDescent="0.25">
      <c r="A183">
        <v>18.2</v>
      </c>
      <c r="B183" s="2">
        <v>4.2365745334887904E-3</v>
      </c>
      <c r="C183" s="2">
        <v>0.99576588889066298</v>
      </c>
      <c r="D183" s="2">
        <v>1.25178928984978E-2</v>
      </c>
      <c r="E183" s="2">
        <v>0.98748212126766599</v>
      </c>
    </row>
    <row r="184" spans="1:5" x14ac:dyDescent="0.25">
      <c r="A184">
        <v>18.3</v>
      </c>
      <c r="B184" s="2">
        <v>4.1118267978238398E-3</v>
      </c>
      <c r="C184" s="2">
        <v>0.99589043858941995</v>
      </c>
      <c r="D184" s="2">
        <v>1.22246685649668E-2</v>
      </c>
      <c r="E184" s="2">
        <v>0.98777534445233905</v>
      </c>
    </row>
    <row r="185" spans="1:5" x14ac:dyDescent="0.25">
      <c r="A185">
        <v>18.399999999999999</v>
      </c>
      <c r="B185" s="2">
        <v>3.9907402780079504E-3</v>
      </c>
      <c r="C185" s="2">
        <v>0.99601134291109605</v>
      </c>
      <c r="D185" s="2">
        <v>1.19382298325801E-2</v>
      </c>
      <c r="E185" s="2">
        <v>0.98806178215177998</v>
      </c>
    </row>
    <row r="186" spans="1:5" x14ac:dyDescent="0.25">
      <c r="A186">
        <v>18.5</v>
      </c>
      <c r="B186" s="2">
        <v>3.8732081625346198E-3</v>
      </c>
      <c r="C186" s="2">
        <v>0.99612870740941095</v>
      </c>
      <c r="D186" s="2">
        <v>1.1658423517892799E-2</v>
      </c>
      <c r="E186" s="2">
        <v>0.98834158753760804</v>
      </c>
    </row>
    <row r="187" spans="1:5" x14ac:dyDescent="0.25">
      <c r="A187">
        <v>18.600000000000001</v>
      </c>
      <c r="B187" s="2">
        <v>3.75912672319543E-3</v>
      </c>
      <c r="C187" s="2">
        <v>0.99624263465380103</v>
      </c>
      <c r="D187" s="2">
        <v>1.1385099717463799E-2</v>
      </c>
      <c r="E187" s="2">
        <v>0.98861491050264105</v>
      </c>
    </row>
    <row r="188" spans="1:5" x14ac:dyDescent="0.25">
      <c r="A188">
        <v>18.7</v>
      </c>
      <c r="B188" s="2">
        <v>3.64839522764129E-3</v>
      </c>
      <c r="C188" s="2">
        <v>0.99635322430914797</v>
      </c>
      <c r="D188" s="2">
        <v>1.11181117459302E-2</v>
      </c>
      <c r="E188" s="2">
        <v>0.98888189772269397</v>
      </c>
    </row>
    <row r="189" spans="1:5" x14ac:dyDescent="0.25">
      <c r="A189">
        <v>18.8</v>
      </c>
      <c r="B189" s="2">
        <v>3.5409158543595002E-3</v>
      </c>
      <c r="C189" s="2">
        <v>0.99646057321368198</v>
      </c>
      <c r="D189" s="2">
        <v>1.08573160748497E-2</v>
      </c>
      <c r="E189" s="2">
        <v>0.989142692717637</v>
      </c>
    </row>
    <row r="190" spans="1:5" x14ac:dyDescent="0.25">
      <c r="A190">
        <v>18.899999999999999</v>
      </c>
      <c r="B190" s="2">
        <v>3.4365936099988001E-3</v>
      </c>
      <c r="C190" s="2">
        <v>0.99656477545508604</v>
      </c>
      <c r="D190" s="2">
        <v>1.0602572272329899E-2</v>
      </c>
      <c r="E190" s="2">
        <v>0.98939743591165896</v>
      </c>
    </row>
    <row r="191" spans="1:5" x14ac:dyDescent="0.25">
      <c r="A191">
        <v>19</v>
      </c>
      <c r="B191" s="2">
        <v>3.3353362489803601E-3</v>
      </c>
      <c r="C191" s="2">
        <v>0.99666592244482199</v>
      </c>
      <c r="D191" s="2">
        <v>1.0353742943445699E-2</v>
      </c>
      <c r="E191" s="2">
        <v>0.98964626469276695</v>
      </c>
    </row>
    <row r="192" spans="1:5" x14ac:dyDescent="0.25">
      <c r="A192">
        <v>19.100000000000001</v>
      </c>
      <c r="B192" s="2">
        <v>3.23705419533483E-3</v>
      </c>
      <c r="C192" s="2">
        <v>0.99676410299069496</v>
      </c>
      <c r="D192" s="2">
        <v>1.0110693671462299E-2</v>
      </c>
      <c r="E192" s="2">
        <v>0.98988931347148401</v>
      </c>
    </row>
    <row r="193" spans="1:5" x14ac:dyDescent="0.25">
      <c r="A193">
        <v>19.2</v>
      </c>
      <c r="B193" s="2">
        <v>3.1416604667038502E-3</v>
      </c>
      <c r="C193" s="2">
        <v>0.99685940336768597</v>
      </c>
      <c r="D193" s="2">
        <v>9.8732929598620896E-3</v>
      </c>
      <c r="E193" s="2">
        <v>0.99012671373874706</v>
      </c>
    </row>
    <row r="194" spans="1:5" x14ac:dyDescent="0.25">
      <c r="A194">
        <v>19.3</v>
      </c>
      <c r="B194" s="2">
        <v>3.0490706004501402E-3</v>
      </c>
      <c r="C194" s="2">
        <v>0.99695190738708195</v>
      </c>
      <c r="D194" s="2">
        <v>9.6414121751877795E-3</v>
      </c>
      <c r="E194" s="2">
        <v>0.99035859412300298</v>
      </c>
    </row>
    <row r="195" spans="1:5" x14ac:dyDescent="0.25">
      <c r="A195">
        <v>19.399999999999999</v>
      </c>
      <c r="B195" s="2">
        <v>2.95920258181706E-3</v>
      </c>
      <c r="C195" s="2">
        <v>0.99704169646391605</v>
      </c>
      <c r="D195" s="2">
        <v>9.4149254907037409E-3</v>
      </c>
      <c r="E195" s="2">
        <v>0.99058508044648796</v>
      </c>
    </row>
    <row r="196" spans="1:5" x14ac:dyDescent="0.25">
      <c r="A196">
        <v>19.5</v>
      </c>
      <c r="B196" s="2">
        <v>2.87197677408541E-3</v>
      </c>
      <c r="C196" s="2">
        <v>0.99712884968275795</v>
      </c>
      <c r="D196" s="2">
        <v>9.1937098308798801E-3</v>
      </c>
      <c r="E196" s="2">
        <v>0.99080629578069301</v>
      </c>
    </row>
    <row r="197" spans="1:5" x14ac:dyDescent="0.25">
      <c r="A197">
        <v>19.600000000000001</v>
      </c>
      <c r="B197" s="2">
        <v>2.7873158506722799E-3</v>
      </c>
      <c r="C197" s="2">
        <v>0.99721344386187405</v>
      </c>
      <c r="D197" s="2">
        <v>8.9776448167004398E-3</v>
      </c>
      <c r="E197" s="2">
        <v>0.99102236050100601</v>
      </c>
    </row>
    <row r="198" spans="1:5" x14ac:dyDescent="0.25">
      <c r="A198">
        <v>19.7</v>
      </c>
      <c r="B198" s="2">
        <v>2.7051447291197199E-3</v>
      </c>
      <c r="C198" s="2">
        <v>0.99729555361579003</v>
      </c>
      <c r="D198" s="2">
        <v>8.7666127117996297E-3</v>
      </c>
      <c r="E198" s="2">
        <v>0.99123339234053798</v>
      </c>
    </row>
    <row r="199" spans="1:5" x14ac:dyDescent="0.25">
      <c r="A199">
        <v>19.8</v>
      </c>
      <c r="B199" s="2">
        <v>2.62539050692442E-3</v>
      </c>
      <c r="C199" s="2">
        <v>0.99737525141628303</v>
      </c>
      <c r="D199" s="2">
        <v>8.5604983694243901E-3</v>
      </c>
      <c r="E199" s="2">
        <v>0.99143950644311796</v>
      </c>
    </row>
    <row r="200" spans="1:5" x14ac:dyDescent="0.25">
      <c r="A200">
        <v>19.899999999999999</v>
      </c>
      <c r="B200" s="2">
        <v>2.5479823991559E-3</v>
      </c>
      <c r="C200" s="2">
        <v>0.99745260765182497</v>
      </c>
      <c r="D200" s="2">
        <v>8.3591891802248606E-3</v>
      </c>
      <c r="E200" s="2">
        <v>0.991640815415473</v>
      </c>
    </row>
    <row r="201" spans="1:5" x14ac:dyDescent="0.25">
      <c r="A201">
        <v>20</v>
      </c>
      <c r="B201" s="2">
        <v>2.4728516778177701E-3</v>
      </c>
      <c r="C201" s="2">
        <v>0.99752769068552105</v>
      </c>
      <c r="D201" s="2">
        <v>8.1625750208723109E-3</v>
      </c>
      <c r="E201" s="2">
        <v>0.991837429378577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5" sqref="D5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zoomScale="80" zoomScaleNormal="80" workbookViewId="0">
      <selection activeCell="B2" sqref="B2:K201"/>
    </sheetView>
  </sheetViews>
  <sheetFormatPr defaultRowHeight="15" x14ac:dyDescent="0.25"/>
  <sheetData>
    <row r="1" spans="1:17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7" x14ac:dyDescent="0.25">
      <c r="A2">
        <v>0.1</v>
      </c>
      <c r="B2" s="2">
        <v>0.40282310478355599</v>
      </c>
      <c r="C2" s="2">
        <v>0.42498566205778698</v>
      </c>
      <c r="D2" s="2">
        <v>0.44745393014888002</v>
      </c>
      <c r="E2" s="2">
        <v>0.46422135610908</v>
      </c>
      <c r="F2" s="2">
        <v>0.47513835803365001</v>
      </c>
      <c r="G2" s="2">
        <v>0.48607917481760499</v>
      </c>
      <c r="H2" s="2">
        <v>0.49703334897733098</v>
      </c>
      <c r="I2" s="2">
        <v>0.50799037181898199</v>
      </c>
      <c r="J2" s="2">
        <v>0.51893972371516495</v>
      </c>
      <c r="K2" s="2">
        <v>0.52987091447069201</v>
      </c>
    </row>
    <row r="3" spans="1:17" x14ac:dyDescent="0.25">
      <c r="A3">
        <v>0.2</v>
      </c>
      <c r="B3" s="2">
        <v>0.308137003623287</v>
      </c>
      <c r="C3" s="2">
        <v>0.34787687561213998</v>
      </c>
      <c r="D3" s="2">
        <v>0.38985396865683603</v>
      </c>
      <c r="E3" s="2">
        <v>0.42256794387116398</v>
      </c>
      <c r="F3" s="2">
        <v>0.44489274955942198</v>
      </c>
      <c r="G3" s="2">
        <v>0.46744221770472599</v>
      </c>
      <c r="H3" s="2">
        <v>0.49012547840023701</v>
      </c>
      <c r="I3" s="2">
        <v>0.51284947390173297</v>
      </c>
      <c r="J3" s="2">
        <v>0.53552047650446599</v>
      </c>
      <c r="K3" s="2">
        <v>0.55804562972018701</v>
      </c>
    </row>
    <row r="4" spans="1:17" x14ac:dyDescent="0.25">
      <c r="A4">
        <v>0.3</v>
      </c>
      <c r="B4" s="2">
        <v>0.22348464454483499</v>
      </c>
      <c r="C4" s="2">
        <v>0.273272791775996</v>
      </c>
      <c r="D4" s="2">
        <v>0.32944692842131601</v>
      </c>
      <c r="E4" s="2">
        <v>0.37610613601112303</v>
      </c>
      <c r="F4" s="2">
        <v>0.40990827822067699</v>
      </c>
      <c r="G4" s="2">
        <v>0.444583537777691</v>
      </c>
      <c r="H4" s="2">
        <v>0.47980700934464099</v>
      </c>
      <c r="I4" s="2">
        <v>0.51523238549772499</v>
      </c>
      <c r="J4" s="2">
        <v>0.55050535019883196</v>
      </c>
      <c r="K4" s="2">
        <v>0.585277639151627</v>
      </c>
      <c r="O4" t="s">
        <v>20</v>
      </c>
      <c r="Q4" t="s">
        <v>19</v>
      </c>
    </row>
    <row r="5" spans="1:17" x14ac:dyDescent="0.25">
      <c r="A5">
        <v>0.4</v>
      </c>
      <c r="B5" s="2">
        <v>0.154384899830839</v>
      </c>
      <c r="C5" s="2">
        <v>0.20619641224781299</v>
      </c>
      <c r="D5" s="2">
        <v>0.26984712836533797</v>
      </c>
      <c r="E5" s="2">
        <v>0.32718354738646399</v>
      </c>
      <c r="F5" s="2">
        <v>0.37176189520633302</v>
      </c>
      <c r="G5" s="2">
        <v>0.41863482738957503</v>
      </c>
      <c r="H5" s="2">
        <v>0.467024311528625</v>
      </c>
      <c r="I5" s="2">
        <v>0.51604226361738004</v>
      </c>
      <c r="J5" s="2">
        <v>0.56475346403919502</v>
      </c>
      <c r="K5" s="2">
        <v>0.61224581169840797</v>
      </c>
      <c r="O5" t="s">
        <v>21</v>
      </c>
    </row>
    <row r="6" spans="1:17" x14ac:dyDescent="0.25">
      <c r="A6">
        <v>0.5</v>
      </c>
      <c r="B6" s="2">
        <v>0.102556751822537</v>
      </c>
      <c r="C6" s="2">
        <v>0.15027565178239199</v>
      </c>
      <c r="D6" s="2">
        <v>0.21488151399361499</v>
      </c>
      <c r="E6" s="2">
        <v>0.27878585336642497</v>
      </c>
      <c r="F6" s="2">
        <v>0.33255013938042599</v>
      </c>
      <c r="G6" s="2">
        <v>0.39106086991084399</v>
      </c>
      <c r="H6" s="2">
        <v>0.45288109568759699</v>
      </c>
      <c r="I6" s="2">
        <v>0.51618983755935599</v>
      </c>
      <c r="J6" s="2">
        <v>0.57898315481057605</v>
      </c>
      <c r="K6" s="2">
        <v>0.63932117766194496</v>
      </c>
    </row>
    <row r="7" spans="1:17" x14ac:dyDescent="0.25">
      <c r="A7">
        <v>0.6</v>
      </c>
      <c r="B7" s="2">
        <v>6.6263388797827505E-2</v>
      </c>
      <c r="C7" s="2">
        <v>0.106657113869529</v>
      </c>
      <c r="D7" s="2">
        <v>0.16726364561658399</v>
      </c>
      <c r="E7" s="2">
        <v>0.233559563953602</v>
      </c>
      <c r="F7" s="2">
        <v>0.29424124891173697</v>
      </c>
      <c r="G7" s="2">
        <v>0.363217326926007</v>
      </c>
      <c r="H7" s="2">
        <v>0.438320583741514</v>
      </c>
      <c r="I7" s="2">
        <v>0.51636058330418799</v>
      </c>
      <c r="J7" s="2">
        <v>0.59361068610748702</v>
      </c>
      <c r="K7" s="2">
        <v>0.666491377066732</v>
      </c>
    </row>
    <row r="8" spans="1:17" x14ac:dyDescent="0.25">
      <c r="A8">
        <v>0.7</v>
      </c>
      <c r="B8" s="2">
        <v>4.2067804928367203E-2</v>
      </c>
      <c r="C8" s="2">
        <v>7.43344333125074E-2</v>
      </c>
      <c r="D8" s="2">
        <v>0.12804197118338101</v>
      </c>
      <c r="E8" s="2">
        <v>0.19318376109972299</v>
      </c>
      <c r="F8" s="2">
        <v>0.25823712006853899</v>
      </c>
      <c r="G8" s="2">
        <v>0.33607190491282002</v>
      </c>
      <c r="H8" s="2">
        <v>0.42395803536826998</v>
      </c>
      <c r="I8" s="2">
        <v>0.51693268263485503</v>
      </c>
      <c r="J8" s="2">
        <v>0.60874961549373297</v>
      </c>
      <c r="K8" s="2">
        <v>0.69346354745430305</v>
      </c>
    </row>
    <row r="9" spans="1:17" x14ac:dyDescent="0.25">
      <c r="A9">
        <v>0.8</v>
      </c>
      <c r="B9" s="2">
        <v>2.64401470511949E-2</v>
      </c>
      <c r="C9" s="2">
        <v>5.1217745444951203E-2</v>
      </c>
      <c r="D9" s="2">
        <v>9.6903760848209605E-2</v>
      </c>
      <c r="E9" s="2">
        <v>0.15832366133808901</v>
      </c>
      <c r="F9" s="2">
        <v>0.22530345260937101</v>
      </c>
      <c r="G9" s="2">
        <v>0.31017691436674599</v>
      </c>
      <c r="H9" s="2">
        <v>0.41009771291138802</v>
      </c>
      <c r="I9" s="2">
        <v>0.51803453197576199</v>
      </c>
      <c r="J9" s="2">
        <v>0.62431413256229396</v>
      </c>
      <c r="K9" s="2">
        <v>0.71983256147542496</v>
      </c>
    </row>
    <row r="10" spans="1:17" x14ac:dyDescent="0.25">
      <c r="A10">
        <v>0.9</v>
      </c>
      <c r="B10" s="2">
        <v>1.6533085087865801E-2</v>
      </c>
      <c r="C10" s="2">
        <v>3.5056003567958703E-2</v>
      </c>
      <c r="D10" s="2">
        <v>7.2795102700758202E-2</v>
      </c>
      <c r="E10" s="2">
        <v>0.12891609569338799</v>
      </c>
      <c r="F10" s="2">
        <v>0.19571800086640101</v>
      </c>
      <c r="G10" s="2">
        <v>0.28577899663137402</v>
      </c>
      <c r="H10" s="2">
        <v>0.396834515295239</v>
      </c>
      <c r="I10" s="2">
        <v>0.51964717656214499</v>
      </c>
      <c r="J10" s="2">
        <v>0.64013050618164002</v>
      </c>
      <c r="K10" s="2">
        <v>0.74521107703786005</v>
      </c>
    </row>
    <row r="11" spans="1:17" x14ac:dyDescent="0.25">
      <c r="A11">
        <v>1</v>
      </c>
      <c r="B11" s="2">
        <v>1.03157616102622E-2</v>
      </c>
      <c r="C11" s="2">
        <v>2.3909483501039198E-2</v>
      </c>
      <c r="D11" s="2">
        <v>5.4431293250476E-2</v>
      </c>
      <c r="E11" s="2">
        <v>0.10449493156237601</v>
      </c>
      <c r="F11" s="2">
        <v>0.16945620791438601</v>
      </c>
      <c r="G11" s="2">
        <v>0.26294397206354703</v>
      </c>
      <c r="H11" s="2">
        <v>0.38415250297675801</v>
      </c>
      <c r="I11" s="2">
        <v>0.52168724500423802</v>
      </c>
      <c r="J11" s="2">
        <v>0.65601071916378295</v>
      </c>
      <c r="K11" s="2">
        <v>0.76929413900240995</v>
      </c>
    </row>
    <row r="12" spans="1:17" x14ac:dyDescent="0.25">
      <c r="A12">
        <v>1.1000000000000001</v>
      </c>
      <c r="B12" s="2">
        <v>6.4331246016512203E-3</v>
      </c>
      <c r="C12" s="2">
        <v>1.6280711877983401E-2</v>
      </c>
      <c r="D12" s="2">
        <v>4.0586838744145502E-2</v>
      </c>
      <c r="E12" s="2">
        <v>8.4428423241300302E-2</v>
      </c>
      <c r="F12" s="2">
        <v>0.146332679853029</v>
      </c>
      <c r="G12" s="2">
        <v>0.241646563118076</v>
      </c>
      <c r="H12" s="2">
        <v>0.37199029635452402</v>
      </c>
      <c r="I12" s="2">
        <v>0.52405583293327396</v>
      </c>
      <c r="J12" s="2">
        <v>0.67178802936701698</v>
      </c>
      <c r="K12" s="2">
        <v>0.79187566650425101</v>
      </c>
    </row>
    <row r="13" spans="1:17" x14ac:dyDescent="0.25">
      <c r="A13">
        <v>1.2</v>
      </c>
      <c r="B13" s="2">
        <v>4.0131652497503896E-3</v>
      </c>
      <c r="C13" s="2">
        <v>1.1080399947362299E-2</v>
      </c>
      <c r="D13" s="2">
        <v>3.0215562234027299E-2</v>
      </c>
      <c r="E13" s="2">
        <v>6.8058567636979705E-2</v>
      </c>
      <c r="F13" s="2">
        <v>0.126089152570866</v>
      </c>
      <c r="G13" s="2">
        <v>0.221822532363635</v>
      </c>
      <c r="H13" s="2">
        <v>0.360276387963335</v>
      </c>
      <c r="I13" s="2">
        <v>0.526661551437412</v>
      </c>
      <c r="J13" s="2">
        <v>0.68732859299666205</v>
      </c>
      <c r="K13" s="2">
        <v>0.81284021866330303</v>
      </c>
    </row>
    <row r="14" spans="1:17" x14ac:dyDescent="0.25">
      <c r="A14">
        <v>1.3</v>
      </c>
      <c r="B14" s="2">
        <v>2.50534778981846E-3</v>
      </c>
      <c r="C14" s="2">
        <v>7.5419401305157896E-3</v>
      </c>
      <c r="D14" s="2">
        <v>2.24756363584948E-2</v>
      </c>
      <c r="E14" s="2">
        <v>5.47708500876486E-2</v>
      </c>
      <c r="F14" s="2">
        <v>0.108443536564379</v>
      </c>
      <c r="G14" s="2">
        <v>0.203395007396106</v>
      </c>
      <c r="H14" s="2">
        <v>0.34894521362731601</v>
      </c>
      <c r="I14" s="2">
        <v>0.52942876341296097</v>
      </c>
      <c r="J14" s="2">
        <v>0.70253139497570904</v>
      </c>
      <c r="K14" s="2">
        <v>0.83214574602073998</v>
      </c>
    </row>
    <row r="15" spans="1:17" x14ac:dyDescent="0.25">
      <c r="A15">
        <v>1.4</v>
      </c>
      <c r="B15" s="2">
        <v>1.56540158134288E-3</v>
      </c>
      <c r="C15" s="2">
        <v>5.1356113547758797E-3</v>
      </c>
      <c r="D15" s="2">
        <v>1.6712104368495399E-2</v>
      </c>
      <c r="E15" s="2">
        <v>4.4022885476074601E-2</v>
      </c>
      <c r="F15" s="2">
        <v>9.3115488184386905E-2</v>
      </c>
      <c r="G15" s="2">
        <v>0.18628615431659901</v>
      </c>
      <c r="H15" s="2">
        <v>0.337942861264865</v>
      </c>
      <c r="I15" s="2">
        <v>0.53229864749650901</v>
      </c>
      <c r="J15" s="2">
        <v>0.71732364766677403</v>
      </c>
      <c r="K15" s="2">
        <v>0.84980523377361605</v>
      </c>
    </row>
    <row r="16" spans="1:17" x14ac:dyDescent="0.25">
      <c r="A16">
        <v>1.5</v>
      </c>
      <c r="B16" s="2">
        <v>9.7895460691664496E-4</v>
      </c>
      <c r="C16" s="2">
        <v>3.4989807926927101E-3</v>
      </c>
      <c r="D16" s="2">
        <v>1.24253815058992E-2</v>
      </c>
      <c r="E16" s="2">
        <v>3.5351251497904898E-2</v>
      </c>
      <c r="F16" s="2">
        <v>7.9838974319004399E-2</v>
      </c>
      <c r="G16" s="2">
        <v>0.17042141789089599</v>
      </c>
      <c r="H16" s="2">
        <v>0.32722780898749299</v>
      </c>
      <c r="I16" s="2">
        <v>0.53522733209173401</v>
      </c>
      <c r="J16" s="2">
        <v>0.73165517877803599</v>
      </c>
      <c r="K16" s="2">
        <v>0.86587053322571295</v>
      </c>
    </row>
    <row r="17" spans="1:11" x14ac:dyDescent="0.25">
      <c r="A17">
        <v>1.6</v>
      </c>
      <c r="B17" s="2">
        <v>6.1270626643002905E-4</v>
      </c>
      <c r="C17" s="2">
        <v>2.3853204677881002E-3</v>
      </c>
      <c r="D17" s="2">
        <v>9.2388614620035094E-3</v>
      </c>
      <c r="E17" s="2">
        <v>2.8367834826835001E-2</v>
      </c>
      <c r="F17" s="2">
        <v>6.8367975514114096E-2</v>
      </c>
      <c r="G17" s="2">
        <v>0.155730421601289</v>
      </c>
      <c r="H17" s="2">
        <v>0.316769606565522</v>
      </c>
      <c r="I17" s="2">
        <v>0.538183158691242</v>
      </c>
      <c r="J17" s="2">
        <v>0.74549322189121703</v>
      </c>
      <c r="K17" s="2">
        <v>0.88041927377152296</v>
      </c>
    </row>
    <row r="18" spans="1:11" x14ac:dyDescent="0.25">
      <c r="A18">
        <v>1.7</v>
      </c>
      <c r="B18" s="2">
        <v>3.8375766406301002E-4</v>
      </c>
      <c r="C18" s="2">
        <v>1.6270449427206E-3</v>
      </c>
      <c r="D18" s="2">
        <v>6.8706189569240298E-3</v>
      </c>
      <c r="E18" s="2">
        <v>2.2751755183097799E-2</v>
      </c>
      <c r="F18" s="2">
        <v>5.8478578807944298E-2</v>
      </c>
      <c r="G18" s="2">
        <v>0.14214654543268901</v>
      </c>
      <c r="H18" s="2">
        <v>0.30654688668580099</v>
      </c>
      <c r="I18" s="2">
        <v>0.54114398732009905</v>
      </c>
      <c r="J18" s="2">
        <v>0.75881811854878101</v>
      </c>
      <c r="K18" s="2">
        <v>0.89354483594034095</v>
      </c>
    </row>
    <row r="19" spans="1:11" x14ac:dyDescent="0.25">
      <c r="A19">
        <v>1.8</v>
      </c>
      <c r="B19" s="2">
        <v>2.40511472614858E-4</v>
      </c>
      <c r="C19" s="2">
        <v>1.11040192737693E-3</v>
      </c>
      <c r="D19" s="2">
        <v>5.1104665259664398E-3</v>
      </c>
      <c r="E19" s="2">
        <v>1.8240010827187701E-2</v>
      </c>
      <c r="F19" s="2">
        <v>4.9969215722493E-2</v>
      </c>
      <c r="G19" s="2">
        <v>0.12960619043028301</v>
      </c>
      <c r="H19" s="2">
        <v>0.29654536770470102</v>
      </c>
      <c r="I19" s="2">
        <v>0.54409486873002699</v>
      </c>
      <c r="J19" s="2">
        <v>0.77161993590869005</v>
      </c>
      <c r="K19" s="2">
        <v>0.90534890691459202</v>
      </c>
    </row>
    <row r="20" spans="1:11" x14ac:dyDescent="0.25">
      <c r="A20">
        <v>1.9</v>
      </c>
      <c r="B20" s="2">
        <v>1.5081659473353899E-4</v>
      </c>
      <c r="C20" s="2">
        <v>7.5816568961503802E-4</v>
      </c>
      <c r="D20" s="2">
        <v>3.8020594510412898E-3</v>
      </c>
      <c r="E20" s="2">
        <v>1.46183339727481E-2</v>
      </c>
      <c r="F20" s="2">
        <v>4.2659919495228203E-2</v>
      </c>
      <c r="G20" s="2">
        <v>0.11804811983491099</v>
      </c>
      <c r="H20" s="2">
        <v>0.28675609121759499</v>
      </c>
      <c r="I20" s="2">
        <v>0.54702616199236898</v>
      </c>
      <c r="J20" s="2">
        <v>0.78389589553662098</v>
      </c>
      <c r="K20" s="2">
        <v>0.91593612294159599</v>
      </c>
    </row>
    <row r="21" spans="1:11" x14ac:dyDescent="0.25">
      <c r="A21">
        <v>2</v>
      </c>
      <c r="B21" s="2">
        <v>9.4615292850708894E-5</v>
      </c>
      <c r="C21" s="2">
        <v>5.1787602877638396E-4</v>
      </c>
      <c r="D21" s="2">
        <v>2.82924194146133E-3</v>
      </c>
      <c r="E21" s="2">
        <v>1.1712910590081701E-2</v>
      </c>
      <c r="F21" s="2">
        <v>3.6391070473602002E-2</v>
      </c>
      <c r="G21" s="2">
        <v>0.107413009545499</v>
      </c>
      <c r="H21" s="2">
        <v>0.27717396717627302</v>
      </c>
      <c r="I21" s="2">
        <v>0.54993206697497599</v>
      </c>
      <c r="J21" s="2">
        <v>0.79564845363785597</v>
      </c>
      <c r="K21" s="2">
        <v>0.92541032318911998</v>
      </c>
    </row>
    <row r="22" spans="1:11" x14ac:dyDescent="0.25">
      <c r="A22">
        <v>2.1</v>
      </c>
      <c r="B22" s="2">
        <v>5.9380128583978199E-5</v>
      </c>
      <c r="C22" s="2">
        <v>3.53867681400578E-4</v>
      </c>
      <c r="D22" s="2">
        <v>2.1057614560598598E-3</v>
      </c>
      <c r="E22" s="2">
        <v>9.3831860782825002E-3</v>
      </c>
      <c r="F22" s="2">
        <v>3.102188396378E-2</v>
      </c>
      <c r="G22" s="2">
        <v>9.7643214050646895E-2</v>
      </c>
      <c r="H22" s="2">
        <v>0.26779661848556402</v>
      </c>
      <c r="I22" s="2">
        <v>0.55280950670490703</v>
      </c>
      <c r="J22" s="2">
        <v>0.80688388380631104</v>
      </c>
      <c r="K22" s="2">
        <v>0.93387201945015497</v>
      </c>
    </row>
    <row r="23" spans="1:11" x14ac:dyDescent="0.25">
      <c r="A23">
        <v>2.2000000000000002</v>
      </c>
      <c r="B23" s="2">
        <v>3.7278784787703598E-5</v>
      </c>
      <c r="C23" s="2">
        <v>2.41872892325081E-4</v>
      </c>
      <c r="D23" s="2">
        <v>1.5675778909004E-3</v>
      </c>
      <c r="E23" s="2">
        <v>7.5157673742865302E-3</v>
      </c>
      <c r="F23" s="2">
        <v>2.6428787259522499E-2</v>
      </c>
      <c r="G23" s="2">
        <v>8.8682705768457895E-2</v>
      </c>
      <c r="H23" s="2">
        <v>0.25862348696786103</v>
      </c>
      <c r="I23" s="2">
        <v>0.55565729007094899</v>
      </c>
      <c r="J23" s="2">
        <v>0.81761123734733399</v>
      </c>
      <c r="K23" s="2">
        <v>0.94141676659552798</v>
      </c>
    </row>
    <row r="24" spans="1:11" x14ac:dyDescent="0.25">
      <c r="A24">
        <v>2.2999999999999998</v>
      </c>
      <c r="B24" s="2">
        <v>2.3409960304531701E-5</v>
      </c>
      <c r="C24" s="2">
        <v>1.6536554991146001E-4</v>
      </c>
      <c r="D24" s="2">
        <v>1.1671376262440199E-3</v>
      </c>
      <c r="E24" s="2">
        <v>6.0193361258262697E-3</v>
      </c>
      <c r="F24" s="2">
        <v>2.2503775796051499E-2</v>
      </c>
      <c r="G24" s="2">
        <v>8.0477133779599197E-2</v>
      </c>
      <c r="H24" s="2">
        <v>0.24965515520894399</v>
      </c>
      <c r="I24" s="2">
        <v>0.55847549259706297</v>
      </c>
      <c r="J24" s="2">
        <v>0.827841582404234</v>
      </c>
      <c r="K24" s="2">
        <v>0.94813418998800703</v>
      </c>
    </row>
    <row r="25" spans="1:11" x14ac:dyDescent="0.25">
      <c r="A25">
        <v>2.4</v>
      </c>
      <c r="B25" s="2">
        <v>1.47041304807024E-5</v>
      </c>
      <c r="C25" s="2">
        <v>1.13083008614626E-4</v>
      </c>
      <c r="D25" s="2">
        <v>8.6912050225032903E-4</v>
      </c>
      <c r="E25" s="2">
        <v>4.82045079591045E-3</v>
      </c>
      <c r="F25" s="2">
        <v>1.91528061102187E-2</v>
      </c>
      <c r="G25" s="2">
        <v>7.29739519845021E-2</v>
      </c>
      <c r="H25" s="2">
        <v>0.240892841126601</v>
      </c>
      <c r="I25" s="2">
        <v>0.56126500372906896</v>
      </c>
      <c r="J25" s="2">
        <v>0.83758744645279604</v>
      </c>
      <c r="K25" s="2">
        <v>0.95410748472388196</v>
      </c>
    </row>
    <row r="26" spans="1:11" x14ac:dyDescent="0.25">
      <c r="A26">
        <v>2.5</v>
      </c>
      <c r="B26" s="2">
        <v>9.2376771159525493E-6</v>
      </c>
      <c r="C26" s="2">
        <v>7.73445179207608E-5</v>
      </c>
      <c r="D26" s="2">
        <v>6.4728454800307698E-4</v>
      </c>
      <c r="E26" s="2">
        <v>3.8601085086131899E-3</v>
      </c>
      <c r="F26" s="2">
        <v>1.62942631192051E-2</v>
      </c>
      <c r="G26" s="2">
        <v>6.6122576643704703E-2</v>
      </c>
      <c r="H26" s="2">
        <v>0.232338027966946</v>
      </c>
      <c r="I26" s="2">
        <v>0.56402719969027304</v>
      </c>
      <c r="J26" s="2">
        <v>0.84686240582050898</v>
      </c>
      <c r="K26" s="2">
        <v>0.95941324790976201</v>
      </c>
    </row>
    <row r="27" spans="1:11" x14ac:dyDescent="0.25">
      <c r="A27">
        <v>2.6</v>
      </c>
      <c r="B27" s="2">
        <v>5.8044272271937703E-6</v>
      </c>
      <c r="C27" s="2">
        <v>5.2908961287488001E-5</v>
      </c>
      <c r="D27" s="2">
        <v>4.8212618515087601E-4</v>
      </c>
      <c r="E27" s="2">
        <v>3.0909445378675101E-3</v>
      </c>
      <c r="F27" s="2">
        <v>1.38575254390938E-2</v>
      </c>
      <c r="G27" s="2">
        <v>5.9874544221709097E-2</v>
      </c>
      <c r="H27" s="2">
        <v>0.22399219901638601</v>
      </c>
      <c r="I27" s="2">
        <v>0.56676371018357696</v>
      </c>
      <c r="J27" s="2">
        <v>0.85568078081079901</v>
      </c>
      <c r="K27" s="2">
        <v>0.96412154093804703</v>
      </c>
    </row>
    <row r="28" spans="1:11" x14ac:dyDescent="0.25">
      <c r="A28">
        <v>2.7</v>
      </c>
      <c r="B28" s="2">
        <v>3.6477148749133402E-6</v>
      </c>
      <c r="C28" s="2">
        <v>3.6198128857105502E-5</v>
      </c>
      <c r="D28" s="2">
        <v>3.5914518512753202E-4</v>
      </c>
      <c r="E28" s="2">
        <v>2.4749604227178798E-3</v>
      </c>
      <c r="F28" s="2">
        <v>1.1781642455821599E-2</v>
      </c>
      <c r="G28" s="2">
        <v>5.4183650314185101E-2</v>
      </c>
      <c r="H28" s="2">
        <v>0.21585665243313301</v>
      </c>
      <c r="I28" s="2">
        <v>0.56947625474320995</v>
      </c>
      <c r="J28" s="2">
        <v>0.864057406357986</v>
      </c>
      <c r="K28" s="2">
        <v>0.96829610590609805</v>
      </c>
    </row>
    <row r="29" spans="1:11" x14ac:dyDescent="0.25">
      <c r="A29">
        <v>2.8</v>
      </c>
      <c r="B29" s="2">
        <v>2.29267604992659E-6</v>
      </c>
      <c r="C29" s="2">
        <v>2.4768041371979699E-5</v>
      </c>
      <c r="D29" s="2">
        <v>2.6755777855255698E-4</v>
      </c>
      <c r="E29" s="2">
        <v>1.9816865489821599E-3</v>
      </c>
      <c r="F29" s="2">
        <v>1.00141294234679E-2</v>
      </c>
      <c r="G29" s="2">
        <v>4.9006058432951402E-2</v>
      </c>
      <c r="H29" s="2">
        <v>0.20793237683648799</v>
      </c>
      <c r="I29" s="2">
        <v>0.57216653046983001</v>
      </c>
      <c r="J29" s="2">
        <v>0.87200745660378398</v>
      </c>
      <c r="K29" s="2">
        <v>0.97199468078926099</v>
      </c>
    </row>
    <row r="30" spans="1:11" x14ac:dyDescent="0.25">
      <c r="A30">
        <v>2.9</v>
      </c>
      <c r="B30" s="2">
        <v>1.4412007169629201E-6</v>
      </c>
      <c r="C30" s="2">
        <v>1.6948799173761701E-5</v>
      </c>
      <c r="D30" s="2">
        <v>1.9934181514215401E-4</v>
      </c>
      <c r="E30" s="2">
        <v>1.58669956911359E-3</v>
      </c>
      <c r="F30" s="2">
        <v>8.5098813707759902E-3</v>
      </c>
      <c r="G30" s="2">
        <v>4.4300373457883298E-2</v>
      </c>
      <c r="H30" s="2">
        <v>0.20021997258141999</v>
      </c>
      <c r="I30" s="2">
        <v>0.57483613745737006</v>
      </c>
      <c r="J30" s="2">
        <v>0.87954630801568301</v>
      </c>
      <c r="K30" s="2">
        <v>0.97526937328613095</v>
      </c>
    </row>
    <row r="31" spans="1:11" x14ac:dyDescent="0.25">
      <c r="A31">
        <v>3</v>
      </c>
      <c r="B31" s="2">
        <v>9.0609029885832099E-7</v>
      </c>
      <c r="C31" s="2">
        <v>1.15990506333585E-5</v>
      </c>
      <c r="D31" s="2">
        <v>1.4852799606754E-4</v>
      </c>
      <c r="E31" s="2">
        <v>1.27042827511931E-3</v>
      </c>
      <c r="F31" s="2">
        <v>7.2302026516489603E-3</v>
      </c>
      <c r="G31" s="2">
        <v>4.0027678843121799E-2</v>
      </c>
      <c r="H31" s="2">
        <v>0.192719607072497</v>
      </c>
      <c r="I31" s="2">
        <v>0.57748653170045705</v>
      </c>
      <c r="J31" s="2">
        <v>0.88668943020093105</v>
      </c>
      <c r="K31" s="2">
        <v>0.97816706465081105</v>
      </c>
    </row>
    <row r="32" spans="1:11" x14ac:dyDescent="0.25">
      <c r="A32">
        <v>3.1</v>
      </c>
      <c r="B32" s="2">
        <v>5.6976645090214503E-7</v>
      </c>
      <c r="C32" s="2">
        <v>7.9384926847344805E-6</v>
      </c>
      <c r="D32" s="2">
        <v>1.10673531441947E-4</v>
      </c>
      <c r="E32" s="2">
        <v>1.01719313348277E-3</v>
      </c>
      <c r="F32" s="2">
        <v>6.1419462780655503E-3</v>
      </c>
      <c r="G32" s="2">
        <v>3.6151539497903701E-2</v>
      </c>
      <c r="H32" s="2">
        <v>0.18543099516616801</v>
      </c>
      <c r="I32" s="2">
        <v>0.58011899789452304</v>
      </c>
      <c r="J32" s="2">
        <v>0.89345229683659899</v>
      </c>
      <c r="K32" s="2">
        <v>0.98072982327783098</v>
      </c>
    </row>
    <row r="33" spans="1:11" x14ac:dyDescent="0.25">
      <c r="A33">
        <v>3.2</v>
      </c>
      <c r="B33" s="2">
        <v>3.5836487837997099E-7</v>
      </c>
      <c r="C33" s="2">
        <v>5.4335403196449698E-6</v>
      </c>
      <c r="D33" s="2">
        <v>8.2471101622761804E-5</v>
      </c>
      <c r="E33" s="2">
        <v>8.1443458925209802E-4</v>
      </c>
      <c r="F33" s="2">
        <v>5.2167554684395901E-3</v>
      </c>
      <c r="G33" s="2">
        <v>3.2637973973625001E-2</v>
      </c>
      <c r="H33" s="2">
        <v>0.178353397809211</v>
      </c>
      <c r="I33" s="2">
        <v>0.58273463650511004</v>
      </c>
      <c r="J33" s="2">
        <v>0.89985031146815397</v>
      </c>
      <c r="K33" s="2">
        <v>0.98299531404794704</v>
      </c>
    </row>
    <row r="34" spans="1:11" x14ac:dyDescent="0.25">
      <c r="A34">
        <v>3.3</v>
      </c>
      <c r="B34" s="2">
        <v>2.2547569045575901E-7</v>
      </c>
      <c r="C34" s="2">
        <v>3.7192506748211101E-6</v>
      </c>
      <c r="D34" s="2">
        <v>6.1458223178607803E-5</v>
      </c>
      <c r="E34" s="2">
        <v>6.5209355557419295E-4</v>
      </c>
      <c r="F34" s="2">
        <v>4.4303989073329999E-3</v>
      </c>
      <c r="G34" s="2">
        <v>2.9455400470620299E-2</v>
      </c>
      <c r="H34" s="2">
        <v>0.171485633685761</v>
      </c>
      <c r="I34" s="2">
        <v>0.58533436094753499</v>
      </c>
      <c r="J34" s="2">
        <v>0.90589874457727404</v>
      </c>
      <c r="K34" s="2">
        <v>0.98499719403393904</v>
      </c>
    </row>
    <row r="35" spans="1:11" x14ac:dyDescent="0.25">
      <c r="A35">
        <v>3.4</v>
      </c>
      <c r="B35" s="2">
        <v>1.4193509275569701E-7</v>
      </c>
      <c r="C35" s="2">
        <v>2.5459838359407201E-6</v>
      </c>
      <c r="D35" s="2">
        <v>4.5801159256023798E-5</v>
      </c>
      <c r="E35" s="2">
        <v>5.22114398108657E-4</v>
      </c>
      <c r="F35" s="2">
        <v>3.7621908511211001E-3</v>
      </c>
      <c r="G35" s="2">
        <v>2.6574561474816401E-2</v>
      </c>
      <c r="H35" s="2">
        <v>0.16482609989831001</v>
      </c>
      <c r="I35" s="2">
        <v>0.58791890180650797</v>
      </c>
      <c r="J35" s="2">
        <v>0.91161267947218205</v>
      </c>
      <c r="K35" s="2">
        <v>0.98676548852294599</v>
      </c>
    </row>
    <row r="36" spans="1:11" x14ac:dyDescent="0.25">
      <c r="A36">
        <v>3.5</v>
      </c>
      <c r="B36" s="2">
        <v>8.9414637982202297E-8</v>
      </c>
      <c r="C36" s="2">
        <v>1.7429507124342799E-6</v>
      </c>
      <c r="D36" s="2">
        <v>3.4134201015654401E-5</v>
      </c>
      <c r="E36" s="2">
        <v>4.1804639345836202E-4</v>
      </c>
      <c r="F36" s="2">
        <v>3.1944872676896901E-3</v>
      </c>
      <c r="G36" s="2">
        <v>2.3968431739592001E-2</v>
      </c>
      <c r="H36" s="2">
        <v>0.15837279867245399</v>
      </c>
      <c r="I36" s="2">
        <v>0.59048881583272195</v>
      </c>
      <c r="J36" s="2">
        <v>0.91700696534937398</v>
      </c>
      <c r="K36" s="2">
        <v>0.988326943748978</v>
      </c>
    </row>
    <row r="37" spans="1:11" x14ac:dyDescent="0.25">
      <c r="A37">
        <v>3.6</v>
      </c>
      <c r="B37" s="2">
        <v>5.6394449869817501E-8</v>
      </c>
      <c r="C37" s="2">
        <v>1.1932944880492399E-6</v>
      </c>
      <c r="D37" s="2">
        <v>2.5440096428897301E-5</v>
      </c>
      <c r="E37" s="2">
        <v>3.3472427460949698E-4</v>
      </c>
      <c r="F37" s="2">
        <v>2.7122495361444499E-3</v>
      </c>
      <c r="G37" s="2">
        <v>2.16121139892461E-2</v>
      </c>
      <c r="H37" s="2">
        <v>0.15212336781678601</v>
      </c>
      <c r="I37" s="2">
        <v>0.59304449805185599</v>
      </c>
      <c r="J37" s="2">
        <v>0.92209617641626596</v>
      </c>
      <c r="K37" s="2">
        <v>0.989705354480517</v>
      </c>
    </row>
    <row r="38" spans="1:11" x14ac:dyDescent="0.25">
      <c r="A38">
        <v>3.7</v>
      </c>
      <c r="B38" s="2">
        <v>3.5633435006803298E-8</v>
      </c>
      <c r="C38" s="2">
        <v>8.1705232163197703E-7</v>
      </c>
      <c r="D38" s="2">
        <v>1.8961068711115001E-5</v>
      </c>
      <c r="E38" s="2">
        <v>2.6801224551312099E-4</v>
      </c>
      <c r="F38" s="2">
        <v>2.30266775265754E-3</v>
      </c>
      <c r="G38" s="2">
        <v>1.94827262455247E-2</v>
      </c>
      <c r="H38" s="2">
        <v>0.146075113239438</v>
      </c>
      <c r="I38" s="2">
        <v>0.59558619576468297</v>
      </c>
      <c r="J38" s="2">
        <v>0.92689457632433703</v>
      </c>
      <c r="K38" s="2">
        <v>0.99092186584922604</v>
      </c>
    </row>
    <row r="39" spans="1:11" x14ac:dyDescent="0.25">
      <c r="A39">
        <v>3.8</v>
      </c>
      <c r="B39" s="2">
        <v>2.25797265947214E-8</v>
      </c>
      <c r="C39" s="2">
        <v>5.5950291829717801E-7</v>
      </c>
      <c r="D39" s="2">
        <v>1.4132583706905E-5</v>
      </c>
      <c r="E39" s="2">
        <v>2.14598901521016E-4</v>
      </c>
      <c r="F39" s="2">
        <v>1.9548363134198202E-3</v>
      </c>
      <c r="G39" s="2">
        <v>1.75592841439236E-2</v>
      </c>
      <c r="H39" s="2">
        <v>0.140225042261066</v>
      </c>
      <c r="I39" s="2">
        <v>0.59811402354564902</v>
      </c>
      <c r="J39" s="2">
        <v>0.93141608739576698</v>
      </c>
      <c r="K39" s="2">
        <v>0.99199524966824604</v>
      </c>
    </row>
    <row r="40" spans="1:11" x14ac:dyDescent="0.25">
      <c r="A40">
        <v>3.9</v>
      </c>
      <c r="B40" s="2">
        <v>1.43717845392697E-8</v>
      </c>
      <c r="C40" s="2">
        <v>3.8319614552076198E-7</v>
      </c>
      <c r="D40" s="2">
        <v>1.05340405780378E-5</v>
      </c>
      <c r="E40" s="2">
        <v>1.7183296091129399E-4</v>
      </c>
      <c r="F40" s="2">
        <v>1.6594751182943399E-3</v>
      </c>
      <c r="G40" s="2">
        <v>1.58225810635776E-2</v>
      </c>
      <c r="H40" s="2">
        <v>0.13456989680095599</v>
      </c>
      <c r="I40" s="2">
        <v>0.60062797859124895</v>
      </c>
      <c r="J40" s="2">
        <v>0.93567426427230804</v>
      </c>
      <c r="K40" s="2">
        <v>0.99294215607121705</v>
      </c>
    </row>
    <row r="41" spans="1:11" x14ac:dyDescent="0.25">
      <c r="A41">
        <v>4</v>
      </c>
      <c r="B41" s="2">
        <v>9.2106067039577706E-9</v>
      </c>
      <c r="C41" s="2">
        <v>2.6250044487117598E-7</v>
      </c>
      <c r="D41" s="2">
        <v>7.8520554691718993E-6</v>
      </c>
      <c r="E41" s="2">
        <v>1.37591703301754E-4</v>
      </c>
      <c r="F41" s="2">
        <v>1.40869041890716E-3</v>
      </c>
      <c r="G41" s="2">
        <v>1.42550683763742E-2</v>
      </c>
      <c r="H41" s="2">
        <v>0.12910618577171601</v>
      </c>
      <c r="I41" s="2">
        <v>0.60312795595093205</v>
      </c>
      <c r="J41" s="2">
        <v>0.93968227170125895</v>
      </c>
      <c r="K41" s="2">
        <v>0.99377734168009502</v>
      </c>
    </row>
    <row r="42" spans="1:11" x14ac:dyDescent="0.25">
      <c r="A42">
        <v>4.0999999999999996</v>
      </c>
      <c r="B42" s="2">
        <v>5.9651414688504597E-9</v>
      </c>
      <c r="C42" s="2">
        <v>1.7987224710435701E-7</v>
      </c>
      <c r="D42" s="2">
        <v>5.8531181092212902E-6</v>
      </c>
      <c r="E42" s="2">
        <v>1.1017561318397E-4</v>
      </c>
      <c r="F42" s="2">
        <v>1.19576999531204E-3</v>
      </c>
      <c r="G42" s="2">
        <v>1.2840737646901201E-2</v>
      </c>
      <c r="H42" s="2">
        <v>0.123830216216678</v>
      </c>
      <c r="I42" s="2">
        <v>0.60561376330850003</v>
      </c>
      <c r="J42" s="2">
        <v>0.94345286621985902</v>
      </c>
      <c r="K42" s="2">
        <v>0.99451387573666195</v>
      </c>
    </row>
    <row r="43" spans="1:11" x14ac:dyDescent="0.25">
      <c r="A43">
        <v>4.2</v>
      </c>
      <c r="B43" s="2">
        <v>3.9242571771996401E-9</v>
      </c>
      <c r="C43" s="2">
        <v>1.23303308161871E-7</v>
      </c>
      <c r="D43" s="2">
        <v>4.36322611609154E-6</v>
      </c>
      <c r="E43" s="2">
        <v>8.8224015106939097E-5</v>
      </c>
      <c r="F43" s="2">
        <v>1.0150079686625699E-3</v>
      </c>
      <c r="G43" s="2">
        <v>1.1565006194706601E-2</v>
      </c>
      <c r="H43" s="2">
        <v>0.11873812287601999</v>
      </c>
      <c r="I43" s="2">
        <v>0.60808513508307105</v>
      </c>
      <c r="J43" s="2">
        <v>0.94699838152044002</v>
      </c>
      <c r="K43" s="2">
        <v>0.99516332575107602</v>
      </c>
    </row>
    <row r="44" spans="1:11" x14ac:dyDescent="0.25">
      <c r="A44">
        <v>4.3</v>
      </c>
      <c r="B44" s="2">
        <v>2.6408247978437298E-9</v>
      </c>
      <c r="C44" s="2">
        <v>8.4573897680791399E-8</v>
      </c>
      <c r="D44" s="2">
        <v>3.2527147893406499E-6</v>
      </c>
      <c r="E44" s="2">
        <v>7.0647521727924104E-5</v>
      </c>
      <c r="F44" s="2">
        <v>8.6155513345705299E-4</v>
      </c>
      <c r="G44" s="2">
        <v>1.04146070673602E-2</v>
      </c>
      <c r="H44" s="2">
        <v>0.113825895983627</v>
      </c>
      <c r="I44" s="2">
        <v>0.61054174569446595</v>
      </c>
      <c r="J44" s="2">
        <v>0.95033071728426399</v>
      </c>
      <c r="K44" s="2">
        <v>0.995735924262108</v>
      </c>
    </row>
    <row r="45" spans="1:11" x14ac:dyDescent="0.25">
      <c r="A45">
        <v>4.4000000000000004</v>
      </c>
      <c r="B45" s="2">
        <v>1.8336996660573399E-9</v>
      </c>
      <c r="C45" s="2">
        <v>5.8057357155472103E-8</v>
      </c>
      <c r="D45" s="2">
        <v>2.42495596685119E-6</v>
      </c>
      <c r="E45" s="2">
        <v>5.6573946302329799E-5</v>
      </c>
      <c r="F45" s="2">
        <v>7.3129121706873702E-4</v>
      </c>
      <c r="G45" s="2">
        <v>9.3774841659220402E-3</v>
      </c>
      <c r="H45" s="2">
        <v>0.10908940718440301</v>
      </c>
      <c r="I45" s="2">
        <v>0.61298322189480803</v>
      </c>
      <c r="J45" s="2">
        <v>0.95346133126900501</v>
      </c>
      <c r="K45" s="2">
        <v>0.99624071829108696</v>
      </c>
    </row>
    <row r="46" spans="1:11" x14ac:dyDescent="0.25">
      <c r="A46">
        <v>4.5</v>
      </c>
      <c r="B46" s="2">
        <v>1.3260989239426399E-9</v>
      </c>
      <c r="C46" s="2">
        <v>3.9901943638746203E-8</v>
      </c>
      <c r="D46" s="2">
        <v>1.8079385325234599E-6</v>
      </c>
      <c r="E46" s="2">
        <v>4.53049971553041E-5</v>
      </c>
      <c r="F46" s="2">
        <v>6.2071594525850296E-4</v>
      </c>
      <c r="G46" s="2">
        <v>8.4426930100236792E-3</v>
      </c>
      <c r="H46" s="2">
        <v>0.104524433527784</v>
      </c>
      <c r="I46" s="2">
        <v>0.61540915411102504</v>
      </c>
      <c r="J46" s="2">
        <v>0.95640123442804603</v>
      </c>
      <c r="K46" s="2">
        <v>0.99668570302239001</v>
      </c>
    </row>
    <row r="47" spans="1:11" x14ac:dyDescent="0.25">
      <c r="A47">
        <v>4.5999999999999996</v>
      </c>
      <c r="B47" s="2">
        <v>1.0068587967995499E-9</v>
      </c>
      <c r="C47" s="2">
        <v>2.7470858420772999E-8</v>
      </c>
      <c r="D47" s="2">
        <v>1.34799539083528E-6</v>
      </c>
      <c r="E47" s="2">
        <v>3.6281605561914097E-5</v>
      </c>
      <c r="F47" s="2">
        <v>5.2685621143259401E-4</v>
      </c>
      <c r="G47" s="2">
        <v>7.6003074227887204E-3</v>
      </c>
      <c r="H47" s="2">
        <v>0.10012667954205801</v>
      </c>
      <c r="I47" s="2">
        <v>0.61781910677521301</v>
      </c>
      <c r="J47" s="2">
        <v>0.95916098883230205</v>
      </c>
      <c r="K47" s="2">
        <v>0.99707794117029203</v>
      </c>
    </row>
    <row r="48" spans="1:11" x14ac:dyDescent="0.25">
      <c r="A48">
        <v>4.7</v>
      </c>
      <c r="B48" s="2">
        <v>8.0607577087479897E-10</v>
      </c>
      <c r="C48" s="2">
        <v>1.8958968949781602E-8</v>
      </c>
      <c r="D48" s="2">
        <v>1.0051294357924199E-6</v>
      </c>
      <c r="E48" s="2">
        <v>2.9056166308305398E-5</v>
      </c>
      <c r="F48" s="2">
        <v>4.4718701733477499E-4</v>
      </c>
      <c r="G48" s="2">
        <v>6.8413322506022198E-3</v>
      </c>
      <c r="H48" s="2">
        <v>9.5891797429764003E-2</v>
      </c>
      <c r="I48" s="2">
        <v>0.620212627644116</v>
      </c>
      <c r="J48" s="2">
        <v>0.96175070815894903</v>
      </c>
      <c r="K48" s="2">
        <v>0.99742366940446503</v>
      </c>
    </row>
    <row r="49" spans="1:11" x14ac:dyDescent="0.25">
      <c r="A49">
        <v>4.8</v>
      </c>
      <c r="B49" s="2">
        <v>6.7979089930861904E-10</v>
      </c>
      <c r="C49" s="2">
        <v>1.31304603766093E-8</v>
      </c>
      <c r="D49" s="2">
        <v>7.4953077097563701E-7</v>
      </c>
      <c r="E49" s="2">
        <v>2.3270312984137501E-5</v>
      </c>
      <c r="F49" s="2">
        <v>3.7956417730787898E-4</v>
      </c>
      <c r="G49" s="2">
        <v>6.1576221035179596E-3</v>
      </c>
      <c r="H49" s="2">
        <v>9.1815405449683099E-2</v>
      </c>
      <c r="I49" s="2">
        <v>0.62258925612709903</v>
      </c>
      <c r="J49" s="2">
        <v>0.96418006050763005</v>
      </c>
      <c r="K49" s="2">
        <v>0.99772839311122397</v>
      </c>
    </row>
    <row r="50" spans="1:11" x14ac:dyDescent="0.25">
      <c r="A50">
        <v>4.9000000000000004</v>
      </c>
      <c r="B50" s="2">
        <v>6.0035971364063398E-10</v>
      </c>
      <c r="C50" s="2">
        <v>9.1392557218322498E-9</v>
      </c>
      <c r="D50" s="2">
        <v>5.5898146959757801E-7</v>
      </c>
      <c r="E50" s="2">
        <v>1.86371246268426E-5</v>
      </c>
      <c r="F50" s="2">
        <v>3.2216706131126601E-4</v>
      </c>
      <c r="G50" s="2">
        <v>5.54180600336821E-3</v>
      </c>
      <c r="H50" s="2">
        <v>8.7893104568207606E-2</v>
      </c>
      <c r="I50" s="2">
        <v>0.624948530655412</v>
      </c>
      <c r="J50" s="2">
        <v>0.96645827330367295</v>
      </c>
      <c r="K50" s="2">
        <v>0.99799697066950999</v>
      </c>
    </row>
    <row r="51" spans="1:11" x14ac:dyDescent="0.25">
      <c r="A51">
        <v>5</v>
      </c>
      <c r="B51" s="2">
        <v>5.5039691411927898E-10</v>
      </c>
      <c r="C51" s="2">
        <v>6.4060881675650302E-9</v>
      </c>
      <c r="D51" s="2">
        <v>4.1692163118497801E-7</v>
      </c>
      <c r="E51" s="2">
        <v>1.49268802413531E-5</v>
      </c>
      <c r="F51" s="2">
        <v>2.7344989773845897E-4</v>
      </c>
      <c r="G51" s="2">
        <v>4.9872177533444497E-3</v>
      </c>
      <c r="H51" s="2">
        <v>8.4120493473907307E-2</v>
      </c>
      <c r="I51" s="2">
        <v>0.627289995135342</v>
      </c>
      <c r="J51" s="2">
        <v>0.96859414004998401</v>
      </c>
      <c r="K51" s="2">
        <v>0.99823368832303006</v>
      </c>
    </row>
    <row r="52" spans="1:11" x14ac:dyDescent="0.25">
      <c r="A52">
        <v>5.0999999999999996</v>
      </c>
      <c r="B52" s="2">
        <v>5.1896874177528096E-10</v>
      </c>
      <c r="C52" s="2">
        <v>4.5343510380158996E-9</v>
      </c>
      <c r="D52" s="2">
        <v>3.1100818602409E-7</v>
      </c>
      <c r="E52" s="2">
        <v>1.1955653820640799E-5</v>
      </c>
      <c r="F52" s="2">
        <v>2.3210036985424001E-4</v>
      </c>
      <c r="G52" s="2">
        <v>4.4878317904231604E-3</v>
      </c>
      <c r="H52" s="2">
        <v>8.0493182055367707E-2</v>
      </c>
      <c r="I52" s="2">
        <v>0.629613204534611</v>
      </c>
      <c r="J52" s="2">
        <v>0.97059602869435302</v>
      </c>
      <c r="K52" s="2">
        <v>0.99844232663522903</v>
      </c>
    </row>
    <row r="53" spans="1:11" x14ac:dyDescent="0.25">
      <c r="A53">
        <v>5.2</v>
      </c>
      <c r="B53" s="2">
        <v>4.9919864552935698E-10</v>
      </c>
      <c r="C53" s="2">
        <v>3.25249146417392E-9</v>
      </c>
      <c r="D53" s="2">
        <v>2.32040871924776E-7</v>
      </c>
      <c r="E53" s="2">
        <v>9.5761835065781694E-6</v>
      </c>
      <c r="F53" s="2">
        <v>1.9700442325487299E-4</v>
      </c>
      <c r="G53" s="2">
        <v>4.0382042465588698E-3</v>
      </c>
      <c r="H53" s="2">
        <v>7.7006803445061903E-2</v>
      </c>
      <c r="I53" s="2">
        <v>0.63191772965612103</v>
      </c>
      <c r="J53" s="2">
        <v>0.97247189138661305</v>
      </c>
      <c r="K53" s="2">
        <v>0.99862621942339602</v>
      </c>
    </row>
    <row r="54" spans="1:11" x14ac:dyDescent="0.25">
      <c r="A54">
        <v>5.3</v>
      </c>
      <c r="B54" s="2">
        <v>4.8676162372466698E-10</v>
      </c>
      <c r="C54" s="2">
        <v>2.3745739597526298E-9</v>
      </c>
      <c r="D54" s="2">
        <v>1.7316181952106701E-7</v>
      </c>
      <c r="E54" s="2">
        <v>7.6705614422390399E-6</v>
      </c>
      <c r="F54" s="2">
        <v>1.6721635975110299E-4</v>
      </c>
      <c r="G54" s="2">
        <v>3.6334189226543598E-3</v>
      </c>
      <c r="H54" s="2">
        <v>7.3657024731947005E-2</v>
      </c>
      <c r="I54" s="2">
        <v>0.63420316115577702</v>
      </c>
      <c r="J54" s="2">
        <v>0.97422927541015403</v>
      </c>
      <c r="K54" s="2">
        <v>0.99878830598303003</v>
      </c>
    </row>
    <row r="55" spans="1:11" x14ac:dyDescent="0.25">
      <c r="A55">
        <v>5.4</v>
      </c>
      <c r="B55" s="2">
        <v>4.7893737557894298E-10</v>
      </c>
      <c r="C55" s="2">
        <v>1.77328214973274E-9</v>
      </c>
      <c r="D55" s="2">
        <v>1.2925903035232E-7</v>
      </c>
      <c r="E55" s="2">
        <v>6.14438127287376E-6</v>
      </c>
      <c r="F55" s="2">
        <v>1.4193342875698899E-4</v>
      </c>
      <c r="G55" s="2">
        <v>3.2690378680661799E-3</v>
      </c>
      <c r="H55" s="2">
        <v>7.0439556443461601E-2</v>
      </c>
      <c r="I55" s="2">
        <v>0.63646911286258001</v>
      </c>
      <c r="J55" s="2">
        <v>0.97587533508412805</v>
      </c>
      <c r="K55" s="2">
        <v>0.99893117733430903</v>
      </c>
    </row>
    <row r="56" spans="1:11" x14ac:dyDescent="0.25">
      <c r="A56">
        <v>5.5</v>
      </c>
      <c r="B56" s="2">
        <v>4.7401484884291297E-10</v>
      </c>
      <c r="C56" s="2">
        <v>1.3614352094904699E-9</v>
      </c>
      <c r="D56" s="2">
        <v>9.6521799473231399E-8</v>
      </c>
      <c r="E56" s="2">
        <v>4.9220526372927302E-6</v>
      </c>
      <c r="F56" s="2">
        <v>1.20474243580194E-4</v>
      </c>
      <c r="G56" s="2">
        <v>2.9410562554065402E-3</v>
      </c>
      <c r="H56" s="2">
        <v>6.7350160894153202E-2</v>
      </c>
      <c r="I56" s="2">
        <v>0.63871522445931705</v>
      </c>
      <c r="J56" s="2">
        <v>0.97741684444601795</v>
      </c>
      <c r="K56" s="2">
        <v>0.99905711714912104</v>
      </c>
    </row>
    <row r="57" spans="1:11" x14ac:dyDescent="0.25">
      <c r="A57">
        <v>5.6</v>
      </c>
      <c r="B57" s="2">
        <v>4.7091776173055305E-10</v>
      </c>
      <c r="C57" s="2">
        <v>1.07933331092758E-9</v>
      </c>
      <c r="D57" s="2">
        <v>7.2109372421840699E-8</v>
      </c>
      <c r="E57" s="2">
        <v>3.9430499456026203E-6</v>
      </c>
      <c r="F57" s="2">
        <v>1.02260449565188E-4</v>
      </c>
      <c r="G57" s="2">
        <v>2.6458612436720298E-3</v>
      </c>
      <c r="H57" s="2">
        <v>6.4384659493753493E-2</v>
      </c>
      <c r="I57" s="2">
        <v>0.64094116358146203</v>
      </c>
      <c r="J57" s="2">
        <v>0.97886021053848804</v>
      </c>
      <c r="K57" s="2">
        <v>0.99916813794973802</v>
      </c>
    </row>
    <row r="58" spans="1:11" x14ac:dyDescent="0.25">
      <c r="A58">
        <v>5.7</v>
      </c>
      <c r="B58" s="2">
        <v>4.68969087577853E-10</v>
      </c>
      <c r="C58" s="2">
        <v>8.8609359243731699E-10</v>
      </c>
      <c r="D58" s="2">
        <v>5.39039901675876E-8</v>
      </c>
      <c r="E58" s="2">
        <v>3.1589091393130699E-6</v>
      </c>
      <c r="F58" s="2">
        <v>8.6801156144748401E-5</v>
      </c>
      <c r="G58" s="2">
        <v>2.3801945306430798E-3</v>
      </c>
      <c r="H58" s="2">
        <v>6.1538939102510903E-2</v>
      </c>
      <c r="I58" s="2">
        <v>0.643146627390486</v>
      </c>
      <c r="J58" s="2">
        <v>0.98021148713931305</v>
      </c>
      <c r="K58" s="2">
        <v>0.99926601310866403</v>
      </c>
    </row>
    <row r="59" spans="1:11" x14ac:dyDescent="0.25">
      <c r="A59">
        <v>5.8</v>
      </c>
      <c r="B59" s="2">
        <v>4.6774293063137104E-10</v>
      </c>
      <c r="C59" s="2">
        <v>7.5371809965273197E-10</v>
      </c>
      <c r="D59" s="2">
        <v>4.0326825531338297E-8</v>
      </c>
      <c r="E59" s="2">
        <v>2.5308232788765401E-6</v>
      </c>
      <c r="F59" s="2">
        <v>7.3679717526253701E-5</v>
      </c>
      <c r="G59" s="2">
        <v>2.14111830674281E-3</v>
      </c>
      <c r="H59" s="2">
        <v>5.8808957516210097E-2</v>
      </c>
      <c r="I59" s="2">
        <v>0.64533134367576095</v>
      </c>
      <c r="J59" s="2">
        <v>0.981476388788312</v>
      </c>
      <c r="K59" s="2">
        <v>0.99935230512319795</v>
      </c>
    </row>
    <row r="60" spans="1:11" x14ac:dyDescent="0.25">
      <c r="A60">
        <v>5.9</v>
      </c>
      <c r="B60" s="2">
        <v>4.6697136216215205E-10</v>
      </c>
      <c r="C60" s="2">
        <v>6.6303212114730403E-10</v>
      </c>
      <c r="D60" s="2">
        <v>3.0200791398871603E-8</v>
      </c>
      <c r="E60" s="2">
        <v>2.0277175459318799E-6</v>
      </c>
      <c r="F60" s="2">
        <v>6.2542508736644796E-5</v>
      </c>
      <c r="G60" s="2">
        <v>1.92598433607397E-3</v>
      </c>
      <c r="H60" s="2">
        <v>5.6190748157806697E-2</v>
      </c>
      <c r="I60" s="2">
        <v>0.64749507153687502</v>
      </c>
      <c r="J60" s="2">
        <v>0.98266030498022305</v>
      </c>
      <c r="K60" s="2">
        <v>0.99942839058749999</v>
      </c>
    </row>
    <row r="61" spans="1:11" x14ac:dyDescent="0.25">
      <c r="A61">
        <v>6</v>
      </c>
      <c r="B61" s="2">
        <v>4.66485822231691E-10</v>
      </c>
      <c r="C61" s="2">
        <v>6.0090309074892899E-10</v>
      </c>
      <c r="D61" s="2">
        <v>2.26482822733633E-8</v>
      </c>
      <c r="E61" s="2">
        <v>1.62470805949453E-6</v>
      </c>
      <c r="F61" s="2">
        <v>5.30893966001192E-5</v>
      </c>
      <c r="G61" s="2">
        <v>1.73240590533626E-3</v>
      </c>
      <c r="H61" s="2">
        <v>5.3680424047132497E-2</v>
      </c>
      <c r="I61" s="2">
        <v>0.64963760169537299</v>
      </c>
      <c r="J61" s="2">
        <v>0.98376831440722901</v>
      </c>
      <c r="K61" s="2">
        <v>0.99949548223912998</v>
      </c>
    </row>
    <row r="62" spans="1:11" x14ac:dyDescent="0.25">
      <c r="A62">
        <v>6.1</v>
      </c>
      <c r="B62" s="2">
        <v>4.6618026119997702E-10</v>
      </c>
      <c r="C62" s="2">
        <v>5.5833625477218704E-10</v>
      </c>
      <c r="D62" s="2">
        <v>1.70149520278933E-8</v>
      </c>
      <c r="E62" s="2">
        <v>1.30186796936384E-6</v>
      </c>
      <c r="F62" s="2">
        <v>4.5065650245306198E-5</v>
      </c>
      <c r="G62" s="2">
        <v>1.5582323971209599E-3</v>
      </c>
      <c r="H62" s="2">
        <v>5.1274181114747901E-2</v>
      </c>
      <c r="I62" s="2">
        <v>0.65175875648209902</v>
      </c>
      <c r="J62" s="2">
        <v>0.98480519914901199</v>
      </c>
      <c r="K62" s="2">
        <v>0.99955464841572905</v>
      </c>
    </row>
    <row r="63" spans="1:11" x14ac:dyDescent="0.25">
      <c r="A63">
        <v>6.2</v>
      </c>
      <c r="B63" s="2">
        <v>4.6598795470823401E-10</v>
      </c>
      <c r="C63" s="2">
        <v>5.2917065111445904E-10</v>
      </c>
      <c r="D63" s="2">
        <v>1.28128971425289E-8</v>
      </c>
      <c r="E63" s="2">
        <v>1.04323955269933E-6</v>
      </c>
      <c r="F63" s="2">
        <v>3.82550740714845E-5</v>
      </c>
      <c r="G63" s="2">
        <v>1.40152626018456E-3</v>
      </c>
      <c r="H63" s="2">
        <v>4.89683009208726E-2</v>
      </c>
      <c r="I63" s="2">
        <v>0.65385838954320197</v>
      </c>
      <c r="J63" s="2">
        <v>0.98577545872176098</v>
      </c>
      <c r="K63" s="2">
        <v>0.99960683022041796</v>
      </c>
    </row>
    <row r="64" spans="1:11" x14ac:dyDescent="0.25">
      <c r="A64">
        <v>6.3</v>
      </c>
      <c r="B64" s="2">
        <v>4.6586691906845204E-10</v>
      </c>
      <c r="C64" s="2">
        <v>5.09186128419722E-10</v>
      </c>
      <c r="D64" s="2">
        <v>9.6783037052640499E-9</v>
      </c>
      <c r="E64" s="2">
        <v>8.3604325895543E-7</v>
      </c>
      <c r="F64" s="2">
        <v>3.2474178724702702E-5</v>
      </c>
      <c r="G64" s="2">
        <v>1.2605421653462299E-3</v>
      </c>
      <c r="H64" s="2">
        <v>4.6759152835445801E-2</v>
      </c>
      <c r="I64" s="2">
        <v>0.65593638530474396</v>
      </c>
      <c r="J64" s="2">
        <v>0.98668332391026004</v>
      </c>
      <c r="K64" s="2">
        <v>0.99965285666120396</v>
      </c>
    </row>
    <row r="65" spans="1:11" x14ac:dyDescent="0.25">
      <c r="A65">
        <v>6.4</v>
      </c>
      <c r="B65" s="2">
        <v>4.65790736380902E-10</v>
      </c>
      <c r="C65" s="2">
        <v>4.9549181806054597E-10</v>
      </c>
      <c r="D65" s="2">
        <v>7.3398751571655801E-9</v>
      </c>
      <c r="E65" s="2">
        <v>6.7004443096375902E-7</v>
      </c>
      <c r="F65" s="2">
        <v>2.7567233384055499E-5</v>
      </c>
      <c r="G65" s="2">
        <v>1.13370815135462E-3</v>
      </c>
      <c r="H65" s="2">
        <v>4.4643195730753302E-2</v>
      </c>
      <c r="I65" s="2">
        <v>0.65799265823269204</v>
      </c>
      <c r="J65" s="2">
        <v>0.98753277031902797</v>
      </c>
      <c r="K65" s="2">
        <v>0.99969345799988896</v>
      </c>
    </row>
    <row r="66" spans="1:11" x14ac:dyDescent="0.25">
      <c r="A66">
        <v>6.5</v>
      </c>
      <c r="B66" s="2">
        <v>4.6574278254975804E-10</v>
      </c>
      <c r="C66" s="2">
        <v>4.8610733288248898E-10</v>
      </c>
      <c r="D66" s="2">
        <v>5.5952958072216803E-9</v>
      </c>
      <c r="E66" s="2">
        <v>5.3704626175028198E-7</v>
      </c>
      <c r="F66" s="2">
        <v>2.34020662551796E-5</v>
      </c>
      <c r="G66" s="2">
        <v>1.0196085802298099E-3</v>
      </c>
      <c r="H66" s="2">
        <v>4.26169792337764E-2</v>
      </c>
      <c r="I66" s="2">
        <v>0.66002715192205297</v>
      </c>
      <c r="J66" s="2">
        <v>0.98832753158939202</v>
      </c>
      <c r="K66" s="2">
        <v>0.99972927751937202</v>
      </c>
    </row>
    <row r="67" spans="1:11" x14ac:dyDescent="0.25">
      <c r="A67">
        <v>6.6</v>
      </c>
      <c r="B67" s="2">
        <v>9.3137388325054495E-10</v>
      </c>
      <c r="C67" s="2">
        <v>9.4533723669117299E-10</v>
      </c>
      <c r="D67" s="2">
        <v>4.7593484583923396E-9</v>
      </c>
      <c r="E67" s="2">
        <v>4.3094974354863499E-7</v>
      </c>
      <c r="F67" s="2">
        <v>1.9866971740871999E-5</v>
      </c>
      <c r="G67" s="2">
        <v>9.1696933288118703E-4</v>
      </c>
      <c r="H67" s="2">
        <v>4.0677147134376597E-2</v>
      </c>
      <c r="I67" s="2">
        <v>0.66203983737233696</v>
      </c>
      <c r="J67" s="2">
        <v>0.98907111124455604</v>
      </c>
      <c r="K67" s="2">
        <v>0.99976088140485697</v>
      </c>
    </row>
    <row r="68" spans="1:11" x14ac:dyDescent="0.25">
      <c r="A68">
        <v>6.7</v>
      </c>
      <c r="B68" s="2">
        <v>9.3135487988414004E-10</v>
      </c>
      <c r="C68" s="2">
        <v>9.4092941484830206E-10</v>
      </c>
      <c r="D68" s="2">
        <v>3.7881753120994696E-9</v>
      </c>
      <c r="E68" s="2">
        <v>3.45564858253854E-7</v>
      </c>
      <c r="F68" s="2">
        <v>1.6865798562025702E-5</v>
      </c>
      <c r="G68" s="2">
        <v>8.2464150252146799E-4</v>
      </c>
      <c r="H68" s="2">
        <v>3.8820427627858499E-2</v>
      </c>
      <c r="I68" s="2">
        <v>0.66403071453760398</v>
      </c>
      <c r="J68" s="2">
        <v>0.98976679912449705</v>
      </c>
      <c r="K68" s="2">
        <v>0.99978876984301701</v>
      </c>
    </row>
    <row r="69" spans="1:11" x14ac:dyDescent="0.25">
      <c r="A69">
        <v>6.8</v>
      </c>
      <c r="B69" s="2">
        <v>9.3134291603249208E-10</v>
      </c>
      <c r="C69" s="2">
        <v>9.3790829757844695E-10</v>
      </c>
      <c r="D69" s="2">
        <v>3.06351205635899E-9</v>
      </c>
      <c r="E69" s="2">
        <v>2.7714597874453501E-7</v>
      </c>
      <c r="F69" s="2">
        <v>1.4318213356108199E-5</v>
      </c>
      <c r="G69" s="2">
        <v>7.4159244587748599E-4</v>
      </c>
      <c r="H69" s="2">
        <v>3.7043648939228999E-2</v>
      </c>
      <c r="I69" s="2">
        <v>0.66599980697545003</v>
      </c>
      <c r="J69" s="2">
        <v>0.990417677324405</v>
      </c>
      <c r="K69" s="2">
        <v>0.99981338212742099</v>
      </c>
    </row>
    <row r="70" spans="1:11" x14ac:dyDescent="0.25">
      <c r="A70">
        <v>6.9</v>
      </c>
      <c r="B70" s="2">
        <v>9.3133538358115408E-10</v>
      </c>
      <c r="C70" s="2">
        <v>9.3583750814367603E-10</v>
      </c>
      <c r="D70" s="2">
        <v>2.5227570238289901E-9</v>
      </c>
      <c r="E70" s="2">
        <v>2.2231961884127001E-7</v>
      </c>
      <c r="F70" s="2">
        <v>1.21556334484247E-5</v>
      </c>
      <c r="G70" s="2">
        <v>6.6689203274767901E-4</v>
      </c>
      <c r="H70" s="2">
        <v>3.5343728868622297E-2</v>
      </c>
      <c r="I70" s="2">
        <v>0.667947163283098</v>
      </c>
      <c r="J70" s="2">
        <v>0.99102663579327899</v>
      </c>
      <c r="K70" s="2">
        <v>0.999835105716678</v>
      </c>
    </row>
    <row r="71" spans="1:11" x14ac:dyDescent="0.25">
      <c r="A71">
        <v>7</v>
      </c>
      <c r="B71" s="2">
        <v>9.3133064087076795E-10</v>
      </c>
      <c r="C71" s="2">
        <v>9.3441802828108899E-10</v>
      </c>
      <c r="D71" s="2">
        <v>2.1192140324874402E-9</v>
      </c>
      <c r="E71" s="2">
        <v>1.7838351813463601E-7</v>
      </c>
      <c r="F71" s="2">
        <v>1.03198497526272E-5</v>
      </c>
      <c r="G71" s="2">
        <v>5.99703027285136E-4</v>
      </c>
      <c r="H71" s="2">
        <v>3.3717677017590902E-2</v>
      </c>
      <c r="I71" s="2">
        <v>0.66987285504274097</v>
      </c>
      <c r="J71" s="2">
        <v>0.99159638237541903</v>
      </c>
      <c r="K71" s="2">
        <v>0.99985428198805804</v>
      </c>
    </row>
    <row r="72" spans="1:11" x14ac:dyDescent="0.25">
      <c r="A72">
        <v>7.1</v>
      </c>
      <c r="B72" s="2">
        <v>9.3132765451247104E-10</v>
      </c>
      <c r="C72" s="2">
        <v>9.3344495047822699E-10</v>
      </c>
      <c r="D72" s="2">
        <v>1.81804932418951E-9</v>
      </c>
      <c r="E72" s="2">
        <v>1.431730037465E-7</v>
      </c>
      <c r="F72" s="2">
        <v>8.7614572524327096E-6</v>
      </c>
      <c r="G72" s="2">
        <v>5.3927186494566004E-4</v>
      </c>
      <c r="H72" s="2">
        <v>3.2162594188377497E-2</v>
      </c>
      <c r="I72" s="2">
        <v>0.67177697543160797</v>
      </c>
      <c r="J72" s="2">
        <v>0.99212945339926695</v>
      </c>
      <c r="K72" s="2">
        <v>0.99987121173804805</v>
      </c>
    </row>
    <row r="73" spans="1:11" x14ac:dyDescent="0.25">
      <c r="A73">
        <v>7.2</v>
      </c>
      <c r="B73" s="2">
        <v>9.3132577397364094E-10</v>
      </c>
      <c r="C73" s="2">
        <v>9.3277785039728006E-10</v>
      </c>
      <c r="D73" s="2">
        <v>1.59327667602591E-9</v>
      </c>
      <c r="E73" s="2">
        <v>1.14953973973359E-7</v>
      </c>
      <c r="F73" s="2">
        <v>7.4385229818037303E-6</v>
      </c>
      <c r="G73" s="2">
        <v>4.84920335789722E-4</v>
      </c>
      <c r="H73" s="2">
        <v>3.06756715780615E-2</v>
      </c>
      <c r="I73" s="2">
        <v>0.673659637819226</v>
      </c>
      <c r="J73" s="2">
        <v>0.99262822378751403</v>
      </c>
      <c r="K73" s="2">
        <v>0.99988616002599495</v>
      </c>
    </row>
    <row r="74" spans="1:11" x14ac:dyDescent="0.25">
      <c r="A74">
        <v>7.3</v>
      </c>
      <c r="B74" s="2">
        <v>9.3132458971162294E-10</v>
      </c>
      <c r="C74" s="2">
        <v>9.3232048895530403E-10</v>
      </c>
      <c r="D74" s="2">
        <v>1.42550910658652E-9</v>
      </c>
      <c r="E74" s="2">
        <v>9.2337197939487495E-8</v>
      </c>
      <c r="F74" s="2">
        <v>6.3154555695099096E-6</v>
      </c>
      <c r="G74" s="2">
        <v>4.3603808678470602E-4</v>
      </c>
      <c r="H74" s="2">
        <v>2.9254189790778502E-2</v>
      </c>
      <c r="I74" s="2">
        <v>0.67552097436509195</v>
      </c>
      <c r="J74" s="2">
        <v>0.99309491669015004</v>
      </c>
      <c r="K74" s="2">
        <v>0.999899360438947</v>
      </c>
    </row>
    <row r="75" spans="1:11" x14ac:dyDescent="0.25">
      <c r="A75">
        <v>7.4</v>
      </c>
      <c r="B75" s="2">
        <v>9.3132384388413595E-10</v>
      </c>
      <c r="C75" s="2">
        <v>9.3200690543548695E-10</v>
      </c>
      <c r="D75" s="2">
        <v>1.3002821723224001E-9</v>
      </c>
      <c r="E75" s="2">
        <v>7.4209683275323403E-8</v>
      </c>
      <c r="F75" s="2">
        <v>5.3620458482016302E-6</v>
      </c>
      <c r="G75" s="2">
        <v>3.9207586384420399E-4</v>
      </c>
      <c r="H75" s="2">
        <v>2.7895517689255502E-2</v>
      </c>
      <c r="I75" s="2">
        <v>0.677361134628096</v>
      </c>
      <c r="J75" s="2">
        <v>0.99353161264555201</v>
      </c>
      <c r="K75" s="2">
        <v>0.99991101884664102</v>
      </c>
    </row>
    <row r="76" spans="1:11" x14ac:dyDescent="0.25">
      <c r="A76">
        <v>7.5</v>
      </c>
      <c r="B76" s="2">
        <v>9.3132337414795008E-10</v>
      </c>
      <c r="C76" s="2">
        <v>9.3179188882580604E-10</v>
      </c>
      <c r="D76" s="2">
        <v>1.2068034734649601E-9</v>
      </c>
      <c r="E76" s="2">
        <v>5.9679710748115999E-8</v>
      </c>
      <c r="F76" s="2">
        <v>4.5526526414416897E-6</v>
      </c>
      <c r="G76" s="2">
        <v>3.5253942174717101E-4</v>
      </c>
      <c r="H76" s="2">
        <v>2.6597111105132899E-2</v>
      </c>
      <c r="I76" s="2">
        <v>0.67918028419741805</v>
      </c>
      <c r="J76" s="2">
        <v>0.99394025827755095</v>
      </c>
      <c r="K76" s="2">
        <v>0.999921316707445</v>
      </c>
    </row>
    <row r="77" spans="1:11" x14ac:dyDescent="0.25">
      <c r="A77">
        <v>7.6</v>
      </c>
      <c r="B77" s="2">
        <v>9.3132307828224398E-10</v>
      </c>
      <c r="C77" s="2">
        <v>9.316444486538571E-10</v>
      </c>
      <c r="D77" s="2">
        <v>1.13701998060019E-9</v>
      </c>
      <c r="E77" s="2">
        <v>4.80328127875243E-8</v>
      </c>
      <c r="F77" s="2">
        <v>3.8655117583160299E-6</v>
      </c>
      <c r="G77" s="2">
        <v>3.1698403684664501E-4</v>
      </c>
      <c r="H77" s="2">
        <v>2.53565114259128E-2</v>
      </c>
      <c r="I77" s="2">
        <v>0.68097860335298299</v>
      </c>
      <c r="J77" s="2">
        <v>0.99432267453880097</v>
      </c>
      <c r="K77" s="2">
        <v>0.99993041397887406</v>
      </c>
    </row>
    <row r="78" spans="1:11" x14ac:dyDescent="0.25">
      <c r="A78">
        <v>7.7</v>
      </c>
      <c r="B78" s="2">
        <v>9.3132289191905705E-10</v>
      </c>
      <c r="C78" s="2">
        <v>9.3154334086702493E-10</v>
      </c>
      <c r="D78" s="2">
        <v>1.08492236879647E-9</v>
      </c>
      <c r="E78" s="2">
        <v>3.8696515656000998E-8</v>
      </c>
      <c r="F78" s="2">
        <v>3.28214954943067E-6</v>
      </c>
      <c r="G78" s="2">
        <v>2.8500956364904602E-4</v>
      </c>
      <c r="H78" s="2">
        <v>2.4171344074897599E-2</v>
      </c>
      <c r="I78" s="2">
        <v>0.682756285762252</v>
      </c>
      <c r="J78" s="2">
        <v>0.99468056451263798</v>
      </c>
      <c r="K78" s="2">
        <v>0.999938451679938</v>
      </c>
    </row>
    <row r="79" spans="1:11" x14ac:dyDescent="0.25">
      <c r="A79">
        <v>7.8</v>
      </c>
      <c r="B79" s="2">
        <v>9.313227745238431E-10</v>
      </c>
      <c r="C79" s="2">
        <v>9.3147400176251005E-10</v>
      </c>
      <c r="D79" s="2">
        <v>1.0460261036081899E-9</v>
      </c>
      <c r="E79" s="2">
        <v>3.1212099580486102E-8</v>
      </c>
      <c r="F79" s="2">
        <v>2.78688519965463E-6</v>
      </c>
      <c r="G79" s="2">
        <v>2.5625598196527498E-4</v>
      </c>
      <c r="H79" s="2">
        <v>2.3039316899107098E-2</v>
      </c>
      <c r="I79" s="2">
        <v>0.68451353721878905</v>
      </c>
      <c r="J79" s="2">
        <v>0.99501552078713695</v>
      </c>
      <c r="K79" s="2">
        <v>0.99994555414696495</v>
      </c>
    </row>
    <row r="80" spans="1:11" x14ac:dyDescent="0.25">
      <c r="A80">
        <v>7.9</v>
      </c>
      <c r="B80" s="2">
        <v>9.3132270056922607E-10</v>
      </c>
      <c r="C80" s="2">
        <v>9.3142644672022191E-10</v>
      </c>
      <c r="D80" s="2">
        <v>1.0169843491853E-9</v>
      </c>
      <c r="E80" s="2">
        <v>2.5211979077086299E-8</v>
      </c>
      <c r="F80" s="2">
        <v>2.36640832777672E-6</v>
      </c>
      <c r="G80" s="2">
        <v>2.30399386445817E-4</v>
      </c>
      <c r="H80" s="2">
        <v>2.1958218478921199E-2</v>
      </c>
      <c r="I80" s="2">
        <v>0.68625057442703097</v>
      </c>
      <c r="J80" s="2">
        <v>0.99532903241618398</v>
      </c>
      <c r="K80" s="2">
        <v>0.99995183101959895</v>
      </c>
    </row>
    <row r="81" spans="1:11" x14ac:dyDescent="0.25">
      <c r="A81">
        <v>8</v>
      </c>
      <c r="B81" s="2">
        <v>9.313226539779441E-10</v>
      </c>
      <c r="C81" s="2">
        <v>9.3139383006040293E-10</v>
      </c>
      <c r="D81" s="2">
        <v>9.9529919491266306E-10</v>
      </c>
      <c r="E81" s="2">
        <v>2.04015842467484E-8</v>
      </c>
      <c r="F81" s="2">
        <v>2.0094204957915998E-6</v>
      </c>
      <c r="G81" s="2">
        <v>2.0714837495481699E-4</v>
      </c>
      <c r="H81" s="2">
        <v>2.0925916372040599E-2</v>
      </c>
      <c r="I81" s="2">
        <v>0.68796762383656296</v>
      </c>
      <c r="J81" s="2">
        <v>0.99562249148323601</v>
      </c>
      <c r="K81" s="2">
        <v>0.99995737898928105</v>
      </c>
    </row>
    <row r="82" spans="1:11" x14ac:dyDescent="0.25">
      <c r="A82">
        <v>8.1</v>
      </c>
      <c r="B82" s="2">
        <v>9.3132262462387297E-10</v>
      </c>
      <c r="C82" s="2">
        <v>9.3137145795823199E-10</v>
      </c>
      <c r="D82" s="2">
        <v>9.7910621614155695E-10</v>
      </c>
      <c r="E82" s="2">
        <v>1.6544846832532601E-8</v>
      </c>
      <c r="F82" s="2">
        <v>1.70633095554936E-6</v>
      </c>
      <c r="G82" s="2">
        <v>1.86240796450786E-4</v>
      </c>
      <c r="H82" s="2">
        <v>1.9940355303297901E-2</v>
      </c>
      <c r="I82" s="2">
        <v>0.68966492052842598</v>
      </c>
      <c r="J82" s="2">
        <v>0.99589719928397502</v>
      </c>
      <c r="K82" s="2">
        <v>0.99996228333867299</v>
      </c>
    </row>
    <row r="83" spans="1:11" x14ac:dyDescent="0.25">
      <c r="A83">
        <v>8.1999999999999993</v>
      </c>
      <c r="B83" s="2">
        <v>9.3132260612879896E-10</v>
      </c>
      <c r="C83" s="2">
        <v>9.313561118479699E-10</v>
      </c>
      <c r="D83" s="2">
        <v>9.6701373655874405E-10</v>
      </c>
      <c r="E83" s="2">
        <v>1.3452573383494199E-8</v>
      </c>
      <c r="F83" s="2">
        <v>1.44899842449799E-6</v>
      </c>
      <c r="G83" s="2">
        <v>1.67440822861087E-4</v>
      </c>
      <c r="H83" s="2">
        <v>1.89995553108687E-2</v>
      </c>
      <c r="I83" s="2">
        <v>0.69134270715517898</v>
      </c>
      <c r="J83" s="2">
        <v>0.99615437214443003</v>
      </c>
      <c r="K83" s="2">
        <v>0.99996661929708697</v>
      </c>
    </row>
    <row r="84" spans="1:11" x14ac:dyDescent="0.25">
      <c r="A84">
        <v>8.3000000000000007</v>
      </c>
      <c r="B84" s="2">
        <v>9.3132259447499397E-10</v>
      </c>
      <c r="C84" s="2">
        <v>9.3134558462453401E-10</v>
      </c>
      <c r="D84" s="2">
        <v>9.5798289608351107E-10</v>
      </c>
      <c r="E84" s="2">
        <v>1.09731308324582E-8</v>
      </c>
      <c r="F84" s="2">
        <v>1.2305119246807701E-6</v>
      </c>
      <c r="G84" s="2">
        <v>1.5053631289689199E-4</v>
      </c>
      <c r="H84" s="2">
        <v>1.8101609858531601E-2</v>
      </c>
      <c r="I84" s="2">
        <v>0.69300123293571203</v>
      </c>
      <c r="J84" s="2">
        <v>0.99639514689123099</v>
      </c>
      <c r="K84" s="2">
        <v>0.99997045323396705</v>
      </c>
    </row>
    <row r="85" spans="1:11" x14ac:dyDescent="0.25">
      <c r="A85">
        <v>8.4</v>
      </c>
      <c r="B85" s="2">
        <v>9.3132258713149501E-10</v>
      </c>
      <c r="C85" s="2">
        <v>9.3133836269652892E-10</v>
      </c>
      <c r="D85" s="2">
        <v>9.5123816000139006E-10</v>
      </c>
      <c r="E85" s="2">
        <v>8.9849842627992599E-9</v>
      </c>
      <c r="F85" s="2">
        <v>1.04500477354117E-6</v>
      </c>
      <c r="G85" s="2">
        <v>1.35336438887246E-4</v>
      </c>
      <c r="H85" s="2">
        <v>1.7244683922780401E-2</v>
      </c>
      <c r="I85" s="2">
        <v>0.69464075270529202</v>
      </c>
      <c r="J85" s="2">
        <v>0.99662058599069403</v>
      </c>
      <c r="K85" s="2">
        <v>0.99997384370985198</v>
      </c>
    </row>
    <row r="86" spans="1:11" x14ac:dyDescent="0.25">
      <c r="A86">
        <v>8.5</v>
      </c>
      <c r="B86" s="2">
        <v>9.3132258250383101E-10</v>
      </c>
      <c r="C86" s="2">
        <v>9.3133340801181496E-10</v>
      </c>
      <c r="D86" s="2">
        <v>9.4620053879726908E-10</v>
      </c>
      <c r="E86" s="2">
        <v>7.3907182945049897E-9</v>
      </c>
      <c r="F86" s="2">
        <v>8.8749670987939702E-7</v>
      </c>
      <c r="G86" s="2">
        <v>1.2166955054386601E-4</v>
      </c>
      <c r="H86" s="2">
        <v>1.64270120628132E-2</v>
      </c>
      <c r="I86" s="2">
        <v>0.69626152602078195</v>
      </c>
      <c r="J86" s="2">
        <v>0.99683168237320696</v>
      </c>
      <c r="K86" s="2">
        <v>0.999976842401892</v>
      </c>
    </row>
    <row r="87" spans="1:11" x14ac:dyDescent="0.25">
      <c r="A87">
        <v>8.6</v>
      </c>
      <c r="B87" s="2">
        <v>9.3132257958745397E-10</v>
      </c>
      <c r="C87" s="2">
        <v>9.3133000861233191E-10</v>
      </c>
      <c r="D87" s="2">
        <v>9.4243775229944197E-10</v>
      </c>
      <c r="E87" s="2">
        <v>6.1122469108694598E-9</v>
      </c>
      <c r="F87" s="2">
        <v>7.5375989764971704E-7</v>
      </c>
      <c r="G87" s="2">
        <v>1.0938125212989499E-4</v>
      </c>
      <c r="H87" s="2">
        <v>1.56468964807021E-2</v>
      </c>
      <c r="I87" s="2">
        <v>0.69786381632056105</v>
      </c>
      <c r="J87" s="2">
        <v>0.99702936395916997</v>
      </c>
      <c r="K87" s="2">
        <v>0.99997949491896798</v>
      </c>
    </row>
    <row r="88" spans="1:11" x14ac:dyDescent="0.25">
      <c r="A88">
        <v>8.6999999999999993</v>
      </c>
      <c r="B88" s="2">
        <v>9.3132257774944107E-10</v>
      </c>
      <c r="C88" s="2">
        <v>9.3132767616717502E-10</v>
      </c>
      <c r="D88" s="2">
        <v>9.3962703660774496E-10</v>
      </c>
      <c r="E88" s="2">
        <v>5.0869753154164801E-9</v>
      </c>
      <c r="F88" s="2">
        <v>6.40205194682862E-7</v>
      </c>
      <c r="G88" s="2">
        <v>9.8332671820601503E-5</v>
      </c>
      <c r="H88" s="2">
        <v>1.4902705078370901E-2</v>
      </c>
      <c r="I88" s="2">
        <v>0.69944789013826603</v>
      </c>
      <c r="J88" s="2">
        <v>0.99721449790233896</v>
      </c>
      <c r="K88" s="2">
        <v>0.99998184151964198</v>
      </c>
    </row>
    <row r="89" spans="1:11" x14ac:dyDescent="0.25">
      <c r="A89">
        <v>8.8000000000000007</v>
      </c>
      <c r="B89" s="2">
        <v>9.3132257659099406E-10</v>
      </c>
      <c r="C89" s="2">
        <v>9.313260757121681E-10</v>
      </c>
      <c r="D89" s="2">
        <v>9.3752738483131906E-10</v>
      </c>
      <c r="E89" s="2">
        <v>4.26472446914999E-9</v>
      </c>
      <c r="F89" s="2">
        <v>5.4378562026180096E-7</v>
      </c>
      <c r="G89" s="2">
        <v>8.8398904134880899E-5</v>
      </c>
      <c r="H89" s="2">
        <v>1.4192869517379201E-2</v>
      </c>
      <c r="I89" s="2">
        <v>0.70101401636925398</v>
      </c>
      <c r="J89" s="2">
        <v>0.99738789456600196</v>
      </c>
      <c r="K89" s="2">
        <v>0.99998391774457696</v>
      </c>
    </row>
    <row r="90" spans="1:11" x14ac:dyDescent="0.25">
      <c r="A90">
        <v>8.9</v>
      </c>
      <c r="B90" s="2">
        <v>9.3132257586082105E-10</v>
      </c>
      <c r="C90" s="2">
        <v>9.3132497747024604E-10</v>
      </c>
      <c r="D90" s="2">
        <v>9.3595882757600605E-10</v>
      </c>
      <c r="E90" s="2">
        <v>3.6052666446742399E-9</v>
      </c>
      <c r="F90" s="2">
        <v>4.6191441953800597E-7</v>
      </c>
      <c r="G90" s="2">
        <v>7.9467608204414203E-5</v>
      </c>
      <c r="H90" s="2">
        <v>1.35158832869323E-2</v>
      </c>
      <c r="I90" s="2">
        <v>0.70256246558837099</v>
      </c>
      <c r="J90" s="2">
        <v>0.99755031124693305</v>
      </c>
      <c r="K90" s="2">
        <v>0.99998575497368103</v>
      </c>
    </row>
    <row r="91" spans="1:11" x14ac:dyDescent="0.25">
      <c r="A91">
        <v>9</v>
      </c>
      <c r="B91" s="2">
        <v>9.3132257540056701E-10</v>
      </c>
      <c r="C91" s="2">
        <v>9.3132422381139207E-10</v>
      </c>
      <c r="D91" s="2">
        <v>9.3478696698479802E-10</v>
      </c>
      <c r="E91" s="2">
        <v>3.0763505144273201E-9</v>
      </c>
      <c r="F91" s="2">
        <v>3.9239551658138598E-7</v>
      </c>
      <c r="G91" s="2">
        <v>7.1437746351355001E-5</v>
      </c>
      <c r="H91" s="2">
        <v>1.2870299784990699E-2</v>
      </c>
      <c r="I91" s="2">
        <v>0.70409350941742499</v>
      </c>
      <c r="J91" s="2">
        <v>0.99770245566149696</v>
      </c>
      <c r="K91" s="2">
        <v>0.99998738091697503</v>
      </c>
    </row>
    <row r="92" spans="1:11" x14ac:dyDescent="0.25">
      <c r="A92">
        <v>9.1</v>
      </c>
      <c r="B92" s="2">
        <v>9.3132257511043692E-10</v>
      </c>
      <c r="C92" s="2">
        <v>9.3132370659349201E-10</v>
      </c>
      <c r="D92" s="2">
        <v>9.3391143158027799E-10</v>
      </c>
      <c r="E92" s="2">
        <v>2.6521184609955498E-9</v>
      </c>
      <c r="F92" s="2">
        <v>3.3336448204631102E-7</v>
      </c>
      <c r="G92" s="2">
        <v>6.4218448983100699E-5</v>
      </c>
      <c r="H92" s="2">
        <v>1.22547304168433E-2</v>
      </c>
      <c r="I92" s="2">
        <v>0.70560741994060905</v>
      </c>
      <c r="J92" s="2">
        <v>0.99784498920776898</v>
      </c>
      <c r="K92" s="2">
        <v>0.99998882004713197</v>
      </c>
    </row>
    <row r="93" spans="1:11" x14ac:dyDescent="0.25">
      <c r="A93">
        <v>9.1999999999999993</v>
      </c>
      <c r="B93" s="2">
        <v>9.3132257492754005E-10</v>
      </c>
      <c r="C93" s="2">
        <v>9.3132335162161198E-10</v>
      </c>
      <c r="D93" s="2">
        <v>9.3325725743222597E-10</v>
      </c>
      <c r="E93" s="2">
        <v>2.3118381557565902E-9</v>
      </c>
      <c r="F93" s="2">
        <v>2.8323842503413298E-7</v>
      </c>
      <c r="G93" s="2">
        <v>5.77279931997347E-5</v>
      </c>
      <c r="H93" s="2">
        <v>1.16678427150445E-2</v>
      </c>
      <c r="I93" s="2">
        <v>0.70710446916604897</v>
      </c>
      <c r="J93" s="2">
        <v>0.99797853001689596</v>
      </c>
      <c r="K93" s="2">
        <v>0.99999009398064698</v>
      </c>
    </row>
    <row r="94" spans="1:11" x14ac:dyDescent="0.25">
      <c r="A94">
        <v>9.3000000000000007</v>
      </c>
      <c r="B94" s="2">
        <v>9.3132257481223604E-10</v>
      </c>
      <c r="C94" s="2">
        <v>9.3132310798883095E-10</v>
      </c>
      <c r="D94" s="2">
        <v>9.3276845354403196E-10</v>
      </c>
      <c r="E94" s="2">
        <v>2.0388859567193698E-9</v>
      </c>
      <c r="F94" s="2">
        <v>2.4067345939935798E-7</v>
      </c>
      <c r="G94" s="2">
        <v>5.1892883760686103E-5</v>
      </c>
      <c r="H94" s="2">
        <v>1.1108358484170199E-2</v>
      </c>
      <c r="I94" s="2">
        <v>0.70858492853146304</v>
      </c>
      <c r="J94" s="2">
        <v>0.99810365580637295</v>
      </c>
      <c r="K94" s="2">
        <v>0.99999122181378697</v>
      </c>
    </row>
    <row r="95" spans="1:11" x14ac:dyDescent="0.25">
      <c r="A95">
        <v>9.4</v>
      </c>
      <c r="B95" s="2">
        <v>9.3132257473954196E-10</v>
      </c>
      <c r="C95" s="2">
        <v>9.3132294076484895E-10</v>
      </c>
      <c r="D95" s="2">
        <v>9.3240319764429197E-10</v>
      </c>
      <c r="E95" s="2">
        <v>1.81993209504754E-9</v>
      </c>
      <c r="F95" s="2">
        <v>2.0452859898216601E-7</v>
      </c>
      <c r="G95" s="2">
        <v>4.6647026185058498E-5</v>
      </c>
      <c r="H95" s="2">
        <v>1.05750519734421E-2</v>
      </c>
      <c r="I95" s="2">
        <v>0.71004906845191695</v>
      </c>
      <c r="J95" s="2">
        <v>0.99822090654727502</v>
      </c>
      <c r="K95" s="2">
        <v>0.99999222041872604</v>
      </c>
    </row>
    <row r="96" spans="1:11" x14ac:dyDescent="0.25">
      <c r="A96">
        <v>9.5</v>
      </c>
      <c r="B96" s="2">
        <v>9.3132257469370892E-10</v>
      </c>
      <c r="C96" s="2">
        <v>9.313228259806339E-10</v>
      </c>
      <c r="D96" s="2">
        <v>9.3213024906289106E-10</v>
      </c>
      <c r="E96" s="2">
        <v>1.6442875670154501E-9</v>
      </c>
      <c r="F96" s="2">
        <v>1.73835109570577E-7</v>
      </c>
      <c r="G96" s="2">
        <v>4.1930982776867102E-5</v>
      </c>
      <c r="H96" s="2">
        <v>1.00667480798965E-2</v>
      </c>
      <c r="I96" s="2">
        <v>0.71149715790770396</v>
      </c>
      <c r="J96" s="2">
        <v>0.998330786956931</v>
      </c>
      <c r="K96" s="2">
        <v>0.999993104704611</v>
      </c>
    </row>
    <row r="97" spans="1:11" x14ac:dyDescent="0.25">
      <c r="A97">
        <v>9.6</v>
      </c>
      <c r="B97" s="2">
        <v>9.3132257466480991E-10</v>
      </c>
      <c r="C97" s="2">
        <v>9.313227471878869E-10</v>
      </c>
      <c r="D97" s="2">
        <v>9.31926270204659E-10</v>
      </c>
      <c r="E97" s="2">
        <v>1.50338061620557E-9</v>
      </c>
      <c r="F97" s="2">
        <v>1.4777049248146601E-7</v>
      </c>
      <c r="G97" s="2">
        <v>3.7691303282847697E-5</v>
      </c>
      <c r="H97" s="2">
        <v>9.5823205844124994E-3</v>
      </c>
      <c r="I97" s="2">
        <v>0.71292946407015201</v>
      </c>
      <c r="J97" s="2">
        <v>0.99843376882788804</v>
      </c>
      <c r="K97" s="2">
        <v>0.99999388784774002</v>
      </c>
    </row>
    <row r="98" spans="1:11" x14ac:dyDescent="0.25">
      <c r="A98">
        <v>9.6999999999999993</v>
      </c>
      <c r="B98" s="2">
        <v>9.3132257464658795E-10</v>
      </c>
      <c r="C98" s="2">
        <v>9.3132269309869802E-10</v>
      </c>
      <c r="D98" s="2">
        <v>9.3177382636393207E-10</v>
      </c>
      <c r="E98" s="2">
        <v>1.3903370736905101E-9</v>
      </c>
      <c r="F98" s="2">
        <v>1.25636399473697E-7</v>
      </c>
      <c r="G98" s="2">
        <v>3.38799227163862E-5</v>
      </c>
      <c r="H98" s="2">
        <v>9.1206904226003097E-3</v>
      </c>
      <c r="I98" s="2">
        <v>0.71434625196345103</v>
      </c>
      <c r="J98" s="2">
        <v>0.99853029320347997</v>
      </c>
      <c r="K98" s="2">
        <v>0.99999458149453702</v>
      </c>
    </row>
    <row r="99" spans="1:11" x14ac:dyDescent="0.25">
      <c r="A99">
        <v>9.8000000000000007</v>
      </c>
      <c r="B99" s="2">
        <v>9.31322574635098E-10</v>
      </c>
      <c r="C99" s="2">
        <v>9.31322655966167E-10</v>
      </c>
      <c r="D99" s="2">
        <v>9.3165989200454296E-10</v>
      </c>
      <c r="E99" s="2">
        <v>1.29964393731611E-9</v>
      </c>
      <c r="F99" s="2">
        <v>1.0683988463869E-7</v>
      </c>
      <c r="G99" s="2">
        <v>3.04536196252342E-5</v>
      </c>
      <c r="H99" s="2">
        <v>8.6808239922409498E-3</v>
      </c>
      <c r="I99" s="2">
        <v>0.71574778416034601</v>
      </c>
      <c r="J99" s="2">
        <v>0.99862077240973401</v>
      </c>
      <c r="K99" s="2">
        <v>0.99999519594056996</v>
      </c>
    </row>
    <row r="100" spans="1:11" x14ac:dyDescent="0.25">
      <c r="A100">
        <v>9.9</v>
      </c>
      <c r="B100" s="2">
        <v>9.313225746278519E-10</v>
      </c>
      <c r="C100" s="2">
        <v>9.3132263047332906E-10</v>
      </c>
      <c r="D100" s="2">
        <v>9.3157473520095197E-10</v>
      </c>
      <c r="E100" s="2">
        <v>1.2268796677133299E-9</v>
      </c>
      <c r="F100" s="2">
        <v>9.0877488814605201E-8</v>
      </c>
      <c r="G100" s="2">
        <v>2.7373528751079599E-5</v>
      </c>
      <c r="H100" s="2">
        <v>8.2617314986980807E-3</v>
      </c>
      <c r="I100" s="2">
        <v>0.71713432050974901</v>
      </c>
      <c r="J100" s="2">
        <v>0.99870559195279096</v>
      </c>
      <c r="K100" s="2">
        <v>0.99999574028844795</v>
      </c>
    </row>
    <row r="101" spans="1:11" x14ac:dyDescent="0.25">
      <c r="A101">
        <v>10</v>
      </c>
      <c r="B101" s="2">
        <v>9.3132257462328193E-10</v>
      </c>
      <c r="C101" s="2">
        <v>9.3132261297078907E-10</v>
      </c>
      <c r="D101" s="2">
        <v>9.3151108445617403E-10</v>
      </c>
      <c r="E101" s="2">
        <v>1.1684979606803801E-9</v>
      </c>
      <c r="F101" s="2">
        <v>7.7321728366470606E-8</v>
      </c>
      <c r="G101" s="2">
        <v>2.4604702632949501E-5</v>
      </c>
      <c r="H101" s="2">
        <v>7.8624653394615499E-3</v>
      </c>
      <c r="I101" s="2">
        <v>0.71850611789430197</v>
      </c>
      <c r="J101" s="2">
        <v>0.99878511229052802</v>
      </c>
      <c r="K101" s="2">
        <v>0.99999622258711396</v>
      </c>
    </row>
    <row r="102" spans="1:11" x14ac:dyDescent="0.25">
      <c r="A102">
        <v>10.1</v>
      </c>
      <c r="B102" s="2">
        <v>9.3132257462040107E-10</v>
      </c>
      <c r="C102" s="2">
        <v>9.3132260095359992E-10</v>
      </c>
      <c r="D102" s="2">
        <v>9.3146350638544109E-10</v>
      </c>
      <c r="E102" s="2">
        <v>1.1216543851587601E-9</v>
      </c>
      <c r="F102" s="2">
        <v>6.5809624926162796E-8</v>
      </c>
      <c r="G102" s="2">
        <v>2.2115717250362399E-5</v>
      </c>
      <c r="H102" s="2">
        <v>7.4821185287510502E-3</v>
      </c>
      <c r="I102" s="2">
        <v>0.71986343001600295</v>
      </c>
      <c r="J102" s="2">
        <v>0.99885967048650703</v>
      </c>
      <c r="K102" s="2">
        <v>0.99999664995474902</v>
      </c>
    </row>
    <row r="103" spans="1:11" x14ac:dyDescent="0.25">
      <c r="A103">
        <v>10.199999999999999</v>
      </c>
      <c r="B103" s="2">
        <v>9.3132257461858292E-10</v>
      </c>
      <c r="C103" s="2">
        <v>9.3132259270228099E-10</v>
      </c>
      <c r="D103" s="2">
        <v>9.3142794087341203E-10</v>
      </c>
      <c r="E103" s="2">
        <v>1.0840673829702499E-9</v>
      </c>
      <c r="F103" s="2">
        <v>5.6032967640221802E-8</v>
      </c>
      <c r="G103" s="2">
        <v>1.9878317292021099E-5</v>
      </c>
      <c r="H103" s="2">
        <v>7.1198231628917001E-3</v>
      </c>
      <c r="I103" s="2">
        <v>0.72120650720799295</v>
      </c>
      <c r="J103" s="2">
        <v>0.99892958175395197</v>
      </c>
      <c r="K103" s="2">
        <v>0.99999702868722296</v>
      </c>
    </row>
    <row r="104" spans="1:11" x14ac:dyDescent="0.25">
      <c r="A104">
        <v>10.3</v>
      </c>
      <c r="B104" s="2">
        <v>9.3132257461743707E-10</v>
      </c>
      <c r="C104" s="2">
        <v>9.3132258703646995E-10</v>
      </c>
      <c r="D104" s="2">
        <v>9.3140135383850901E-10</v>
      </c>
      <c r="E104" s="2">
        <v>1.0539068147429099E-9</v>
      </c>
      <c r="F104" s="2">
        <v>4.7730046113517198E-8</v>
      </c>
      <c r="G104" s="2">
        <v>1.78670970770204E-5</v>
      </c>
      <c r="H104" s="2">
        <v>6.7747489269753504E-3</v>
      </c>
      <c r="I104" s="2">
        <v>0.72253559627081598</v>
      </c>
      <c r="J104" s="2">
        <v>0.99899514089693198</v>
      </c>
      <c r="K104" s="2">
        <v>0.99999736435380404</v>
      </c>
    </row>
    <row r="105" spans="1:11" x14ac:dyDescent="0.25">
      <c r="A105">
        <v>10.4</v>
      </c>
      <c r="B105" s="2">
        <v>9.3132257461671391E-10</v>
      </c>
      <c r="C105" s="2">
        <v>9.3132258314584807E-10</v>
      </c>
      <c r="D105" s="2">
        <v>9.3138147783553709E-10</v>
      </c>
      <c r="E105" s="2">
        <v>1.0297045892926401E-9</v>
      </c>
      <c r="F105" s="2">
        <v>4.0678631821002898E-8</v>
      </c>
      <c r="G105" s="2">
        <v>1.6059213552771298E-5</v>
      </c>
      <c r="H105" s="2">
        <v>6.4461016431445898E-3</v>
      </c>
      <c r="I105" s="2">
        <v>0.72385094033133002</v>
      </c>
      <c r="J105" s="2">
        <v>0.99905662365554404</v>
      </c>
      <c r="K105" s="2">
        <v>0.99999766188164796</v>
      </c>
    </row>
    <row r="106" spans="1:11" x14ac:dyDescent="0.25">
      <c r="A106">
        <v>10.5</v>
      </c>
      <c r="B106" s="2">
        <v>9.3132257461625793E-10</v>
      </c>
      <c r="C106" s="2">
        <v>9.3132258047411094E-10</v>
      </c>
      <c r="D106" s="2">
        <v>9.3136661826645205E-10</v>
      </c>
      <c r="E106" s="2">
        <v>1.01028299783665E-9</v>
      </c>
      <c r="F106" s="2">
        <v>3.4690019356103799E-8</v>
      </c>
      <c r="G106" s="2">
        <v>1.4434128151536899E-5</v>
      </c>
      <c r="H106" s="2">
        <v>6.1331218606695001E-3</v>
      </c>
      <c r="I106" s="2">
        <v>0.72515277872274597</v>
      </c>
      <c r="J106" s="2">
        <v>0.999114287961411</v>
      </c>
      <c r="K106" s="2">
        <v>0.99999792563037904</v>
      </c>
    </row>
    <row r="107" spans="1:11" x14ac:dyDescent="0.25">
      <c r="A107">
        <v>10.6</v>
      </c>
      <c r="B107" s="2">
        <v>9.3132257461597007E-10</v>
      </c>
      <c r="C107" s="2">
        <v>9.3132257863932301E-10</v>
      </c>
      <c r="D107" s="2">
        <v>9.3135550859784907E-10</v>
      </c>
      <c r="E107" s="2">
        <v>9.946972432163301E-10</v>
      </c>
      <c r="F107" s="2">
        <v>2.9603967399036399E-8</v>
      </c>
      <c r="G107" s="2">
        <v>1.2973374609508399E-5</v>
      </c>
      <c r="H107" s="2">
        <v>5.8350834878425498E-3</v>
      </c>
      <c r="I107" s="2">
        <v>0.72644134688412598</v>
      </c>
      <c r="J107" s="2">
        <v>0.99916837510946799</v>
      </c>
      <c r="K107" s="2">
        <v>0.99999815945794301</v>
      </c>
    </row>
    <row r="108" spans="1:11" x14ac:dyDescent="0.25">
      <c r="A108">
        <v>10.7</v>
      </c>
      <c r="B108" s="2">
        <v>9.3132257461578892E-10</v>
      </c>
      <c r="C108" s="2">
        <v>9.3132257737925293E-10</v>
      </c>
      <c r="D108" s="2">
        <v>9.3134720218649399E-10</v>
      </c>
      <c r="E108" s="2">
        <v>9.8218935059350508E-10</v>
      </c>
      <c r="F108" s="2">
        <v>2.5284403490372099E-8</v>
      </c>
      <c r="G108" s="2">
        <v>1.16603501422615E-5</v>
      </c>
      <c r="H108" s="2">
        <v>5.5512924655817799E-3</v>
      </c>
      <c r="I108" s="2">
        <v>0.72771687627791404</v>
      </c>
      <c r="J108" s="2">
        <v>0.99921911085158099</v>
      </c>
      <c r="K108" s="2">
        <v>0.99999836677875598</v>
      </c>
    </row>
    <row r="109" spans="1:11" x14ac:dyDescent="0.25">
      <c r="A109">
        <v>10.8</v>
      </c>
      <c r="B109" s="2">
        <v>1.8626451492311502E-9</v>
      </c>
      <c r="C109" s="2">
        <v>1.86264515112937E-9</v>
      </c>
      <c r="D109" s="2">
        <v>1.86266356699179E-9</v>
      </c>
      <c r="E109" s="2">
        <v>1.90347514051659E-9</v>
      </c>
      <c r="F109" s="2">
        <v>2.2547242769442901E-8</v>
      </c>
      <c r="G109" s="2">
        <v>1.04810753312123E-5</v>
      </c>
      <c r="H109" s="2">
        <v>5.2810879857993296E-3</v>
      </c>
      <c r="I109" s="2">
        <v>0.72897959465241602</v>
      </c>
      <c r="J109" s="2">
        <v>0.99926670538427498</v>
      </c>
      <c r="K109" s="2">
        <v>0.99999854968330404</v>
      </c>
    </row>
    <row r="110" spans="1:11" x14ac:dyDescent="0.25">
      <c r="A110">
        <v>10.9</v>
      </c>
      <c r="B110" s="2">
        <v>1.8626451492310799E-9</v>
      </c>
      <c r="C110" s="2">
        <v>1.86264515053498E-9</v>
      </c>
      <c r="D110" s="2">
        <v>1.8626589228547901E-9</v>
      </c>
      <c r="E110" s="2">
        <v>1.8954186674381002E-9</v>
      </c>
      <c r="F110" s="2">
        <v>1.9431416698268498E-8</v>
      </c>
      <c r="G110" s="2">
        <v>9.4202335111159996E-6</v>
      </c>
      <c r="H110" s="2">
        <v>5.0238312025189698E-3</v>
      </c>
      <c r="I110" s="2">
        <v>0.73022972470324099</v>
      </c>
      <c r="J110" s="2">
        <v>0.99931135843858299</v>
      </c>
      <c r="K110" s="2">
        <v>0.99999871271059504</v>
      </c>
    </row>
    <row r="111" spans="1:11" x14ac:dyDescent="0.25">
      <c r="A111">
        <v>11</v>
      </c>
      <c r="B111" s="2">
        <v>1.8626451492310298E-9</v>
      </c>
      <c r="C111" s="2">
        <v>1.86264515012672E-9</v>
      </c>
      <c r="D111" s="2">
        <v>1.8626554501371102E-9</v>
      </c>
      <c r="E111" s="2">
        <v>1.88895259340915E-9</v>
      </c>
      <c r="F111" s="2">
        <v>1.67850770468855E-8</v>
      </c>
      <c r="G111" s="2">
        <v>8.4667078164393392E-6</v>
      </c>
      <c r="H111" s="2">
        <v>4.7789191454251801E-3</v>
      </c>
      <c r="I111" s="2">
        <v>0.73146748592969502</v>
      </c>
      <c r="J111" s="2">
        <v>0.99935325395485197</v>
      </c>
      <c r="K111" s="2">
        <v>0.99999885729753102</v>
      </c>
    </row>
    <row r="112" spans="1:11" x14ac:dyDescent="0.25">
      <c r="A112">
        <v>11.1</v>
      </c>
      <c r="B112" s="2">
        <v>1.86264514923101E-9</v>
      </c>
      <c r="C112" s="2">
        <v>1.8626451498463E-9</v>
      </c>
      <c r="D112" s="2">
        <v>1.8626528532658601E-9</v>
      </c>
      <c r="E112" s="2">
        <v>1.8837628139375799E-9</v>
      </c>
      <c r="F112" s="2">
        <v>1.4537460573995501E-8</v>
      </c>
      <c r="G112" s="2">
        <v>7.6096509495303697E-6</v>
      </c>
      <c r="H112" s="2">
        <v>4.5457734459143397E-3</v>
      </c>
      <c r="I112" s="2">
        <v>0.73269309337530297</v>
      </c>
      <c r="J112" s="2">
        <v>0.99939256506128304</v>
      </c>
      <c r="K112" s="2">
        <v>0.99999898554150601</v>
      </c>
    </row>
    <row r="113" spans="1:11" x14ac:dyDescent="0.25">
      <c r="A113">
        <v>11.2</v>
      </c>
      <c r="B113" s="2">
        <v>1.8626451492309901E-9</v>
      </c>
      <c r="C113" s="2">
        <v>1.8626451496536798E-9</v>
      </c>
      <c r="D113" s="2">
        <v>1.8626509112731502E-9</v>
      </c>
      <c r="E113" s="2">
        <v>1.87959729169028E-9</v>
      </c>
      <c r="F113" s="2">
        <v>1.26284734301856E-8</v>
      </c>
      <c r="G113" s="2">
        <v>6.8393109804679098E-6</v>
      </c>
      <c r="H113" s="2">
        <v>4.3238417501086802E-3</v>
      </c>
      <c r="I113" s="2">
        <v>0.73390675791784798</v>
      </c>
      <c r="J113" s="2">
        <v>0.99942945380981296</v>
      </c>
      <c r="K113" s="2">
        <v>0.99999909929988795</v>
      </c>
    </row>
    <row r="114" spans="1:11" x14ac:dyDescent="0.25">
      <c r="A114">
        <v>11.3</v>
      </c>
      <c r="B114" s="2">
        <v>1.8626451492309802E-9</v>
      </c>
      <c r="C114" s="2">
        <v>1.8626451495213698E-9</v>
      </c>
      <c r="D114" s="2">
        <v>1.8626494589583298E-9</v>
      </c>
      <c r="E114" s="2">
        <v>1.8762537854031399E-9</v>
      </c>
      <c r="F114" s="2">
        <v>1.10070818751956E-8</v>
      </c>
      <c r="G114" s="2">
        <v>6.1469208610270904E-6</v>
      </c>
      <c r="H114" s="2">
        <v>4.1125966345327601E-3</v>
      </c>
      <c r="I114" s="2">
        <v>0.73510868626777104</v>
      </c>
      <c r="J114" s="2">
        <v>0.999464071899132</v>
      </c>
      <c r="K114" s="2">
        <v>0.99999920021767297</v>
      </c>
    </row>
    <row r="115" spans="1:11" x14ac:dyDescent="0.25">
      <c r="A115">
        <v>11.4</v>
      </c>
      <c r="B115" s="2">
        <v>1.8626451492309699E-9</v>
      </c>
      <c r="C115" s="2">
        <v>1.8626451494304701E-9</v>
      </c>
      <c r="D115" s="2">
        <v>1.8626483728085999E-9</v>
      </c>
      <c r="E115" s="2">
        <v>1.8735700062544199E-9</v>
      </c>
      <c r="F115" s="2">
        <v>9.6299458238814307E-9</v>
      </c>
      <c r="G115" s="2">
        <v>5.52459906815751E-6</v>
      </c>
      <c r="H115" s="2">
        <v>3.9115345600229997E-3</v>
      </c>
      <c r="I115" s="2">
        <v>0.73629908097623697</v>
      </c>
      <c r="J115" s="2">
        <v>0.99949656134960996</v>
      </c>
      <c r="K115" s="2">
        <v>0.99999928975193297</v>
      </c>
    </row>
    <row r="116" spans="1:11" x14ac:dyDescent="0.25">
      <c r="A116">
        <v>11.5</v>
      </c>
      <c r="B116" s="2">
        <v>1.8626451492309599E-9</v>
      </c>
      <c r="C116" s="2">
        <v>1.86264514936803E-9</v>
      </c>
      <c r="D116" s="2">
        <v>1.8626475604754699E-9</v>
      </c>
      <c r="E116" s="2">
        <v>1.8714157212098299E-9</v>
      </c>
      <c r="F116" s="2">
        <v>8.4602585638522807E-9</v>
      </c>
      <c r="G116" s="2">
        <v>4.9652602576381003E-6</v>
      </c>
      <c r="H116" s="2">
        <v>3.7201748631108E-3</v>
      </c>
      <c r="I116" s="2">
        <v>0.73747814045186</v>
      </c>
      <c r="J116" s="2">
        <v>0.99952705513337603</v>
      </c>
      <c r="K116" s="2">
        <v>0.99999936919342303</v>
      </c>
    </row>
    <row r="117" spans="1:11" x14ac:dyDescent="0.25">
      <c r="A117">
        <v>11.6</v>
      </c>
      <c r="B117" s="2">
        <v>1.8626451492309599E-9</v>
      </c>
      <c r="C117" s="2">
        <v>1.8626451493251398E-9</v>
      </c>
      <c r="D117" s="2">
        <v>1.8626469529087999E-9</v>
      </c>
      <c r="E117" s="2">
        <v>1.8696864180174699E-9</v>
      </c>
      <c r="F117" s="2">
        <v>7.4667615240383401E-9</v>
      </c>
      <c r="G117" s="2">
        <v>4.4625349209431099E-6</v>
      </c>
      <c r="H117" s="2">
        <v>3.53805878407841E-3</v>
      </c>
      <c r="I117" s="2">
        <v>0.73864605898527103</v>
      </c>
      <c r="J117" s="2">
        <v>0.99955567776256404</v>
      </c>
      <c r="K117" s="2">
        <v>0.99999943968569305</v>
      </c>
    </row>
    <row r="118" spans="1:11" x14ac:dyDescent="0.25">
      <c r="A118">
        <v>11.7</v>
      </c>
      <c r="B118" s="2">
        <v>1.8626451492309599E-9</v>
      </c>
      <c r="C118" s="2">
        <v>1.8626451492956699E-9</v>
      </c>
      <c r="D118" s="2">
        <v>1.8626464984768802E-9</v>
      </c>
      <c r="E118" s="2">
        <v>1.86829822283724E-9</v>
      </c>
      <c r="F118" s="2">
        <v>6.6229076731696502E-9</v>
      </c>
      <c r="G118" s="2">
        <v>4.0106971394554897E-6</v>
      </c>
      <c r="H118" s="2">
        <v>3.36474853085175E-3</v>
      </c>
      <c r="I118" s="2">
        <v>0.73980302678066101</v>
      </c>
      <c r="J118" s="2">
        <v>0.999582545838541</v>
      </c>
      <c r="K118" s="2">
        <v>0.99999950224198197</v>
      </c>
    </row>
    <row r="119" spans="1:11" x14ac:dyDescent="0.25">
      <c r="A119">
        <v>11.8</v>
      </c>
      <c r="B119" s="2">
        <v>1.8626451492309599E-9</v>
      </c>
      <c r="C119" s="2">
        <v>1.8626451492754201E-9</v>
      </c>
      <c r="D119" s="2">
        <v>1.8626461585710499E-9</v>
      </c>
      <c r="E119" s="2">
        <v>1.8671838226748699E-9</v>
      </c>
      <c r="F119" s="2">
        <v>5.9061511167885696E-9</v>
      </c>
      <c r="G119" s="2">
        <v>3.60459962114865E-6</v>
      </c>
      <c r="H119" s="2">
        <v>3.1998263778689499E-3</v>
      </c>
      <c r="I119" s="2">
        <v>0.74094922999364998</v>
      </c>
      <c r="J119" s="2">
        <v>0.99960776856475597</v>
      </c>
      <c r="K119" s="2">
        <v>0.99999955776016203</v>
      </c>
    </row>
    <row r="120" spans="1:11" x14ac:dyDescent="0.25">
      <c r="A120">
        <v>11.9</v>
      </c>
      <c r="B120" s="2">
        <v>1.8626451492309599E-9</v>
      </c>
      <c r="C120" s="2">
        <v>1.8626451492615102E-9</v>
      </c>
      <c r="D120" s="2">
        <v>1.8626459043198001E-9</v>
      </c>
      <c r="E120" s="2">
        <v>1.8662891938533701E-9</v>
      </c>
      <c r="F120" s="2">
        <v>5.2973438483146102E-9</v>
      </c>
      <c r="G120" s="2">
        <v>3.2396152867168301E-6</v>
      </c>
      <c r="H120" s="2">
        <v>3.0428937990407698E-3</v>
      </c>
      <c r="I120" s="2">
        <v>0.74208485077466702</v>
      </c>
      <c r="J120" s="2">
        <v>0.99963144822565198</v>
      </c>
      <c r="K120" s="2">
        <v>0.99999960703595703</v>
      </c>
    </row>
    <row r="121" spans="1:11" x14ac:dyDescent="0.25">
      <c r="A121">
        <v>12</v>
      </c>
      <c r="B121" s="2">
        <v>1.8626451492309599E-9</v>
      </c>
      <c r="C121" s="2">
        <v>1.86264514925195E-9</v>
      </c>
      <c r="D121" s="2">
        <v>1.86264571413224E-9</v>
      </c>
      <c r="E121" s="2">
        <v>1.8655709770978402E-9</v>
      </c>
      <c r="F121" s="2">
        <v>4.7802234849494204E-9</v>
      </c>
      <c r="G121" s="2">
        <v>2.9115847457913302E-6</v>
      </c>
      <c r="H121" s="2">
        <v>2.8935706339015799E-3</v>
      </c>
      <c r="I121" s="2">
        <v>0.74321006731726302</v>
      </c>
      <c r="J121" s="2">
        <v>0.99965368063391902</v>
      </c>
      <c r="K121" s="2">
        <v>0.99999965077463404</v>
      </c>
    </row>
    <row r="122" spans="1:11" x14ac:dyDescent="0.25">
      <c r="A122">
        <v>12.1</v>
      </c>
      <c r="B122" s="2">
        <v>1.8626451492309599E-9</v>
      </c>
      <c r="C122" s="2">
        <v>1.8626451492453802E-9</v>
      </c>
      <c r="D122" s="2">
        <v>1.86264557186155E-9</v>
      </c>
      <c r="E122" s="2">
        <v>1.86499437136061E-9</v>
      </c>
      <c r="F122" s="2">
        <v>4.3409782601671204E-9</v>
      </c>
      <c r="G122" s="2">
        <v>2.6167690701473002E-6</v>
      </c>
      <c r="H122" s="2">
        <v>2.7514942860392801E-3</v>
      </c>
      <c r="I122" s="2">
        <v>0.74432505391074799</v>
      </c>
      <c r="J122" s="2">
        <v>0.99967455554823703</v>
      </c>
      <c r="K122" s="2">
        <v>0.99999968960135099</v>
      </c>
    </row>
    <row r="123" spans="1:11" x14ac:dyDescent="0.25">
      <c r="A123">
        <v>12.2</v>
      </c>
      <c r="B123" s="2">
        <v>1.8626451492309599E-9</v>
      </c>
      <c r="C123" s="2">
        <v>1.86264514924087E-9</v>
      </c>
      <c r="D123" s="2">
        <v>1.8626454654318101E-9</v>
      </c>
      <c r="E123" s="2">
        <v>1.8645314438166099E-9</v>
      </c>
      <c r="F123" s="2">
        <v>3.96787761682549E-9</v>
      </c>
      <c r="G123" s="2">
        <v>2.3518073304313898E-6</v>
      </c>
      <c r="H123" s="2">
        <v>2.61631895288428E-3</v>
      </c>
      <c r="I123" s="2">
        <v>0.74542998099659996</v>
      </c>
      <c r="J123" s="2">
        <v>0.99969415706347098</v>
      </c>
      <c r="K123" s="2">
        <v>0.99999972407030902</v>
      </c>
    </row>
    <row r="124" spans="1:11" x14ac:dyDescent="0.25">
      <c r="A124">
        <v>12.3</v>
      </c>
      <c r="B124" s="2">
        <v>1.8626451492309599E-9</v>
      </c>
      <c r="C124" s="2">
        <v>1.8626451492377701E-9</v>
      </c>
      <c r="D124" s="2">
        <v>1.8626453858113699E-9</v>
      </c>
      <c r="E124" s="2">
        <v>1.8641597737515001E-9</v>
      </c>
      <c r="F124" s="2">
        <v>3.65095850426246E-9</v>
      </c>
      <c r="G124" s="2">
        <v>2.11367841657847E-6</v>
      </c>
      <c r="H124" s="2">
        <v>2.4877148859342498E-3</v>
      </c>
      <c r="I124" s="2">
        <v>0.74652501522808801</v>
      </c>
      <c r="J124" s="2">
        <v>0.99971256397518704</v>
      </c>
      <c r="K124" s="2">
        <v>0.99999975467285496</v>
      </c>
    </row>
    <row r="125" spans="1:11" x14ac:dyDescent="0.25">
      <c r="A125">
        <v>12.4</v>
      </c>
      <c r="B125" s="2">
        <v>1.8626451492309599E-9</v>
      </c>
      <c r="C125" s="2">
        <v>1.8626451492356401E-9</v>
      </c>
      <c r="D125" s="2">
        <v>1.8626453262451502E-9</v>
      </c>
      <c r="E125" s="2">
        <v>1.8638613643408801E-9</v>
      </c>
      <c r="F125" s="2">
        <v>3.38175897639911E-9</v>
      </c>
      <c r="G125" s="2">
        <v>1.89966671034421E-6</v>
      </c>
      <c r="H125" s="2">
        <v>2.3653676804910998E-3</v>
      </c>
      <c r="I125" s="2">
        <v>0.74761031953273005</v>
      </c>
      <c r="J125" s="2">
        <v>0.99972985012019799</v>
      </c>
      <c r="K125" s="2">
        <v>0.99999978184464899</v>
      </c>
    </row>
    <row r="126" spans="1:11" x14ac:dyDescent="0.25">
      <c r="A126">
        <v>12.5</v>
      </c>
      <c r="B126" s="2">
        <v>1.8626451492309599E-9</v>
      </c>
      <c r="C126" s="2">
        <v>1.8626451492341698E-9</v>
      </c>
      <c r="D126" s="2">
        <v>1.86264528168063E-9</v>
      </c>
      <c r="E126" s="2">
        <v>1.8636217693730402E-9</v>
      </c>
      <c r="F126" s="2">
        <v>3.1530919559909901E-9</v>
      </c>
      <c r="G126" s="2">
        <v>1.7073312217933101E-6</v>
      </c>
      <c r="H126" s="2">
        <v>2.24897759398968E-3</v>
      </c>
      <c r="I126" s="2">
        <v>0.74868605317706205</v>
      </c>
      <c r="J126" s="2">
        <v>0.999746084694769</v>
      </c>
      <c r="K126" s="2">
        <v>0.99999980597201499</v>
      </c>
    </row>
    <row r="127" spans="1:11" x14ac:dyDescent="0.25">
      <c r="A127">
        <v>12.6</v>
      </c>
      <c r="B127" s="2">
        <v>1.8626451492309599E-9</v>
      </c>
      <c r="C127" s="2">
        <v>1.8626451492331702E-9</v>
      </c>
      <c r="D127" s="2">
        <v>1.8626452483386E-9</v>
      </c>
      <c r="E127" s="2">
        <v>1.8634293924382501E-9</v>
      </c>
      <c r="F127" s="2">
        <v>2.9588531068301202E-9</v>
      </c>
      <c r="G127" s="2">
        <v>1.5344778406371E-6</v>
      </c>
      <c r="H127" s="2">
        <v>2.1382588920040302E-3</v>
      </c>
      <c r="I127" s="2">
        <v>0.74975237183336896</v>
      </c>
      <c r="J127" s="2">
        <v>0.99976133255194699</v>
      </c>
      <c r="K127" s="2">
        <v>0.99999982739755899</v>
      </c>
    </row>
    <row r="128" spans="1:11" x14ac:dyDescent="0.25">
      <c r="A128">
        <v>12.7</v>
      </c>
      <c r="B128" s="2">
        <v>1.8626451492309599E-9</v>
      </c>
      <c r="C128" s="2">
        <v>1.8626451492324799E-9</v>
      </c>
      <c r="D128" s="2">
        <v>1.8626452233921599E-9</v>
      </c>
      <c r="E128" s="2">
        <v>1.8632749245064402E-9</v>
      </c>
      <c r="F128" s="2">
        <v>2.7938576698164501E-9</v>
      </c>
      <c r="G128" s="2">
        <v>1.3791343884455199E-6</v>
      </c>
      <c r="H128" s="2">
        <v>2.0329392210243699E-3</v>
      </c>
      <c r="I128" s="2">
        <v>0.75080942764801994</v>
      </c>
      <c r="J128" s="2">
        <v>0.99977565447944505</v>
      </c>
      <c r="K128" s="2">
        <v>0.99999984642513995</v>
      </c>
    </row>
    <row r="129" spans="1:11" x14ac:dyDescent="0.25">
      <c r="A129">
        <v>12.8</v>
      </c>
      <c r="B129" s="2">
        <v>1.8626451492309599E-9</v>
      </c>
      <c r="C129" s="2">
        <v>1.8626451492320001E-9</v>
      </c>
      <c r="D129" s="2">
        <v>1.8626452047267198E-9</v>
      </c>
      <c r="E129" s="2">
        <v>1.86315089255239E-9</v>
      </c>
      <c r="F129" s="2">
        <v>2.6537018949444899E-9</v>
      </c>
      <c r="G129" s="2">
        <v>1.2395281893622701E-6</v>
      </c>
      <c r="H129" s="2">
        <v>1.9327590071088301E-3</v>
      </c>
      <c r="I129" s="2">
        <v>0.75185736931104197</v>
      </c>
      <c r="J129" s="2">
        <v>0.99978910745935601</v>
      </c>
      <c r="K129" s="2">
        <v>0.99999986332428104</v>
      </c>
    </row>
    <row r="130" spans="1:11" x14ac:dyDescent="0.25">
      <c r="A130">
        <v>12.9</v>
      </c>
      <c r="B130" s="2">
        <v>1.8626451492309599E-9</v>
      </c>
      <c r="C130" s="2">
        <v>1.8626451492316701E-9</v>
      </c>
      <c r="D130" s="2">
        <v>1.86264519076041E-9</v>
      </c>
      <c r="E130" s="2">
        <v>1.8630512972920498E-9</v>
      </c>
      <c r="F130" s="2">
        <v>2.5346453602259102E-9</v>
      </c>
      <c r="G130" s="2">
        <v>1.11406590537711E-6</v>
      </c>
      <c r="H130" s="2">
        <v>1.8374708795270099E-3</v>
      </c>
      <c r="I130" s="2">
        <v>0.75289634212665701</v>
      </c>
      <c r="J130" s="2">
        <v>0.99980174491092999</v>
      </c>
      <c r="K130" s="2">
        <v>0.999999878334068</v>
      </c>
    </row>
    <row r="131" spans="1:11" x14ac:dyDescent="0.25">
      <c r="A131">
        <v>13</v>
      </c>
      <c r="B131" s="2">
        <v>1.8626451492309599E-9</v>
      </c>
      <c r="C131" s="2">
        <v>1.86264514923145E-9</v>
      </c>
      <c r="D131" s="2">
        <v>1.86264518030989E-9</v>
      </c>
      <c r="E131" s="2">
        <v>1.86297132242895E-9</v>
      </c>
      <c r="F131" s="2">
        <v>2.4335110280856601E-9</v>
      </c>
      <c r="G131" s="2">
        <v>1.0013154077814399E-6</v>
      </c>
      <c r="H131" s="2">
        <v>1.7468391185250099E-3</v>
      </c>
      <c r="I131" s="2">
        <v>0.75392648808450102</v>
      </c>
      <c r="J131" s="2">
        <v>0.99981361691752302</v>
      </c>
      <c r="K131" s="2">
        <v>0.99999989166660297</v>
      </c>
    </row>
    <row r="132" spans="1:11" x14ac:dyDescent="0.25">
      <c r="A132">
        <v>13.1</v>
      </c>
      <c r="B132" s="2">
        <v>1.8626451492309599E-9</v>
      </c>
      <c r="C132" s="2">
        <v>1.8626451492312999E-9</v>
      </c>
      <c r="D132" s="2">
        <v>1.8626451724898701E-9</v>
      </c>
      <c r="E132" s="2">
        <v>1.8629071012883202E-9</v>
      </c>
      <c r="F132" s="2">
        <v>2.3476003648439998E-9</v>
      </c>
      <c r="G132" s="2">
        <v>8.9998947943089997E-7</v>
      </c>
      <c r="H132" s="2">
        <v>1.66063912635835E-3</v>
      </c>
      <c r="I132" s="2">
        <v>0.75494794593126502</v>
      </c>
      <c r="J132" s="2">
        <v>0.99982477043878704</v>
      </c>
      <c r="K132" s="2">
        <v>0.99999990351007095</v>
      </c>
    </row>
    <row r="133" spans="1:11" x14ac:dyDescent="0.25">
      <c r="A133">
        <v>13.2</v>
      </c>
      <c r="B133" s="2">
        <v>1.8626451492309599E-9</v>
      </c>
      <c r="C133" s="2">
        <v>1.8626451492311899E-9</v>
      </c>
      <c r="D133" s="2">
        <v>1.8626451666380598E-9</v>
      </c>
      <c r="E133" s="2">
        <v>1.8628555295065901E-9</v>
      </c>
      <c r="F133" s="2">
        <v>2.2746212522810901E-9</v>
      </c>
      <c r="G133" s="2">
        <v>8.0893116312746699E-7</v>
      </c>
      <c r="H133" s="2">
        <v>1.5786569207549E-3</v>
      </c>
      <c r="I133" s="2">
        <v>0.75596085124255796</v>
      </c>
      <c r="J133" s="2">
        <v>0.99983524950908098</v>
      </c>
      <c r="K133" s="2">
        <v>0.99999991403144295</v>
      </c>
    </row>
    <row r="134" spans="1:11" x14ac:dyDescent="0.25">
      <c r="A134">
        <v>13.3</v>
      </c>
      <c r="B134" s="2">
        <v>1.8626451492309599E-9</v>
      </c>
      <c r="C134" s="2">
        <v>1.86264514923112E-9</v>
      </c>
      <c r="D134" s="2">
        <v>1.8626451622589301E-9</v>
      </c>
      <c r="E134" s="2">
        <v>1.8628141146830202E-9</v>
      </c>
      <c r="F134" s="2">
        <v>2.2126267627959202E-9</v>
      </c>
      <c r="G134" s="2">
        <v>7.2710059003897105E-7</v>
      </c>
      <c r="H134" s="2">
        <v>1.50068864998862E-3</v>
      </c>
      <c r="I134" s="2">
        <v>0.75696533649473396</v>
      </c>
      <c r="J134" s="2">
        <v>0.99984509542301203</v>
      </c>
      <c r="K134" s="2">
        <v>0.99999992337888899</v>
      </c>
    </row>
    <row r="135" spans="1:11" x14ac:dyDescent="0.25">
      <c r="A135">
        <v>13.4</v>
      </c>
      <c r="B135" s="2">
        <v>1.8626451492309599E-9</v>
      </c>
      <c r="C135" s="2">
        <v>1.8626451492310699E-9</v>
      </c>
      <c r="D135" s="2">
        <v>1.8626451589817799E-9</v>
      </c>
      <c r="E135" s="2">
        <v>1.8627808556965E-9</v>
      </c>
      <c r="F135" s="2">
        <v>2.15996316050814E-9</v>
      </c>
      <c r="G135" s="2">
        <v>6.5356313880942605E-7</v>
      </c>
      <c r="H135" s="2">
        <v>1.4265401287622301E-3</v>
      </c>
      <c r="I135" s="2">
        <v>0.75796153113658304</v>
      </c>
      <c r="J135" s="2">
        <v>0.99985434690896002</v>
      </c>
      <c r="K135" s="2">
        <v>0.999999931683896</v>
      </c>
    </row>
    <row r="136" spans="1:11" x14ac:dyDescent="0.25">
      <c r="A136">
        <v>13.5</v>
      </c>
      <c r="B136" s="2">
        <v>1.8626451492309599E-9</v>
      </c>
      <c r="C136" s="2">
        <v>1.8626451492310298E-9</v>
      </c>
      <c r="D136" s="2">
        <v>1.86264515652922E-9</v>
      </c>
      <c r="E136" s="2">
        <v>1.86275414583154E-9</v>
      </c>
      <c r="F136" s="2">
        <v>2.1152257376092499E-9</v>
      </c>
      <c r="G136" s="2">
        <v>5.8747879106473505E-7</v>
      </c>
      <c r="H136" s="2">
        <v>1.3560263941170599E-3</v>
      </c>
      <c r="I136" s="2">
        <v>0.75894956166063898</v>
      </c>
      <c r="J136" s="2">
        <v>0.99986304029139095</v>
      </c>
      <c r="K136" s="2">
        <v>0.99999993906316198</v>
      </c>
    </row>
    <row r="137" spans="1:11" x14ac:dyDescent="0.25">
      <c r="A137">
        <v>13.6</v>
      </c>
      <c r="B137" s="2">
        <v>1.8626451492309599E-9</v>
      </c>
      <c r="C137" s="2">
        <v>1.86264514923101E-9</v>
      </c>
      <c r="D137" s="2">
        <v>1.8626451546937198E-9</v>
      </c>
      <c r="E137" s="2">
        <v>1.8627326950144202E-9</v>
      </c>
      <c r="F137" s="2">
        <v>2.0772213049716599E-9</v>
      </c>
      <c r="G137" s="2">
        <v>5.2809256255471795E-7</v>
      </c>
      <c r="H137" s="2">
        <v>1.28897128060811E-3</v>
      </c>
      <c r="I137" s="2">
        <v>0.75992955167399001</v>
      </c>
      <c r="J137" s="2">
        <v>0.99987120964268705</v>
      </c>
      <c r="K137" s="2">
        <v>0.99999994562026595</v>
      </c>
    </row>
    <row r="138" spans="1:11" x14ac:dyDescent="0.25">
      <c r="A138">
        <v>13.7</v>
      </c>
      <c r="B138" s="2">
        <v>1.8626451492309599E-9</v>
      </c>
      <c r="C138" s="2">
        <v>1.8626451492309901E-9</v>
      </c>
      <c r="D138" s="2">
        <v>1.8626451533199701E-9</v>
      </c>
      <c r="E138" s="2">
        <v>1.86271546738783E-9</v>
      </c>
      <c r="F138" s="2">
        <v>2.0449363340934999E-9</v>
      </c>
      <c r="G138" s="2">
        <v>4.7472590134684E-7</v>
      </c>
      <c r="H138" s="2">
        <v>1.2252070140017701E-3</v>
      </c>
      <c r="I138" s="2">
        <v>0.76090162196850497</v>
      </c>
      <c r="J138" s="2">
        <v>0.999878886925194</v>
      </c>
      <c r="K138" s="2">
        <v>0.99999995144714904</v>
      </c>
    </row>
    <row r="139" spans="1:11" x14ac:dyDescent="0.25">
      <c r="A139">
        <v>13.8</v>
      </c>
      <c r="B139" s="2">
        <v>1.8626451492309599E-9</v>
      </c>
      <c r="C139" s="2">
        <v>1.8626451492309802E-9</v>
      </c>
      <c r="D139" s="2">
        <v>1.8626451522917999E-9</v>
      </c>
      <c r="E139" s="2">
        <v>1.8627016311974401E-9</v>
      </c>
      <c r="F139" s="2">
        <v>2.01750989866707E-9</v>
      </c>
      <c r="G139" s="2">
        <v>4.2676895543552202E-7</v>
      </c>
      <c r="H139" s="2">
        <v>1.1645738227752599E-3</v>
      </c>
      <c r="I139" s="2">
        <v>0.761865890590259</v>
      </c>
      <c r="J139" s="2">
        <v>0.99988610212413398</v>
      </c>
      <c r="K139" s="2">
        <v>0.99999995662542596</v>
      </c>
    </row>
    <row r="140" spans="1:11" x14ac:dyDescent="0.25">
      <c r="A140">
        <v>13.9</v>
      </c>
      <c r="B140" s="2">
        <v>1.8626451492309599E-9</v>
      </c>
      <c r="C140" s="2">
        <v>1.8626451492309699E-9</v>
      </c>
      <c r="D140" s="2">
        <v>1.86264515152223E-9</v>
      </c>
      <c r="E140" s="2">
        <v>1.8626905185610698E-9</v>
      </c>
      <c r="F140" s="2">
        <v>1.9942106924624698E-9</v>
      </c>
      <c r="G140" s="2">
        <v>3.8367362197682899E-7</v>
      </c>
      <c r="H140" s="2">
        <v>1.10691956671666E-3</v>
      </c>
      <c r="I140" s="2">
        <v>0.76282247290816196</v>
      </c>
      <c r="J140" s="2">
        <v>0.99989288337196702</v>
      </c>
      <c r="K140" s="2">
        <v>0.99999996122755597</v>
      </c>
    </row>
    <row r="141" spans="1:11" x14ac:dyDescent="0.25">
      <c r="A141">
        <v>14</v>
      </c>
      <c r="B141" s="2">
        <v>1.8626451492309599E-9</v>
      </c>
      <c r="C141" s="2">
        <v>1.8626451492309699E-9</v>
      </c>
      <c r="D141" s="2">
        <v>1.8626451509462099E-9</v>
      </c>
      <c r="E141" s="2">
        <v>1.8626815931708801E-9</v>
      </c>
      <c r="F141" s="2">
        <v>1.9744175092569198E-9</v>
      </c>
      <c r="G141" s="2">
        <v>3.4494729921336598E-7</v>
      </c>
      <c r="H141" s="2">
        <v>1.0520993819454301E-3</v>
      </c>
      <c r="I141" s="2">
        <v>0.76377148168162801</v>
      </c>
      <c r="J141" s="2">
        <v>0.999899257064784</v>
      </c>
      <c r="K141" s="2">
        <v>0.99999996531786906</v>
      </c>
    </row>
    <row r="142" spans="1:11" x14ac:dyDescent="0.25">
      <c r="A142">
        <v>14.1</v>
      </c>
      <c r="B142" s="2">
        <v>1.8626451492309599E-9</v>
      </c>
      <c r="C142" s="2">
        <v>1.8626451492309699E-9</v>
      </c>
      <c r="D142" s="2">
        <v>1.8626451505150499E-9</v>
      </c>
      <c r="E142" s="2">
        <v>1.8626744243635601E-9</v>
      </c>
      <c r="F142" s="2">
        <v>1.9576026631351202E-9</v>
      </c>
      <c r="G142" s="2">
        <v>3.1014727011649001E-7</v>
      </c>
      <c r="H142" s="2">
        <v>9.9997534169462892E-4</v>
      </c>
      <c r="I142" s="2">
        <v>0.76471302712724198</v>
      </c>
      <c r="J142" s="2">
        <v>0.99990524797124503</v>
      </c>
      <c r="K142" s="2">
        <v>0.99999996895348398</v>
      </c>
    </row>
    <row r="143" spans="1:11" x14ac:dyDescent="0.25">
      <c r="A143">
        <v>14.2</v>
      </c>
      <c r="B143" s="2">
        <v>1.8626451492309599E-9</v>
      </c>
      <c r="C143" s="2">
        <v>1.8626451492309599E-9</v>
      </c>
      <c r="D143" s="2">
        <v>1.8626451501923001E-9</v>
      </c>
      <c r="E143" s="2">
        <v>1.8626686663024301E-9</v>
      </c>
      <c r="F143" s="2">
        <v>1.9433179061188101E-9</v>
      </c>
      <c r="G143" s="2">
        <v>2.7887565393385602E-7</v>
      </c>
      <c r="H143" s="2">
        <v>9.5041613221602203E-4</v>
      </c>
      <c r="I143" s="2">
        <v>0.765647216984358</v>
      </c>
      <c r="J143" s="2">
        <v>0.99991087933454503</v>
      </c>
      <c r="K143" s="2">
        <v>0.99999997218512304</v>
      </c>
    </row>
    <row r="144" spans="1:11" x14ac:dyDescent="0.25">
      <c r="A144">
        <v>14.3</v>
      </c>
      <c r="B144" s="2">
        <v>1.8626451492309599E-9</v>
      </c>
      <c r="C144" s="2">
        <v>1.8626451492309599E-9</v>
      </c>
      <c r="D144" s="2">
        <v>1.8626451499507001E-9</v>
      </c>
      <c r="E144" s="2">
        <v>1.8626640412634899E-9</v>
      </c>
      <c r="F144" s="2">
        <v>1.9311824668597399E-9</v>
      </c>
      <c r="G144" s="2">
        <v>2.5077486826888901E-7</v>
      </c>
      <c r="H144" s="2">
        <v>9.0329674319045996E-4</v>
      </c>
      <c r="I144" s="2">
        <v>0.76657415657953298</v>
      </c>
      <c r="J144" s="2">
        <v>0.99991617296787005</v>
      </c>
      <c r="K144" s="2">
        <v>0.99999997505782501</v>
      </c>
    </row>
    <row r="145" spans="1:11" x14ac:dyDescent="0.25">
      <c r="A145">
        <v>14.4</v>
      </c>
      <c r="B145" s="2">
        <v>1.8626451492309599E-9</v>
      </c>
      <c r="C145" s="2">
        <v>1.8626451492309599E-9</v>
      </c>
      <c r="D145" s="2">
        <v>1.86264514976984E-9</v>
      </c>
      <c r="E145" s="2">
        <v>1.8626603262158099E-9</v>
      </c>
      <c r="F145" s="2">
        <v>1.9208728908383298E-9</v>
      </c>
      <c r="G145" s="2">
        <v>2.2552355010930101E-7</v>
      </c>
      <c r="H145" s="2">
        <v>8.5849817204614899E-4</v>
      </c>
      <c r="I145" s="2">
        <v>0.76749394888982203</v>
      </c>
      <c r="J145" s="2">
        <v>0.99992114934377296</v>
      </c>
      <c r="K145" s="2">
        <v>0.99999997761159098</v>
      </c>
    </row>
    <row r="146" spans="1:11" x14ac:dyDescent="0.25">
      <c r="A146">
        <v>14.5</v>
      </c>
      <c r="B146" s="2">
        <v>1.8626451492309599E-9</v>
      </c>
      <c r="C146" s="2">
        <v>1.8626451492309599E-9</v>
      </c>
      <c r="D146" s="2">
        <v>1.8626451496344499E-9</v>
      </c>
      <c r="E146" s="2">
        <v>1.86265734204687E-9</v>
      </c>
      <c r="F146" s="2">
        <v>1.9121144106687701E-9</v>
      </c>
      <c r="G146" s="2">
        <v>2.0283288942797401E-7</v>
      </c>
      <c r="H146" s="2">
        <v>8.1590714160774099E-4</v>
      </c>
      <c r="I146" s="2">
        <v>0.76840669460480104</v>
      </c>
      <c r="J146" s="2">
        <v>0.99992582767784699</v>
      </c>
      <c r="K146" s="2">
        <v>0.999999979881947</v>
      </c>
    </row>
    <row r="147" spans="1:11" x14ac:dyDescent="0.25">
      <c r="A147">
        <v>14.6</v>
      </c>
      <c r="B147" s="2">
        <v>1.8626451492309599E-9</v>
      </c>
      <c r="C147" s="2">
        <v>1.8626451492309599E-9</v>
      </c>
      <c r="D147" s="2">
        <v>1.8626451495330802E-9</v>
      </c>
      <c r="E147" s="2">
        <v>1.8626549449113002E-9</v>
      </c>
      <c r="F147" s="2">
        <v>1.9046736160101599E-9</v>
      </c>
      <c r="G147" s="2">
        <v>1.8244333366127601E-7</v>
      </c>
      <c r="H147" s="2">
        <v>7.7541583051856495E-4</v>
      </c>
      <c r="I147" s="2">
        <v>0.76931249218736897</v>
      </c>
      <c r="J147" s="2">
        <v>0.99993022600709502</v>
      </c>
      <c r="K147" s="2">
        <v>0.99999998190044803</v>
      </c>
    </row>
    <row r="148" spans="1:11" x14ac:dyDescent="0.25">
      <c r="A148">
        <v>14.7</v>
      </c>
      <c r="B148" s="2">
        <v>1.8626451492309599E-9</v>
      </c>
      <c r="C148" s="2">
        <v>1.8626451492309599E-9</v>
      </c>
      <c r="D148" s="2">
        <v>1.8626451494571901E-9</v>
      </c>
      <c r="E148" s="2">
        <v>1.8626530192843301E-9</v>
      </c>
      <c r="F148" s="2">
        <v>1.89835222731638E-9</v>
      </c>
      <c r="G148" s="2">
        <v>1.6412162557934799E-7</v>
      </c>
      <c r="H148" s="2">
        <v>7.3692161589911402E-4</v>
      </c>
      <c r="I148" s="2">
        <v>0.77021143793325697</v>
      </c>
      <c r="J148" s="2">
        <v>0.99993436126330904</v>
      </c>
      <c r="K148" s="2">
        <v>0.999999983695121</v>
      </c>
    </row>
    <row r="149" spans="1:11" x14ac:dyDescent="0.25">
      <c r="A149">
        <v>14.8</v>
      </c>
      <c r="B149" s="2">
        <v>1.8626451492309599E-9</v>
      </c>
      <c r="C149" s="2">
        <v>1.8626451492309599E-9</v>
      </c>
      <c r="D149" s="2">
        <v>1.8626451494003698E-9</v>
      </c>
      <c r="E149" s="2">
        <v>1.8626514723841001E-9</v>
      </c>
      <c r="F149" s="2">
        <v>1.8929818071553402E-9</v>
      </c>
      <c r="G149" s="2">
        <v>1.4765814084808601E-7</v>
      </c>
      <c r="H149" s="2">
        <v>7.0032682772265E-4</v>
      </c>
      <c r="I149" s="2">
        <v>0.77110362602922999</v>
      </c>
      <c r="J149" s="2">
        <v>0.99993824934180697</v>
      </c>
      <c r="K149" s="2">
        <v>0.99999998529086498</v>
      </c>
    </row>
    <row r="150" spans="1:11" x14ac:dyDescent="0.25">
      <c r="A150">
        <v>14.9</v>
      </c>
      <c r="B150" s="2">
        <v>1.8626451492309599E-9</v>
      </c>
      <c r="C150" s="2">
        <v>1.8626451492309599E-9</v>
      </c>
      <c r="D150" s="2">
        <v>1.86264514935783E-9</v>
      </c>
      <c r="E150" s="2">
        <v>1.8626502296926999E-9</v>
      </c>
      <c r="F150" s="2">
        <v>1.88841926788017E-9</v>
      </c>
      <c r="G150" s="2">
        <v>1.3286449498576499E-7</v>
      </c>
      <c r="H150" s="2">
        <v>6.6553851440873601E-4</v>
      </c>
      <c r="I150" s="2">
        <v>0.77198914860998002</v>
      </c>
      <c r="J150" s="2">
        <v>0.99994190516581805</v>
      </c>
      <c r="K150" s="2">
        <v>0.99999998670979895</v>
      </c>
    </row>
    <row r="151" spans="1:11" x14ac:dyDescent="0.25">
      <c r="A151">
        <v>15</v>
      </c>
      <c r="B151" s="2">
        <v>1.8626451492309599E-9</v>
      </c>
      <c r="C151" s="2">
        <v>1.8626451492309599E-9</v>
      </c>
      <c r="D151" s="2">
        <v>1.8626451493259798E-9</v>
      </c>
      <c r="E151" s="2">
        <v>1.86264923135977E-9</v>
      </c>
      <c r="F151" s="2">
        <v>1.8845430557108499E-9</v>
      </c>
      <c r="G151" s="2">
        <v>1.1957139247727199E-7</v>
      </c>
      <c r="H151" s="2">
        <v>6.32468219153567E-4</v>
      </c>
      <c r="I151" s="2">
        <v>0.77286809581369598</v>
      </c>
      <c r="J151" s="2">
        <v>0.99994534274679403</v>
      </c>
      <c r="K151" s="2">
        <v>0.99999998797157397</v>
      </c>
    </row>
    <row r="152" spans="1:11" x14ac:dyDescent="0.25">
      <c r="A152">
        <v>15.1</v>
      </c>
      <c r="B152" s="2">
        <v>1.8626451492309599E-9</v>
      </c>
      <c r="C152" s="2">
        <v>1.8626451492309599E-9</v>
      </c>
      <c r="D152" s="2">
        <v>1.8626451493021202E-9</v>
      </c>
      <c r="E152" s="2">
        <v>1.8626484293143899E-9</v>
      </c>
      <c r="F152" s="2">
        <v>1.8812499093544799E-9</v>
      </c>
      <c r="G152" s="2">
        <v>1.07626693560183E-7</v>
      </c>
      <c r="H152" s="2">
        <v>6.0103176653385703E-4</v>
      </c>
      <c r="I152" s="2">
        <v>0.77374055583630497</v>
      </c>
      <c r="J152" s="2">
        <v>0.99994857524091696</v>
      </c>
      <c r="K152" s="2">
        <v>0.99999998909364896</v>
      </c>
    </row>
    <row r="153" spans="1:11" x14ac:dyDescent="0.25">
      <c r="A153">
        <v>15.2</v>
      </c>
      <c r="B153" s="2">
        <v>1.8626451492309599E-9</v>
      </c>
      <c r="C153" s="2">
        <v>1.8626451492309599E-9</v>
      </c>
      <c r="D153" s="2">
        <v>1.8626451492842601E-9</v>
      </c>
      <c r="E153" s="2">
        <v>1.8626477849459102E-9</v>
      </c>
      <c r="F153" s="2">
        <v>1.8784521066389902E-9</v>
      </c>
      <c r="G153" s="2">
        <v>9.6893676670608806E-8</v>
      </c>
      <c r="H153" s="2">
        <v>5.7114905893892705E-4</v>
      </c>
      <c r="I153" s="2">
        <v>0.774606614984376</v>
      </c>
      <c r="J153" s="2">
        <v>0.99995161500204299</v>
      </c>
      <c r="K153" s="2">
        <v>0.99999999009153895</v>
      </c>
    </row>
    <row r="154" spans="1:11" x14ac:dyDescent="0.25">
      <c r="A154">
        <v>15.3</v>
      </c>
      <c r="B154" s="2">
        <v>1.8626451492309599E-9</v>
      </c>
      <c r="C154" s="2">
        <v>1.8626451492309599E-9</v>
      </c>
      <c r="D154" s="2">
        <v>1.8626451492708801E-9</v>
      </c>
      <c r="E154" s="2">
        <v>1.8626472672415301E-9</v>
      </c>
      <c r="F154" s="2">
        <v>1.8760751256692E-9</v>
      </c>
      <c r="G154" s="2">
        <v>8.7249476760749707E-8</v>
      </c>
      <c r="H154" s="2">
        <v>5.4274388240243795E-4</v>
      </c>
      <c r="I154" s="2">
        <v>0.77546635772670203</v>
      </c>
      <c r="J154" s="2">
        <v>0.99995447363131795</v>
      </c>
      <c r="K154" s="2">
        <v>0.99999999097902703</v>
      </c>
    </row>
    <row r="155" spans="1:11" x14ac:dyDescent="0.25">
      <c r="A155">
        <v>15.4</v>
      </c>
      <c r="B155" s="2">
        <v>1.8626451492309599E-9</v>
      </c>
      <c r="C155" s="2">
        <v>1.8626451492309599E-9</v>
      </c>
      <c r="D155" s="2">
        <v>1.86264514926087E-9</v>
      </c>
      <c r="E155" s="2">
        <v>1.8626468512906501E-9</v>
      </c>
      <c r="F155" s="2">
        <v>1.8740556580839698E-9</v>
      </c>
      <c r="G155" s="2">
        <v>7.8583681699608006E-8</v>
      </c>
      <c r="H155" s="2">
        <v>5.1574372142218798E-4</v>
      </c>
      <c r="I155" s="2">
        <v>0.77631986674457798</v>
      </c>
      <c r="J155" s="2">
        <v>0.99995716202366303</v>
      </c>
      <c r="K155" s="2">
        <v>0.99999999176836396</v>
      </c>
    </row>
    <row r="156" spans="1:11" x14ac:dyDescent="0.25">
      <c r="A156">
        <v>15.5</v>
      </c>
      <c r="B156" s="2">
        <v>1.8626451492309599E-9</v>
      </c>
      <c r="C156" s="2">
        <v>1.8626451492309599E-9</v>
      </c>
      <c r="D156" s="2">
        <v>1.86264514925336E-9</v>
      </c>
      <c r="E156" s="2">
        <v>1.86264651708377E-9</v>
      </c>
      <c r="F156" s="2">
        <v>1.8723399213954299E-9</v>
      </c>
      <c r="G156" s="2">
        <v>7.0797070766094897E-8</v>
      </c>
      <c r="H156" s="2">
        <v>4.9007958237222502E-4</v>
      </c>
      <c r="I156" s="2">
        <v>0.77716722298074703</v>
      </c>
      <c r="J156" s="2">
        <v>0.99995969041135602</v>
      </c>
      <c r="K156" s="2">
        <v>0.99999999247043503</v>
      </c>
    </row>
    <row r="157" spans="1:11" x14ac:dyDescent="0.25">
      <c r="A157">
        <v>15.6</v>
      </c>
      <c r="B157" s="2">
        <v>1.8626451492309599E-9</v>
      </c>
      <c r="C157" s="2">
        <v>1.8626451492309599E-9</v>
      </c>
      <c r="D157" s="2">
        <v>1.86264514924775E-9</v>
      </c>
      <c r="E157" s="2">
        <v>1.8626462485478199E-9</v>
      </c>
      <c r="F157" s="2">
        <v>1.87088222537676E-9</v>
      </c>
      <c r="G157" s="2">
        <v>6.3800480859850498E-8</v>
      </c>
      <c r="H157" s="2">
        <v>4.65685825127571E-4</v>
      </c>
      <c r="I157" s="2">
        <v>0.77800850568705404</v>
      </c>
      <c r="J157" s="2">
        <v>0.99996206840486901</v>
      </c>
      <c r="K157" s="2">
        <v>0.99999999309491705</v>
      </c>
    </row>
    <row r="158" spans="1:11" x14ac:dyDescent="0.25">
      <c r="A158">
        <v>15.7</v>
      </c>
      <c r="B158" s="2">
        <v>1.8626451492309599E-9</v>
      </c>
      <c r="C158" s="2">
        <v>1.8626451492309599E-9</v>
      </c>
      <c r="D158" s="2">
        <v>1.8626451492435401E-9</v>
      </c>
      <c r="E158" s="2">
        <v>1.8626460327714801E-9</v>
      </c>
      <c r="F158" s="2">
        <v>1.8696437542474502E-9</v>
      </c>
      <c r="G158" s="2">
        <v>5.7513787508252303E-8</v>
      </c>
      <c r="H158" s="2">
        <v>4.4250000253688099E-4</v>
      </c>
      <c r="I158" s="2">
        <v>0.77884379247084001</v>
      </c>
      <c r="J158" s="2">
        <v>0.99996430503115197</v>
      </c>
      <c r="K158" s="2">
        <v>0.99999999365040804</v>
      </c>
    </row>
    <row r="159" spans="1:11" x14ac:dyDescent="0.25">
      <c r="A159">
        <v>15.8</v>
      </c>
      <c r="B159" s="2">
        <v>1.8626451492309599E-9</v>
      </c>
      <c r="C159" s="2">
        <v>1.8626451492309599E-9</v>
      </c>
      <c r="D159" s="2">
        <v>1.8626451492403799E-9</v>
      </c>
      <c r="E159" s="2">
        <v>1.8626458593830301E-9</v>
      </c>
      <c r="F159" s="2">
        <v>1.8685915321655899E-9</v>
      </c>
      <c r="G159" s="2">
        <v>5.18649890542338E-8</v>
      </c>
      <c r="H159" s="2">
        <v>4.2046270739315602E-4</v>
      </c>
      <c r="I159" s="2">
        <v>0.77967315934002701</v>
      </c>
      <c r="J159" s="2">
        <v>0.99996640876952803</v>
      </c>
      <c r="K159" s="2">
        <v>0.99999999414454999</v>
      </c>
    </row>
    <row r="160" spans="1:11" x14ac:dyDescent="0.25">
      <c r="A160">
        <v>15.9</v>
      </c>
      <c r="B160" s="2">
        <v>1.8626451492309599E-9</v>
      </c>
      <c r="C160" s="2">
        <v>1.8626451492309599E-9</v>
      </c>
      <c r="D160" s="2">
        <v>1.8626451492380199E-9</v>
      </c>
      <c r="E160" s="2">
        <v>1.8626457200505899E-9</v>
      </c>
      <c r="F160" s="2">
        <v>1.8676975444297799E-9</v>
      </c>
      <c r="G160" s="2">
        <v>4.6789383583989403E-8</v>
      </c>
      <c r="H160" s="2">
        <v>3.9951742656700801E-4</v>
      </c>
      <c r="I160" s="2">
        <v>0.78049668074699996</v>
      </c>
      <c r="J160" s="2">
        <v>0.99996838758533402</v>
      </c>
      <c r="K160" s="2">
        <v>0.99999999458413902</v>
      </c>
    </row>
    <row r="161" spans="1:11" x14ac:dyDescent="0.25">
      <c r="A161">
        <v>16</v>
      </c>
      <c r="B161" s="2">
        <v>1.8626451492309599E-9</v>
      </c>
      <c r="C161" s="2">
        <v>1.8626451492309599E-9</v>
      </c>
      <c r="D161" s="2">
        <v>1.8626451492362502E-9</v>
      </c>
      <c r="E161" s="2">
        <v>1.8626456080807802E-9</v>
      </c>
      <c r="F161" s="2">
        <v>1.8669379909488801E-9</v>
      </c>
      <c r="G161" s="2">
        <v>4.2228829209272998E-8</v>
      </c>
      <c r="H161" s="2">
        <v>3.7961040198059801E-4</v>
      </c>
      <c r="I161" s="2">
        <v>0.78131442963122899</v>
      </c>
      <c r="J161" s="2">
        <v>0.99997024896147502</v>
      </c>
      <c r="K161" s="2">
        <v>0.99999999497521197</v>
      </c>
    </row>
    <row r="162" spans="1:11" x14ac:dyDescent="0.25">
      <c r="A162">
        <v>16.100000000000001</v>
      </c>
      <c r="B162" s="2">
        <v>1.8626451492309599E-9</v>
      </c>
      <c r="C162" s="2">
        <v>1.8626451492309599E-9</v>
      </c>
      <c r="D162" s="2">
        <v>1.86264514923493E-9</v>
      </c>
      <c r="E162" s="2">
        <v>1.8626455180964199E-9</v>
      </c>
      <c r="F162" s="2">
        <v>1.8662926520679699E-9</v>
      </c>
      <c r="G162" s="2">
        <v>3.8131079268154797E-8</v>
      </c>
      <c r="H162" s="2">
        <v>3.6069049811397801E-4</v>
      </c>
      <c r="I162" s="2">
        <v>0.78212647746069397</v>
      </c>
      <c r="J162" s="2">
        <v>0.99997199992800501</v>
      </c>
      <c r="K162" s="2">
        <v>0.99999999532313899</v>
      </c>
    </row>
    <row r="163" spans="1:11" x14ac:dyDescent="0.25">
      <c r="A163">
        <v>16.2</v>
      </c>
      <c r="B163" s="2">
        <v>1.8626451492309599E-9</v>
      </c>
      <c r="C163" s="2">
        <v>1.8626451492309599E-9</v>
      </c>
      <c r="D163" s="2">
        <v>1.8626451492339299E-9</v>
      </c>
      <c r="E163" s="2">
        <v>1.86264544577755E-9</v>
      </c>
      <c r="F163" s="2">
        <v>1.86574434983682E-9</v>
      </c>
      <c r="G163" s="2">
        <v>3.4449184861219901E-8</v>
      </c>
      <c r="H163" s="2">
        <v>3.4270907574818497E-4</v>
      </c>
      <c r="I163" s="2">
        <v>0.78293289427213597</v>
      </c>
      <c r="J163" s="2">
        <v>0.99997364708987102</v>
      </c>
      <c r="K163" s="2">
        <v>0.99999999563269204</v>
      </c>
    </row>
    <row r="164" spans="1:11" x14ac:dyDescent="0.25">
      <c r="A164">
        <v>16.3</v>
      </c>
      <c r="B164" s="2">
        <v>1.8626451492309599E-9</v>
      </c>
      <c r="C164" s="2">
        <v>1.8626451492309599E-9</v>
      </c>
      <c r="D164" s="2">
        <v>1.86264514923319E-9</v>
      </c>
      <c r="E164" s="2">
        <v>1.8626453876535102E-9</v>
      </c>
      <c r="F164" s="2">
        <v>1.8652784903540901E-9</v>
      </c>
      <c r="G164" s="2">
        <v>3.1140957907191699E-8</v>
      </c>
      <c r="H164" s="2">
        <v>3.2561987166216202E-4</v>
      </c>
      <c r="I164" s="2">
        <v>0.78373374871010903</v>
      </c>
      <c r="J164" s="2">
        <v>0.999975196652927</v>
      </c>
      <c r="K164" s="2">
        <v>0.99999999590811495</v>
      </c>
    </row>
    <row r="165" spans="1:11" x14ac:dyDescent="0.25">
      <c r="A165">
        <v>16.399999999999999</v>
      </c>
      <c r="B165" s="2">
        <v>1.8626451492309599E-9</v>
      </c>
      <c r="C165" s="2">
        <v>1.8626451492309599E-9</v>
      </c>
      <c r="D165" s="2">
        <v>1.86264514923263E-9</v>
      </c>
      <c r="E165" s="2">
        <v>1.8626453409359002E-9</v>
      </c>
      <c r="F165" s="2">
        <v>1.86488267498335E-9</v>
      </c>
      <c r="G165" s="2">
        <v>2.8168488591425401E-8</v>
      </c>
      <c r="H165" s="2">
        <v>3.0937888401219598E-4</v>
      </c>
      <c r="I165" s="2">
        <v>0.78452910806494602</v>
      </c>
      <c r="J165" s="2">
        <v>0.99997665444834105</v>
      </c>
      <c r="K165" s="2">
        <v>0.99999999615318103</v>
      </c>
    </row>
    <row r="166" spans="1:11" x14ac:dyDescent="0.25">
      <c r="A166">
        <v>16.5</v>
      </c>
      <c r="B166" s="2">
        <v>1.8626451492309599E-9</v>
      </c>
      <c r="C166" s="2">
        <v>1.8626451492309599E-9</v>
      </c>
      <c r="D166" s="2">
        <v>1.8626451492322098E-9</v>
      </c>
      <c r="E166" s="2">
        <v>1.8626453033843699E-9</v>
      </c>
      <c r="F166" s="2">
        <v>1.8645463700745698E-9</v>
      </c>
      <c r="G166" s="2">
        <v>2.54977117004858E-8</v>
      </c>
      <c r="H166" s="2">
        <v>2.9394426313460799E-4</v>
      </c>
      <c r="I166" s="2">
        <v>0.78531903830956296</v>
      </c>
      <c r="J166" s="2">
        <v>0.99997802595548002</v>
      </c>
      <c r="K166" s="2">
        <v>0.99999999637124304</v>
      </c>
    </row>
    <row r="167" spans="1:11" x14ac:dyDescent="0.25">
      <c r="A167">
        <v>16.600000000000001</v>
      </c>
      <c r="B167" s="2">
        <v>1.8626451492309599E-9</v>
      </c>
      <c r="C167" s="2">
        <v>1.8626451492309599E-9</v>
      </c>
      <c r="D167" s="2">
        <v>1.8626451492319E-9</v>
      </c>
      <c r="E167" s="2">
        <v>1.86264527319889E-9</v>
      </c>
      <c r="F167" s="2">
        <v>1.8642606263851699E-9</v>
      </c>
      <c r="G167" s="2">
        <v>2.30980168931605E-8</v>
      </c>
      <c r="H167" s="2">
        <v>2.79276207523096E-4</v>
      </c>
      <c r="I167" s="2">
        <v>0.78610360413520597</v>
      </c>
      <c r="J167" s="2">
        <v>0.999979316323381</v>
      </c>
      <c r="K167" s="2">
        <v>0.99999999656528604</v>
      </c>
    </row>
    <row r="168" spans="1:11" x14ac:dyDescent="0.25">
      <c r="A168">
        <v>16.7</v>
      </c>
      <c r="B168" s="2">
        <v>1.8626451492309599E-9</v>
      </c>
      <c r="C168" s="2">
        <v>1.8626451492309599E-9</v>
      </c>
      <c r="D168" s="2">
        <v>1.8626451492316601E-9</v>
      </c>
      <c r="E168" s="2">
        <v>1.8626452489331501E-9</v>
      </c>
      <c r="F168" s="2">
        <v>1.8640178407206098E-9</v>
      </c>
      <c r="G168" s="2">
        <v>2.09418984590674E-8</v>
      </c>
      <c r="H168" s="2">
        <v>2.6533686474313498E-4</v>
      </c>
      <c r="I168" s="2">
        <v>0.78688286898610504</v>
      </c>
      <c r="J168" s="2">
        <v>0.99998053039089596</v>
      </c>
      <c r="K168" s="2">
        <v>0.99999999673796103</v>
      </c>
    </row>
    <row r="169" spans="1:11" x14ac:dyDescent="0.25">
      <c r="A169">
        <v>16.8</v>
      </c>
      <c r="B169" s="2">
        <v>1.8626451492309599E-9</v>
      </c>
      <c r="C169" s="2">
        <v>1.8626451492309599E-9</v>
      </c>
      <c r="D169" s="2">
        <v>1.8626451492314901E-9</v>
      </c>
      <c r="E169" s="2">
        <v>1.8626452294250202E-9</v>
      </c>
      <c r="F169" s="2">
        <v>1.8638115534404299E-9</v>
      </c>
      <c r="G169" s="2">
        <v>1.90046405661909E-8</v>
      </c>
      <c r="H169" s="2">
        <v>2.5209023705609498E-4</v>
      </c>
      <c r="I169" s="2">
        <v>0.78765689509312797</v>
      </c>
      <c r="J169" s="2">
        <v>0.99998167270558702</v>
      </c>
      <c r="K169" s="2">
        <v>0.999999996891627</v>
      </c>
    </row>
    <row r="170" spans="1:11" x14ac:dyDescent="0.25">
      <c r="A170">
        <v>16.899999999999999</v>
      </c>
      <c r="B170" s="2">
        <v>1.8626451492309599E-9</v>
      </c>
      <c r="C170" s="2">
        <v>1.8626451492309599E-9</v>
      </c>
      <c r="D170" s="2">
        <v>1.8626451492313499E-9</v>
      </c>
      <c r="E170" s="2">
        <v>1.86264521374066E-9</v>
      </c>
      <c r="F170" s="2">
        <v>1.8636362764319998E-9</v>
      </c>
      <c r="G170" s="2">
        <v>1.7264034403345101E-8</v>
      </c>
      <c r="H170" s="2">
        <v>2.3950209153557499E-4</v>
      </c>
      <c r="I170" s="2">
        <v>0.78842574350637196</v>
      </c>
      <c r="J170" s="2">
        <v>0.999982747541457</v>
      </c>
      <c r="K170" s="2">
        <v>0.99999999702838105</v>
      </c>
    </row>
    <row r="171" spans="1:11" x14ac:dyDescent="0.25">
      <c r="A171">
        <v>17</v>
      </c>
      <c r="B171" s="2">
        <v>1.8626451492309599E-9</v>
      </c>
      <c r="C171" s="2">
        <v>1.8626451492309599E-9</v>
      </c>
      <c r="D171" s="2">
        <v>1.8626451492312602E-9</v>
      </c>
      <c r="E171" s="2">
        <v>1.8626452011296902E-9</v>
      </c>
      <c r="F171" s="2">
        <v>1.8634873469670899E-9</v>
      </c>
      <c r="G171" s="2">
        <v>1.57001239872959E-8</v>
      </c>
      <c r="H171" s="2">
        <v>2.27539874468025E-4</v>
      </c>
      <c r="I171" s="2">
        <v>0.78918947412681595</v>
      </c>
      <c r="J171" s="2">
        <v>0.99998375891558799</v>
      </c>
      <c r="K171" s="2">
        <v>0.99999999715009003</v>
      </c>
    </row>
    <row r="172" spans="1:11" x14ac:dyDescent="0.25">
      <c r="A172">
        <v>17.100000000000001</v>
      </c>
      <c r="B172" s="2">
        <v>1.8626451492309599E-9</v>
      </c>
      <c r="C172" s="2">
        <v>1.8626451492309599E-9</v>
      </c>
      <c r="D172" s="2">
        <v>1.86264514923118E-9</v>
      </c>
      <c r="E172" s="2">
        <v>1.8626451909890998E-9</v>
      </c>
      <c r="F172" s="2">
        <v>1.8633608035460401E-9</v>
      </c>
      <c r="G172" s="2">
        <v>1.42949777312222E-8</v>
      </c>
      <c r="H172" s="2">
        <v>2.1617262983889701E-4</v>
      </c>
      <c r="I172" s="2">
        <v>0.78994814573696204</v>
      </c>
      <c r="J172" s="2">
        <v>0.99998471060375105</v>
      </c>
      <c r="K172" s="2">
        <v>0.99999999725841304</v>
      </c>
    </row>
    <row r="173" spans="1:11" x14ac:dyDescent="0.25">
      <c r="A173">
        <v>17.2</v>
      </c>
      <c r="B173" s="2">
        <v>1.8626451492309599E-9</v>
      </c>
      <c r="C173" s="2">
        <v>1.8626451492309599E-9</v>
      </c>
      <c r="D173" s="2">
        <v>1.8626451492311299E-9</v>
      </c>
      <c r="E173" s="2">
        <v>1.86264518283431E-9</v>
      </c>
      <c r="F173" s="2">
        <v>1.8632532804210298E-9</v>
      </c>
      <c r="G173" s="2">
        <v>1.30324831650933E-8</v>
      </c>
      <c r="H173" s="2">
        <v>2.0537092171438699E-4</v>
      </c>
      <c r="I173" s="2">
        <v>0.79070181603059797</v>
      </c>
      <c r="J173" s="2">
        <v>0.99998560615505805</v>
      </c>
      <c r="K173" s="2">
        <v>0.99999999735482503</v>
      </c>
    </row>
    <row r="174" spans="1:11" x14ac:dyDescent="0.25">
      <c r="A174">
        <v>17.3</v>
      </c>
      <c r="B174" s="2">
        <v>1.8626451492309599E-9</v>
      </c>
      <c r="C174" s="2">
        <v>1.8626451492309599E-9</v>
      </c>
      <c r="D174" s="2">
        <v>1.8626451492310799E-9</v>
      </c>
      <c r="E174" s="2">
        <v>1.86264517627586E-9</v>
      </c>
      <c r="F174" s="2">
        <v>1.8631619179875501E-9</v>
      </c>
      <c r="G174" s="2">
        <v>1.18981624626811E-8</v>
      </c>
      <c r="H174" s="2">
        <v>1.95106760337123E-4</v>
      </c>
      <c r="I174" s="2">
        <v>0.79145054164159001</v>
      </c>
      <c r="J174" s="2">
        <v>0.99998644890571198</v>
      </c>
      <c r="K174" s="2">
        <v>0.99999999744063905</v>
      </c>
    </row>
    <row r="175" spans="1:11" x14ac:dyDescent="0.25">
      <c r="A175">
        <v>17.399999999999999</v>
      </c>
      <c r="B175" s="2">
        <v>1.8626451492309599E-9</v>
      </c>
      <c r="C175" s="2">
        <v>1.8626451492309599E-9</v>
      </c>
      <c r="D175" s="2">
        <v>1.8626451492310501E-9</v>
      </c>
      <c r="E175" s="2">
        <v>1.86264517100077E-9</v>
      </c>
      <c r="F175" s="2">
        <v>1.8630842866565302E-9</v>
      </c>
      <c r="G175" s="2">
        <v>1.08790066673742E-8</v>
      </c>
      <c r="H175" s="2">
        <v>1.85353531762464E-4</v>
      </c>
      <c r="I175" s="2">
        <v>0.79219437817182303</v>
      </c>
      <c r="J175" s="2">
        <v>0.99998724199191102</v>
      </c>
      <c r="K175" s="2">
        <v>0.99999999751702195</v>
      </c>
    </row>
    <row r="176" spans="1:11" x14ac:dyDescent="0.25">
      <c r="A176">
        <v>17.5</v>
      </c>
      <c r="B176" s="2">
        <v>1.8626451492309599E-9</v>
      </c>
      <c r="C176" s="2">
        <v>1.8626451492309599E-9</v>
      </c>
      <c r="D176" s="2">
        <v>1.8626451492310298E-9</v>
      </c>
      <c r="E176" s="2">
        <v>1.8626451667574799E-9</v>
      </c>
      <c r="F176" s="2">
        <v>1.8630183221786498E-9</v>
      </c>
      <c r="G176" s="2">
        <v>9.9633267223615999E-9</v>
      </c>
      <c r="H176" s="2">
        <v>1.76085930869594E-4</v>
      </c>
      <c r="I176" s="2">
        <v>0.79293338021828697</v>
      </c>
      <c r="J176" s="2">
        <v>0.99998798836196501</v>
      </c>
      <c r="K176" s="2">
        <v>0.99999999758501401</v>
      </c>
    </row>
    <row r="177" spans="1:11" x14ac:dyDescent="0.25">
      <c r="A177">
        <v>17.600000000000001</v>
      </c>
      <c r="B177" s="2">
        <v>1.8626451492309599E-9</v>
      </c>
      <c r="C177" s="2">
        <v>1.8626451492309599E-9</v>
      </c>
      <c r="D177" s="2">
        <v>1.86264514923101E-9</v>
      </c>
      <c r="E177" s="2">
        <v>1.8626451633437899E-9</v>
      </c>
      <c r="F177" s="2">
        <v>1.86296227069769E-9</v>
      </c>
      <c r="G177" s="2">
        <v>9.1406196025842695E-9</v>
      </c>
      <c r="H177" s="2">
        <v>1.6727989758932599E-4</v>
      </c>
      <c r="I177" s="2">
        <v>0.79366760139928705</v>
      </c>
      <c r="J177" s="2">
        <v>0.99998869078766195</v>
      </c>
      <c r="K177" s="2">
        <v>0.99999999764553904</v>
      </c>
    </row>
    <row r="178" spans="1:11" x14ac:dyDescent="0.25">
      <c r="A178">
        <v>17.7</v>
      </c>
      <c r="B178" s="2">
        <v>1.8626451492309599E-9</v>
      </c>
      <c r="C178" s="2">
        <v>1.8626451492309599E-9</v>
      </c>
      <c r="D178" s="2">
        <v>1.862645149231E-9</v>
      </c>
      <c r="E178" s="2">
        <v>1.86264516059719E-9</v>
      </c>
      <c r="F178" s="2">
        <v>1.8629146420693599E-9</v>
      </c>
      <c r="G178" s="2">
        <v>8.4014480182542507E-9</v>
      </c>
      <c r="H178" s="2">
        <v>1.58912556197355E-4</v>
      </c>
      <c r="I178" s="2">
        <v>0.79439709437989403</v>
      </c>
      <c r="J178" s="2">
        <v>0.99998935187494797</v>
      </c>
      <c r="K178" s="2">
        <v>0.99999999769941705</v>
      </c>
    </row>
    <row r="179" spans="1:11" x14ac:dyDescent="0.25">
      <c r="A179">
        <v>17.8</v>
      </c>
      <c r="B179" s="2">
        <v>1.8626451492309599E-9</v>
      </c>
      <c r="C179" s="2">
        <v>1.8626451492309599E-9</v>
      </c>
      <c r="D179" s="2">
        <v>1.8626451492309901E-9</v>
      </c>
      <c r="E179" s="2">
        <v>1.8626451583870399E-9</v>
      </c>
      <c r="F179" s="2">
        <v>1.8628741702018101E-9</v>
      </c>
      <c r="G179" s="2">
        <v>7.7373323147106794E-9</v>
      </c>
      <c r="H179" s="2">
        <v>1.5096215752881999E-4</v>
      </c>
      <c r="I179" s="2">
        <v>0.79512191089656103</v>
      </c>
      <c r="J179" s="2">
        <v>0.99998997407394297</v>
      </c>
      <c r="K179" s="2">
        <v>0.99999999774738202</v>
      </c>
    </row>
    <row r="180" spans="1:11" x14ac:dyDescent="0.25">
      <c r="A180">
        <v>17.899999999999999</v>
      </c>
      <c r="B180" s="2">
        <v>1.8626451492309599E-9</v>
      </c>
      <c r="C180" s="2">
        <v>1.8626451492309599E-9</v>
      </c>
      <c r="D180" s="2">
        <v>1.8626451492309802E-9</v>
      </c>
      <c r="E180" s="2">
        <v>1.86264515660831E-9</v>
      </c>
      <c r="F180" s="2">
        <v>1.86283977936152E-9</v>
      </c>
      <c r="G180" s="2">
        <v>7.1406533326579099E-9</v>
      </c>
      <c r="H180" s="2">
        <v>1.4340802397634601E-4</v>
      </c>
      <c r="I180" s="2">
        <v>0.79584210178098602</v>
      </c>
      <c r="J180" s="2">
        <v>0.99999055968835204</v>
      </c>
      <c r="K180" s="2">
        <v>0.99999999779008197</v>
      </c>
    </row>
    <row r="181" spans="1:11" x14ac:dyDescent="0.25">
      <c r="A181">
        <v>18</v>
      </c>
      <c r="B181" s="2">
        <v>1.8626451492309599E-9</v>
      </c>
      <c r="C181" s="2">
        <v>1.8626451492309599E-9</v>
      </c>
      <c r="D181" s="2">
        <v>1.8626451492309699E-9</v>
      </c>
      <c r="E181" s="2">
        <v>1.86264515517657E-9</v>
      </c>
      <c r="F181" s="2">
        <v>1.86281055554726E-9</v>
      </c>
      <c r="G181" s="2">
        <v>6.6045651180127402E-9</v>
      </c>
      <c r="H181" s="2">
        <v>1.36230497140243E-4</v>
      </c>
      <c r="I181" s="2">
        <v>0.79655771698327305</v>
      </c>
      <c r="J181" s="2">
        <v>0.99999111088430004</v>
      </c>
      <c r="K181" s="2">
        <v>0.99999999782809801</v>
      </c>
    </row>
    <row r="182" spans="1:11" x14ac:dyDescent="0.25">
      <c r="A182">
        <v>18.100000000000001</v>
      </c>
      <c r="B182" s="2">
        <v>1.8626451492309599E-9</v>
      </c>
      <c r="C182" s="2">
        <v>1.8626451492309599E-9</v>
      </c>
      <c r="D182" s="2">
        <v>1.8626451492309699E-9</v>
      </c>
      <c r="E182" s="2">
        <v>1.8626451540239699E-9</v>
      </c>
      <c r="F182" s="2">
        <v>1.8627857221694601E-9</v>
      </c>
      <c r="G182" s="2">
        <v>6.1229164831029404E-9</v>
      </c>
      <c r="H182" s="2">
        <v>1.2941088800526299E-4</v>
      </c>
      <c r="I182" s="2">
        <v>0.79726880559430202</v>
      </c>
      <c r="J182" s="2">
        <v>0.99999162969862498</v>
      </c>
      <c r="K182" s="2">
        <v>0.99999999786194405</v>
      </c>
    </row>
    <row r="183" spans="1:11" x14ac:dyDescent="0.25">
      <c r="A183">
        <v>18.2</v>
      </c>
      <c r="B183" s="2">
        <v>1.8626451492309599E-9</v>
      </c>
      <c r="C183" s="2">
        <v>1.8626451492309599E-9</v>
      </c>
      <c r="D183" s="2">
        <v>1.8626451492309699E-9</v>
      </c>
      <c r="E183" s="2">
        <v>1.8626451530959001E-9</v>
      </c>
      <c r="F183" s="2">
        <v>1.8627646193875598E-9</v>
      </c>
      <c r="G183" s="2">
        <v>5.69018052207568E-9</v>
      </c>
      <c r="H183" s="2">
        <v>1.2293142952438799E-4</v>
      </c>
      <c r="I183" s="2">
        <v>0.79797541586746201</v>
      </c>
      <c r="J183" s="2">
        <v>0.99999211804666699</v>
      </c>
      <c r="K183" s="2">
        <v>0.99999999789207905</v>
      </c>
    </row>
    <row r="184" spans="1:11" x14ac:dyDescent="0.25">
      <c r="A184">
        <v>18.3</v>
      </c>
      <c r="B184" s="2">
        <v>1.8626451492309599E-9</v>
      </c>
      <c r="C184" s="2">
        <v>1.8626451492309599E-9</v>
      </c>
      <c r="D184" s="2">
        <v>1.8626451492309599E-9</v>
      </c>
      <c r="E184" s="2">
        <v>1.8626451523484899E-9</v>
      </c>
      <c r="F184" s="2">
        <v>1.8627466865548899E-9</v>
      </c>
      <c r="G184" s="2">
        <v>5.3013912742652304E-9</v>
      </c>
      <c r="H184" s="2">
        <v>1.16775231495314E-4</v>
      </c>
      <c r="I184" s="2">
        <v>0.79867759523968695</v>
      </c>
      <c r="J184" s="2">
        <v>0.99999257772958405</v>
      </c>
      <c r="K184" s="2">
        <v>0.99999999791891003</v>
      </c>
    </row>
    <row r="185" spans="1:11" x14ac:dyDescent="0.25">
      <c r="A185">
        <v>18.399999999999999</v>
      </c>
      <c r="B185" s="2">
        <v>1.8626451492309599E-9</v>
      </c>
      <c r="C185" s="2">
        <v>1.8626451492309599E-9</v>
      </c>
      <c r="D185" s="2">
        <v>1.8626451492309599E-9</v>
      </c>
      <c r="E185" s="2">
        <v>1.86264515174646E-9</v>
      </c>
      <c r="F185" s="2">
        <v>1.86273144730376E-9</v>
      </c>
      <c r="G185" s="2">
        <v>4.9520868109446201E-9</v>
      </c>
      <c r="H185" s="2">
        <v>1.10926237620739E-4</v>
      </c>
      <c r="I185" s="2">
        <v>0.79937539035182203</v>
      </c>
      <c r="J185" s="2">
        <v>0.99999301044122202</v>
      </c>
      <c r="K185" s="2">
        <v>0.99999999794280103</v>
      </c>
    </row>
    <row r="186" spans="1:11" x14ac:dyDescent="0.25">
      <c r="A186">
        <v>18.5</v>
      </c>
      <c r="B186" s="2">
        <v>1.8626451492309599E-9</v>
      </c>
      <c r="C186" s="2">
        <v>1.8626451492309599E-9</v>
      </c>
      <c r="D186" s="2">
        <v>1.8626451492309599E-9</v>
      </c>
      <c r="E186" s="2">
        <v>1.86264515126141E-9</v>
      </c>
      <c r="F186" s="2">
        <v>1.8627184968735599E-9</v>
      </c>
      <c r="G186" s="2">
        <v>4.6382580943055401E-9</v>
      </c>
      <c r="H186" s="2">
        <v>1.0536918464858899E-4</v>
      </c>
      <c r="I186" s="2">
        <v>0.80006884706839498</v>
      </c>
      <c r="J186" s="2">
        <v>0.99999341777456197</v>
      </c>
      <c r="K186" s="2">
        <v>0.99999999796407302</v>
      </c>
    </row>
    <row r="187" spans="1:11" x14ac:dyDescent="0.25">
      <c r="A187">
        <v>18.600000000000001</v>
      </c>
      <c r="B187" s="2">
        <v>1.8626451492309599E-9</v>
      </c>
      <c r="C187" s="2">
        <v>1.8626451492309599E-9</v>
      </c>
      <c r="D187" s="2">
        <v>1.8626451492309599E-9</v>
      </c>
      <c r="E187" s="2">
        <v>1.8626451508705299E-9</v>
      </c>
      <c r="F187" s="2">
        <v>1.8627074913444901E-9</v>
      </c>
      <c r="G187" s="2">
        <v>4.3563030234819603E-9</v>
      </c>
      <c r="H187" s="2">
        <v>1.0008956349300001E-4</v>
      </c>
      <c r="I187" s="2">
        <v>0.80075801049672102</v>
      </c>
      <c r="J187" s="2">
        <v>0.99999380122778903</v>
      </c>
      <c r="K187" s="2">
        <v>0.99999999798301598</v>
      </c>
    </row>
    <row r="188" spans="1:11" x14ac:dyDescent="0.25">
      <c r="A188">
        <v>18.7</v>
      </c>
      <c r="B188" s="2">
        <v>1.8626451492309599E-9</v>
      </c>
      <c r="C188" s="2">
        <v>1.8626451492309599E-9</v>
      </c>
      <c r="D188" s="2">
        <v>1.8626451492309599E-9</v>
      </c>
      <c r="E188" s="2">
        <v>1.8626451505554498E-9</v>
      </c>
      <c r="F188" s="2">
        <v>1.8626981384903798E-9</v>
      </c>
      <c r="G188" s="2">
        <v>4.1029851417352504E-9</v>
      </c>
      <c r="H188" s="2">
        <v>9.5073582241611901E-5</v>
      </c>
      <c r="I188" s="2">
        <v>0.80144292500546899</v>
      </c>
      <c r="J188" s="2">
        <v>0.99999416220997195</v>
      </c>
      <c r="K188" s="2">
        <v>0.99999999799988404</v>
      </c>
    </row>
    <row r="189" spans="1:11" x14ac:dyDescent="0.25">
      <c r="A189">
        <v>18.8</v>
      </c>
      <c r="B189" s="2">
        <v>1.8626451492309599E-9</v>
      </c>
      <c r="C189" s="2">
        <v>1.8626451492309599E-9</v>
      </c>
      <c r="D189" s="2">
        <v>1.8626451492309599E-9</v>
      </c>
      <c r="E189" s="2">
        <v>1.8626451503013999E-9</v>
      </c>
      <c r="F189" s="2">
        <v>1.8626901900069402E-9</v>
      </c>
      <c r="G189" s="2">
        <v>3.8753965322074102E-9</v>
      </c>
      <c r="H189" s="2">
        <v>9.0308130959045694E-5</v>
      </c>
      <c r="I189" s="2">
        <v>0.80212363424261901</v>
      </c>
      <c r="J189" s="2">
        <v>0.99999450204642004</v>
      </c>
      <c r="K189" s="2">
        <v>0.99999999801490502</v>
      </c>
    </row>
    <row r="190" spans="1:11" x14ac:dyDescent="0.25">
      <c r="A190">
        <v>18.899999999999999</v>
      </c>
      <c r="B190" s="2">
        <v>1.8626451492309599E-9</v>
      </c>
      <c r="C190" s="2">
        <v>1.8626451492309599E-9</v>
      </c>
      <c r="D190" s="2">
        <v>1.8626451492309599E-9</v>
      </c>
      <c r="E190" s="2">
        <v>1.8626451500964899E-9</v>
      </c>
      <c r="F190" s="2">
        <v>1.86268343490871E-9</v>
      </c>
      <c r="G190" s="2">
        <v>3.6709244775414501E-9</v>
      </c>
      <c r="H190" s="2">
        <v>8.5780748200644095E-5</v>
      </c>
      <c r="I190" s="2">
        <v>0.802800181152866</v>
      </c>
      <c r="J190" s="2">
        <v>0.99999482198370104</v>
      </c>
      <c r="K190" s="2">
        <v>0.99999999802828099</v>
      </c>
    </row>
    <row r="191" spans="1:11" x14ac:dyDescent="0.25">
      <c r="A191">
        <v>19</v>
      </c>
      <c r="B191" s="2">
        <v>1.8626451492309599E-9</v>
      </c>
      <c r="C191" s="2">
        <v>1.8626451492309599E-9</v>
      </c>
      <c r="D191" s="2">
        <v>1.8626451492309599E-9</v>
      </c>
      <c r="E191" s="2">
        <v>1.8626451499311799E-9</v>
      </c>
      <c r="F191" s="2">
        <v>1.86267769391884E-9</v>
      </c>
      <c r="G191" s="2">
        <v>3.4872215017153099E-9</v>
      </c>
      <c r="H191" s="2">
        <v>8.1479589154610294E-5</v>
      </c>
      <c r="I191" s="2">
        <v>0.80347260799449904</v>
      </c>
      <c r="J191" s="2">
        <v>0.99999512319435802</v>
      </c>
      <c r="K191" s="2">
        <v>0.99999999804019402</v>
      </c>
    </row>
    <row r="192" spans="1:11" x14ac:dyDescent="0.25">
      <c r="A192">
        <v>19.100000000000001</v>
      </c>
      <c r="B192" s="2">
        <v>1.8626451492309599E-9</v>
      </c>
      <c r="C192" s="2">
        <v>1.8626451492309599E-9</v>
      </c>
      <c r="D192" s="2">
        <v>1.8626451492309599E-9</v>
      </c>
      <c r="E192" s="2">
        <v>1.8626451497977598E-9</v>
      </c>
      <c r="F192" s="2">
        <v>1.8626728147024602E-9</v>
      </c>
      <c r="G192" s="2">
        <v>3.3221784511130399E-9</v>
      </c>
      <c r="H192" s="2">
        <v>7.7393395334424196E-5</v>
      </c>
      <c r="I192" s="2">
        <v>0.80414095635574201</v>
      </c>
      <c r="J192" s="2">
        <v>0.99999540678134602</v>
      </c>
      <c r="K192" s="2">
        <v>0.99999999805080297</v>
      </c>
    </row>
    <row r="193" spans="1:11" x14ac:dyDescent="0.25">
      <c r="A193">
        <v>19.2</v>
      </c>
      <c r="B193" s="2">
        <v>1.8626451492309599E-9</v>
      </c>
      <c r="C193" s="2">
        <v>1.8626451492309599E-9</v>
      </c>
      <c r="D193" s="2">
        <v>1.8626451492309599E-9</v>
      </c>
      <c r="E193" s="2">
        <v>1.8626451496900299E-9</v>
      </c>
      <c r="F193" s="2">
        <v>1.8626686678167199E-9</v>
      </c>
      <c r="G193" s="2">
        <v>3.1739003066250401E-9</v>
      </c>
      <c r="H193" s="2">
        <v>7.3511465747189399E-5</v>
      </c>
      <c r="I193" s="2">
        <v>0.80480526717062695</v>
      </c>
      <c r="J193" s="2">
        <v>0.99999567378219401</v>
      </c>
      <c r="K193" s="2">
        <v>0.99999999806025197</v>
      </c>
    </row>
    <row r="194" spans="1:11" x14ac:dyDescent="0.25">
      <c r="A194">
        <v>19.3</v>
      </c>
      <c r="B194" s="2">
        <v>1.8626451492309599E-9</v>
      </c>
      <c r="C194" s="2">
        <v>1.8626451492309599E-9</v>
      </c>
      <c r="D194" s="2">
        <v>1.8626451492309599E-9</v>
      </c>
      <c r="E194" s="2">
        <v>1.86264514960302E-9</v>
      </c>
      <c r="F194" s="2">
        <v>1.8626651432697999E-9</v>
      </c>
      <c r="G194" s="2">
        <v>3.0406844498091199E-9</v>
      </c>
      <c r="H194" s="2">
        <v>6.9823629466943602E-5</v>
      </c>
      <c r="I194" s="2">
        <v>0.80546558073432695</v>
      </c>
      <c r="J194" s="2">
        <v>0.99999592517291802</v>
      </c>
      <c r="K194" s="2">
        <v>0.99999999806866802</v>
      </c>
    </row>
    <row r="195" spans="1:11" x14ac:dyDescent="0.25">
      <c r="A195">
        <v>19.399999999999999</v>
      </c>
      <c r="B195" s="2">
        <v>1.8626451492309599E-9</v>
      </c>
      <c r="C195" s="2">
        <v>1.8626451492309599E-9</v>
      </c>
      <c r="D195" s="2">
        <v>1.8626451492309599E-9</v>
      </c>
      <c r="E195" s="2">
        <v>1.86264514953272E-9</v>
      </c>
      <c r="F195" s="2">
        <v>1.86266214759716E-9</v>
      </c>
      <c r="G195" s="2">
        <v>2.92100113422107E-9</v>
      </c>
      <c r="H195" s="2">
        <v>6.6320219545412695E-5</v>
      </c>
      <c r="I195" s="2">
        <v>0.80612193671807197</v>
      </c>
      <c r="J195" s="2">
        <v>0.99999616187169804</v>
      </c>
      <c r="K195" s="2">
        <v>0.99999999807616302</v>
      </c>
    </row>
    <row r="196" spans="1:11" x14ac:dyDescent="0.25">
      <c r="A196">
        <v>19.5</v>
      </c>
      <c r="B196" s="2">
        <v>1.8626451492309599E-9</v>
      </c>
      <c r="C196" s="2">
        <v>1.8626451492309599E-9</v>
      </c>
      <c r="D196" s="2">
        <v>1.8626451492309599E-9</v>
      </c>
      <c r="E196" s="2">
        <v>1.8626451494758699E-9</v>
      </c>
      <c r="F196" s="2">
        <v>1.86265960137749E-9</v>
      </c>
      <c r="G196" s="2">
        <v>2.8134759382563101E-9</v>
      </c>
      <c r="H196" s="2">
        <v>6.2992048195751707E-5</v>
      </c>
      <c r="I196" s="2">
        <v>0.80677437418357401</v>
      </c>
      <c r="J196" s="2">
        <v>0.99999638474233299</v>
      </c>
      <c r="K196" s="2">
        <v>0.99999999808283901</v>
      </c>
    </row>
    <row r="197" spans="1:11" x14ac:dyDescent="0.25">
      <c r="A197">
        <v>19.600000000000001</v>
      </c>
      <c r="B197" s="2">
        <v>1.8626451492309599E-9</v>
      </c>
      <c r="C197" s="2">
        <v>1.8626451492309599E-9</v>
      </c>
      <c r="D197" s="2">
        <v>1.8626451492309599E-9</v>
      </c>
      <c r="E197" s="2">
        <v>1.8626451494299002E-9</v>
      </c>
      <c r="F197" s="2">
        <v>1.862657437122E-9</v>
      </c>
      <c r="G197" s="2">
        <v>2.7168739985180298E-9</v>
      </c>
      <c r="H197" s="2">
        <v>5.9830383187986097E-5</v>
      </c>
      <c r="I197" s="2">
        <v>0.80742293159702305</v>
      </c>
      <c r="J197" s="2">
        <v>0.99999659459748902</v>
      </c>
      <c r="K197" s="2">
        <v>0.99999999808878604</v>
      </c>
    </row>
    <row r="198" spans="1:11" x14ac:dyDescent="0.25">
      <c r="A198">
        <v>19.7</v>
      </c>
      <c r="B198" s="2">
        <v>1.8626451492309599E-9</v>
      </c>
      <c r="C198" s="2">
        <v>1.8626451492309599E-9</v>
      </c>
      <c r="D198" s="2">
        <v>1.8626451492309599E-9</v>
      </c>
      <c r="E198" s="2">
        <v>1.8626451493926899E-9</v>
      </c>
      <c r="F198" s="2">
        <v>1.8626555974810399E-9</v>
      </c>
      <c r="G198" s="2">
        <v>2.6300858431056401E-9</v>
      </c>
      <c r="H198" s="2">
        <v>5.6826925397654401E-5</v>
      </c>
      <c r="I198" s="2">
        <v>0.80806764684267496</v>
      </c>
      <c r="J198" s="2">
        <v>0.99999679220174698</v>
      </c>
      <c r="K198" s="2">
        <v>0.99999999809408202</v>
      </c>
    </row>
    <row r="199" spans="1:11" x14ac:dyDescent="0.25">
      <c r="A199">
        <v>19.8</v>
      </c>
      <c r="B199" s="2">
        <v>1.8626451492309599E-9</v>
      </c>
      <c r="C199" s="2">
        <v>1.8626451492309599E-9</v>
      </c>
      <c r="D199" s="2">
        <v>1.8626451492309599E-9</v>
      </c>
      <c r="E199" s="2">
        <v>1.8626451493625598E-9</v>
      </c>
      <c r="F199" s="2">
        <v>1.86265403372038E-9</v>
      </c>
      <c r="G199" s="2">
        <v>2.5521146625293399E-9</v>
      </c>
      <c r="H199" s="2">
        <v>5.3973787452000998E-5</v>
      </c>
      <c r="I199" s="2">
        <v>0.80870855723600898</v>
      </c>
      <c r="J199" s="2">
        <v>0.99999697827447098</v>
      </c>
      <c r="K199" s="2">
        <v>0.99999999809880002</v>
      </c>
    </row>
    <row r="200" spans="1:11" x14ac:dyDescent="0.25">
      <c r="A200">
        <v>19.899999999999999</v>
      </c>
      <c r="B200" s="2">
        <v>1.8626451492309599E-9</v>
      </c>
      <c r="C200" s="2">
        <v>1.8626451492309599E-9</v>
      </c>
      <c r="D200" s="2">
        <v>1.8626451492309599E-9</v>
      </c>
      <c r="E200" s="2">
        <v>1.8626451493381402E-9</v>
      </c>
      <c r="F200" s="2">
        <v>1.8626527044264399E-9</v>
      </c>
      <c r="G200" s="2">
        <v>2.4820648724126898E-9</v>
      </c>
      <c r="H200" s="2">
        <v>5.1263473420654899E-5</v>
      </c>
      <c r="I200" s="2">
        <v>0.80934569953648705</v>
      </c>
      <c r="J200" s="2">
        <v>0.99999715349250495</v>
      </c>
      <c r="K200" s="2">
        <v>0.999999998103003</v>
      </c>
    </row>
    <row r="201" spans="1:11" x14ac:dyDescent="0.25">
      <c r="A201">
        <v>20</v>
      </c>
      <c r="B201" s="2">
        <v>1.8626451492309599E-9</v>
      </c>
      <c r="C201" s="2">
        <v>1.8626451492309599E-9</v>
      </c>
      <c r="D201" s="2">
        <v>1.8626451492309599E-9</v>
      </c>
      <c r="E201" s="2">
        <v>1.86264514931834E-9</v>
      </c>
      <c r="F201" s="2">
        <v>1.86265157440623E-9</v>
      </c>
      <c r="G201" s="2">
        <v>2.4191318369340799E-9</v>
      </c>
      <c r="H201" s="2">
        <v>4.8688859500300703E-5</v>
      </c>
      <c r="I201" s="2">
        <v>0.80997910995994704</v>
      </c>
      <c r="J201" s="2">
        <v>0.99999731849270201</v>
      </c>
      <c r="K201" s="2">
        <v>0.999999998106747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Benefit functions</vt:lpstr>
      <vt:lpstr>Original, i&gt;7 can correct error</vt:lpstr>
      <vt:lpstr>Calculations</vt:lpstr>
      <vt:lpstr>New, i&gt;8 can correct e (2</vt:lpstr>
      <vt:lpstr>New Calculations</vt:lpstr>
      <vt:lpstr>Error Rates</vt:lpstr>
      <vt:lpstr>Comparison of Treatments</vt:lpstr>
      <vt:lpstr>Sheet1</vt:lpstr>
      <vt:lpstr>Anti-focal, cut = 7.31</vt:lpstr>
    </vt:vector>
  </TitlesOfParts>
  <Company>BI Norwegian Business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cp:lastPrinted>2014-04-08T18:17:48Z</cp:lastPrinted>
  <dcterms:created xsi:type="dcterms:W3CDTF">2014-04-01T16:03:35Z</dcterms:created>
  <dcterms:modified xsi:type="dcterms:W3CDTF">2014-06-04T08:44:51Z</dcterms:modified>
</cp:coreProperties>
</file>