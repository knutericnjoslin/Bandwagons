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" yWindow="135" windowWidth="11235" windowHeight="8595" activeTab="5"/>
  </bookViews>
  <sheets>
    <sheet name="Benefit functions" sheetId="4" r:id="rId1"/>
    <sheet name="Original Treatment" sheetId="7" r:id="rId2"/>
    <sheet name="Original Treat Calculations " sheetId="10" r:id="rId3"/>
    <sheet name="Slack Treatment" sheetId="9" r:id="rId4"/>
    <sheet name="Slack Treat. Calculations" sheetId="11" r:id="rId5"/>
    <sheet name="Original Can Correct Errors" sheetId="13" r:id="rId6"/>
    <sheet name="No mistakes in tails" sheetId="14" r:id="rId7"/>
  </sheets>
  <externalReferences>
    <externalReference r:id="rId8"/>
  </externalReferences>
  <calcPr calcId="144525"/>
</workbook>
</file>

<file path=xl/calcChain.xml><?xml version="1.0" encoding="utf-8"?>
<calcChain xmlns="http://schemas.openxmlformats.org/spreadsheetml/2006/main">
  <c r="J3" i="7" l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2" i="7"/>
  <c r="AP51" i="10"/>
  <c r="AP52" i="10"/>
  <c r="AP53" i="10"/>
  <c r="AP54" i="10"/>
  <c r="AP55" i="10"/>
  <c r="AP51" i="11"/>
  <c r="AP52" i="11"/>
  <c r="AP53" i="11"/>
  <c r="AP54" i="11"/>
  <c r="AP55" i="11"/>
  <c r="O37" i="11"/>
  <c r="P37" i="11"/>
  <c r="Q37" i="11"/>
  <c r="O38" i="11"/>
  <c r="P38" i="11"/>
  <c r="Q38" i="11"/>
  <c r="O39" i="11"/>
  <c r="P39" i="11"/>
  <c r="Q39" i="11"/>
  <c r="O40" i="11"/>
  <c r="P40" i="11"/>
  <c r="Q40" i="11"/>
  <c r="O41" i="11"/>
  <c r="P41" i="11"/>
  <c r="Y41" i="11" s="1"/>
  <c r="AP41" i="11" s="1"/>
  <c r="Q41" i="11"/>
  <c r="O42" i="11"/>
  <c r="P42" i="11"/>
  <c r="Q42" i="11"/>
  <c r="O43" i="11"/>
  <c r="P43" i="11"/>
  <c r="Q43" i="11"/>
  <c r="O44" i="11"/>
  <c r="P44" i="11"/>
  <c r="Q44" i="11"/>
  <c r="O45" i="11"/>
  <c r="P45" i="11"/>
  <c r="Q45" i="11"/>
  <c r="O46" i="11"/>
  <c r="P46" i="11"/>
  <c r="Q46" i="11"/>
  <c r="O47" i="11"/>
  <c r="P47" i="11"/>
  <c r="Q47" i="11"/>
  <c r="O48" i="11"/>
  <c r="P48" i="11"/>
  <c r="Q48" i="11"/>
  <c r="O49" i="11"/>
  <c r="P49" i="11"/>
  <c r="Y49" i="11" s="1"/>
  <c r="AP49" i="11" s="1"/>
  <c r="Q49" i="11"/>
  <c r="O50" i="11"/>
  <c r="P50" i="11"/>
  <c r="Q50" i="11"/>
  <c r="O51" i="11"/>
  <c r="P51" i="11"/>
  <c r="Q51" i="11"/>
  <c r="O52" i="11"/>
  <c r="Y52" i="11" s="1"/>
  <c r="P52" i="11"/>
  <c r="Q52" i="11"/>
  <c r="O53" i="11"/>
  <c r="P53" i="11"/>
  <c r="Q53" i="11"/>
  <c r="O54" i="11"/>
  <c r="P54" i="11"/>
  <c r="Q54" i="11"/>
  <c r="O55" i="11"/>
  <c r="P55" i="11"/>
  <c r="Q55" i="11"/>
  <c r="P36" i="11"/>
  <c r="Q36" i="11"/>
  <c r="O36" i="11"/>
  <c r="O8" i="11"/>
  <c r="Y8" i="11" s="1"/>
  <c r="P8" i="11"/>
  <c r="Q8" i="11"/>
  <c r="O9" i="11"/>
  <c r="P9" i="11"/>
  <c r="Q9" i="11"/>
  <c r="O10" i="11"/>
  <c r="P10" i="11"/>
  <c r="Q10" i="11"/>
  <c r="O11" i="11"/>
  <c r="P11" i="11"/>
  <c r="Q11" i="11"/>
  <c r="O12" i="11"/>
  <c r="P12" i="11"/>
  <c r="Y12" i="11" s="1"/>
  <c r="Q12" i="11"/>
  <c r="O13" i="11"/>
  <c r="P13" i="11"/>
  <c r="Q13" i="11"/>
  <c r="O14" i="11"/>
  <c r="P14" i="11"/>
  <c r="Q14" i="11"/>
  <c r="O15" i="11"/>
  <c r="P15" i="11"/>
  <c r="Q15" i="11"/>
  <c r="O16" i="11"/>
  <c r="P16" i="11"/>
  <c r="Q16" i="11"/>
  <c r="O17" i="11"/>
  <c r="P17" i="11"/>
  <c r="Q17" i="11"/>
  <c r="O18" i="11"/>
  <c r="P18" i="11"/>
  <c r="Q18" i="11"/>
  <c r="O19" i="11"/>
  <c r="P19" i="11"/>
  <c r="Q19" i="11"/>
  <c r="O20" i="11"/>
  <c r="Y20" i="11" s="1"/>
  <c r="P20" i="11"/>
  <c r="Q20" i="11"/>
  <c r="O21" i="11"/>
  <c r="P21" i="11"/>
  <c r="Q21" i="11"/>
  <c r="O22" i="11"/>
  <c r="P22" i="11"/>
  <c r="Q22" i="11"/>
  <c r="O23" i="11"/>
  <c r="P23" i="11"/>
  <c r="Q23" i="11"/>
  <c r="O24" i="11"/>
  <c r="P24" i="11"/>
  <c r="Q24" i="11"/>
  <c r="O25" i="11"/>
  <c r="P25" i="11"/>
  <c r="Q25" i="11"/>
  <c r="O26" i="11"/>
  <c r="P26" i="11"/>
  <c r="Q26" i="11"/>
  <c r="P7" i="11"/>
  <c r="Q7" i="11"/>
  <c r="O7" i="11"/>
  <c r="AC7" i="11"/>
  <c r="Y16" i="11"/>
  <c r="Y24" i="11"/>
  <c r="AL55" i="11"/>
  <c r="AK55" i="11"/>
  <c r="AJ55" i="11"/>
  <c r="AI55" i="11"/>
  <c r="AH55" i="11"/>
  <c r="AG55" i="11"/>
  <c r="AF55" i="11"/>
  <c r="AE55" i="11"/>
  <c r="AD55" i="11"/>
  <c r="AC55" i="11"/>
  <c r="X55" i="11"/>
  <c r="W55" i="11"/>
  <c r="V55" i="11"/>
  <c r="U55" i="11"/>
  <c r="T55" i="11"/>
  <c r="S55" i="11"/>
  <c r="R55" i="11"/>
  <c r="AL54" i="11"/>
  <c r="AK54" i="11"/>
  <c r="AJ54" i="11"/>
  <c r="AI54" i="11"/>
  <c r="AH54" i="11"/>
  <c r="AG54" i="11"/>
  <c r="AF54" i="11"/>
  <c r="AE54" i="11"/>
  <c r="AD54" i="11"/>
  <c r="AC54" i="11"/>
  <c r="AM54" i="11" s="1"/>
  <c r="X54" i="11"/>
  <c r="W54" i="11"/>
  <c r="V54" i="11"/>
  <c r="U54" i="11"/>
  <c r="T54" i="11"/>
  <c r="S54" i="11"/>
  <c r="R54" i="11"/>
  <c r="Y54" i="11"/>
  <c r="AL53" i="11"/>
  <c r="AK53" i="11"/>
  <c r="AJ53" i="11"/>
  <c r="AI53" i="11"/>
  <c r="AH53" i="11"/>
  <c r="AG53" i="11"/>
  <c r="AF53" i="11"/>
  <c r="AE53" i="11"/>
  <c r="AD53" i="11"/>
  <c r="AC53" i="11"/>
  <c r="X53" i="11"/>
  <c r="W53" i="11"/>
  <c r="V53" i="11"/>
  <c r="U53" i="11"/>
  <c r="T53" i="11"/>
  <c r="S53" i="11"/>
  <c r="R53" i="11"/>
  <c r="AL52" i="11"/>
  <c r="AK52" i="11"/>
  <c r="AJ52" i="11"/>
  <c r="AI52" i="11"/>
  <c r="AH52" i="11"/>
  <c r="AG52" i="11"/>
  <c r="AF52" i="11"/>
  <c r="AE52" i="11"/>
  <c r="AD52" i="11"/>
  <c r="AC52" i="11"/>
  <c r="AM52" i="11" s="1"/>
  <c r="X52" i="11"/>
  <c r="W52" i="11"/>
  <c r="V52" i="11"/>
  <c r="U52" i="11"/>
  <c r="T52" i="11"/>
  <c r="S52" i="11"/>
  <c r="R52" i="11"/>
  <c r="AL51" i="11"/>
  <c r="AK51" i="11"/>
  <c r="AJ51" i="11"/>
  <c r="AI51" i="11"/>
  <c r="AH51" i="11"/>
  <c r="AG51" i="11"/>
  <c r="AF51" i="11"/>
  <c r="AE51" i="11"/>
  <c r="AD51" i="11"/>
  <c r="AC51" i="11"/>
  <c r="X51" i="11"/>
  <c r="W51" i="11"/>
  <c r="V51" i="11"/>
  <c r="U51" i="11"/>
  <c r="T51" i="11"/>
  <c r="S51" i="11"/>
  <c r="R51" i="11"/>
  <c r="AL50" i="11"/>
  <c r="AK50" i="11"/>
  <c r="AJ50" i="11"/>
  <c r="AI50" i="11"/>
  <c r="AH50" i="11"/>
  <c r="AG50" i="11"/>
  <c r="AF50" i="11"/>
  <c r="AE50" i="11"/>
  <c r="AD50" i="11"/>
  <c r="AC50" i="11"/>
  <c r="AM50" i="11" s="1"/>
  <c r="X50" i="11"/>
  <c r="W50" i="11"/>
  <c r="V50" i="11"/>
  <c r="U50" i="11"/>
  <c r="T50" i="11"/>
  <c r="S50" i="11"/>
  <c r="R50" i="11"/>
  <c r="AL49" i="11"/>
  <c r="AK49" i="11"/>
  <c r="AJ49" i="11"/>
  <c r="AI49" i="11"/>
  <c r="AH49" i="11"/>
  <c r="AG49" i="11"/>
  <c r="AF49" i="11"/>
  <c r="AE49" i="11"/>
  <c r="AD49" i="11"/>
  <c r="AC49" i="11"/>
  <c r="AM49" i="11" s="1"/>
  <c r="X49" i="11"/>
  <c r="W49" i="11"/>
  <c r="V49" i="11"/>
  <c r="U49" i="11"/>
  <c r="T49" i="11"/>
  <c r="S49" i="11"/>
  <c r="R49" i="11"/>
  <c r="AL48" i="11"/>
  <c r="AK48" i="11"/>
  <c r="AJ48" i="11"/>
  <c r="AI48" i="11"/>
  <c r="AH48" i="11"/>
  <c r="AG48" i="11"/>
  <c r="AF48" i="11"/>
  <c r="AE48" i="11"/>
  <c r="AD48" i="11"/>
  <c r="AC48" i="11"/>
  <c r="X48" i="11"/>
  <c r="W48" i="11"/>
  <c r="V48" i="11"/>
  <c r="U48" i="11"/>
  <c r="T48" i="11"/>
  <c r="S48" i="11"/>
  <c r="R48" i="11"/>
  <c r="AL47" i="11"/>
  <c r="AK47" i="11"/>
  <c r="AJ47" i="11"/>
  <c r="AI47" i="11"/>
  <c r="AH47" i="11"/>
  <c r="AG47" i="11"/>
  <c r="AF47" i="11"/>
  <c r="AE47" i="11"/>
  <c r="AD47" i="11"/>
  <c r="AC47" i="11"/>
  <c r="X47" i="11"/>
  <c r="W47" i="11"/>
  <c r="V47" i="11"/>
  <c r="U47" i="11"/>
  <c r="T47" i="11"/>
  <c r="S47" i="11"/>
  <c r="R47" i="11"/>
  <c r="AL46" i="11"/>
  <c r="AK46" i="11"/>
  <c r="AJ46" i="11"/>
  <c r="AI46" i="11"/>
  <c r="AH46" i="11"/>
  <c r="AG46" i="11"/>
  <c r="AF46" i="11"/>
  <c r="AE46" i="11"/>
  <c r="AD46" i="11"/>
  <c r="AC46" i="11"/>
  <c r="AM46" i="11" s="1"/>
  <c r="X46" i="11"/>
  <c r="W46" i="11"/>
  <c r="V46" i="11"/>
  <c r="U46" i="11"/>
  <c r="T46" i="11"/>
  <c r="S46" i="11"/>
  <c r="R46" i="11"/>
  <c r="AL45" i="11"/>
  <c r="AK45" i="11"/>
  <c r="AJ45" i="11"/>
  <c r="AI45" i="11"/>
  <c r="AH45" i="11"/>
  <c r="AG45" i="11"/>
  <c r="AF45" i="11"/>
  <c r="AE45" i="11"/>
  <c r="AD45" i="11"/>
  <c r="AC45" i="11"/>
  <c r="AM45" i="11" s="1"/>
  <c r="X45" i="11"/>
  <c r="W45" i="11"/>
  <c r="V45" i="11"/>
  <c r="U45" i="11"/>
  <c r="T45" i="11"/>
  <c r="S45" i="11"/>
  <c r="R45" i="11"/>
  <c r="Y45" i="11"/>
  <c r="AP45" i="11" s="1"/>
  <c r="AL44" i="11"/>
  <c r="AK44" i="11"/>
  <c r="AJ44" i="11"/>
  <c r="AI44" i="11"/>
  <c r="AH44" i="11"/>
  <c r="AG44" i="11"/>
  <c r="AF44" i="11"/>
  <c r="AE44" i="11"/>
  <c r="AD44" i="11"/>
  <c r="AC44" i="11"/>
  <c r="X44" i="11"/>
  <c r="W44" i="11"/>
  <c r="V44" i="11"/>
  <c r="U44" i="11"/>
  <c r="T44" i="11"/>
  <c r="S44" i="11"/>
  <c r="R44" i="11"/>
  <c r="AL43" i="11"/>
  <c r="AK43" i="11"/>
  <c r="AJ43" i="11"/>
  <c r="AI43" i="11"/>
  <c r="AH43" i="11"/>
  <c r="AG43" i="11"/>
  <c r="AF43" i="11"/>
  <c r="AE43" i="11"/>
  <c r="AD43" i="11"/>
  <c r="AC43" i="11"/>
  <c r="X43" i="11"/>
  <c r="W43" i="11"/>
  <c r="V43" i="11"/>
  <c r="U43" i="11"/>
  <c r="T43" i="11"/>
  <c r="S43" i="11"/>
  <c r="R43" i="11"/>
  <c r="AL42" i="11"/>
  <c r="AK42" i="11"/>
  <c r="AJ42" i="11"/>
  <c r="AI42" i="11"/>
  <c r="AH42" i="11"/>
  <c r="AG42" i="11"/>
  <c r="AF42" i="11"/>
  <c r="AE42" i="11"/>
  <c r="AD42" i="11"/>
  <c r="AC42" i="11"/>
  <c r="AM42" i="11" s="1"/>
  <c r="X42" i="11"/>
  <c r="W42" i="11"/>
  <c r="V42" i="11"/>
  <c r="U42" i="11"/>
  <c r="T42" i="11"/>
  <c r="S42" i="11"/>
  <c r="R42" i="11"/>
  <c r="AL41" i="11"/>
  <c r="AK41" i="11"/>
  <c r="AJ41" i="11"/>
  <c r="AI41" i="11"/>
  <c r="AH41" i="11"/>
  <c r="AG41" i="11"/>
  <c r="AF41" i="11"/>
  <c r="AE41" i="11"/>
  <c r="AD41" i="11"/>
  <c r="AC41" i="11"/>
  <c r="AM41" i="11" s="1"/>
  <c r="X41" i="11"/>
  <c r="W41" i="11"/>
  <c r="V41" i="11"/>
  <c r="U41" i="11"/>
  <c r="T41" i="11"/>
  <c r="S41" i="11"/>
  <c r="R41" i="11"/>
  <c r="AL40" i="11"/>
  <c r="AK40" i="11"/>
  <c r="AJ40" i="11"/>
  <c r="AI40" i="11"/>
  <c r="AH40" i="11"/>
  <c r="AG40" i="11"/>
  <c r="AF40" i="11"/>
  <c r="AE40" i="11"/>
  <c r="AD40" i="11"/>
  <c r="AC40" i="11"/>
  <c r="X40" i="11"/>
  <c r="W40" i="11"/>
  <c r="V40" i="11"/>
  <c r="U40" i="11"/>
  <c r="T40" i="11"/>
  <c r="S40" i="11"/>
  <c r="R40" i="11"/>
  <c r="AL39" i="11"/>
  <c r="AK39" i="11"/>
  <c r="AJ39" i="11"/>
  <c r="AI39" i="11"/>
  <c r="AH39" i="11"/>
  <c r="AG39" i="11"/>
  <c r="AF39" i="11"/>
  <c r="AE39" i="11"/>
  <c r="AD39" i="11"/>
  <c r="AC39" i="11"/>
  <c r="X39" i="11"/>
  <c r="W39" i="11"/>
  <c r="V39" i="11"/>
  <c r="U39" i="11"/>
  <c r="T39" i="11"/>
  <c r="S39" i="11"/>
  <c r="R39" i="11"/>
  <c r="AL38" i="11"/>
  <c r="AK38" i="11"/>
  <c r="AJ38" i="11"/>
  <c r="AI38" i="11"/>
  <c r="AH38" i="11"/>
  <c r="AG38" i="11"/>
  <c r="AF38" i="11"/>
  <c r="AE38" i="11"/>
  <c r="AD38" i="11"/>
  <c r="AC38" i="11"/>
  <c r="AM38" i="11" s="1"/>
  <c r="X38" i="11"/>
  <c r="W38" i="11"/>
  <c r="V38" i="11"/>
  <c r="U38" i="11"/>
  <c r="T38" i="11"/>
  <c r="S38" i="11"/>
  <c r="R38" i="11"/>
  <c r="AL37" i="11"/>
  <c r="AK37" i="11"/>
  <c r="AJ37" i="11"/>
  <c r="AI37" i="11"/>
  <c r="AH37" i="11"/>
  <c r="AG37" i="11"/>
  <c r="AF37" i="11"/>
  <c r="AE37" i="11"/>
  <c r="AD37" i="11"/>
  <c r="AC37" i="11"/>
  <c r="AM37" i="11" s="1"/>
  <c r="X37" i="11"/>
  <c r="W37" i="11"/>
  <c r="V37" i="11"/>
  <c r="U37" i="11"/>
  <c r="T37" i="11"/>
  <c r="S37" i="11"/>
  <c r="R37" i="11"/>
  <c r="Y37" i="11"/>
  <c r="AP37" i="11" s="1"/>
  <c r="AL36" i="11"/>
  <c r="AK36" i="11"/>
  <c r="AJ36" i="11"/>
  <c r="AI36" i="11"/>
  <c r="AH36" i="11"/>
  <c r="AG36" i="11"/>
  <c r="AF36" i="11"/>
  <c r="AE36" i="11"/>
  <c r="AD36" i="11"/>
  <c r="AC36" i="11"/>
  <c r="X36" i="11"/>
  <c r="W36" i="11"/>
  <c r="V36" i="11"/>
  <c r="U36" i="11"/>
  <c r="T36" i="11"/>
  <c r="S36" i="11"/>
  <c r="R36" i="11"/>
  <c r="AL26" i="11"/>
  <c r="AK26" i="11"/>
  <c r="AJ26" i="11"/>
  <c r="AI26" i="11"/>
  <c r="AH26" i="11"/>
  <c r="AG26" i="11"/>
  <c r="AF26" i="11"/>
  <c r="AE26" i="11"/>
  <c r="AD26" i="11"/>
  <c r="AC26" i="11"/>
  <c r="X26" i="11"/>
  <c r="W26" i="11"/>
  <c r="V26" i="11"/>
  <c r="U26" i="11"/>
  <c r="T26" i="11"/>
  <c r="S26" i="11"/>
  <c r="R26" i="11"/>
  <c r="AL25" i="11"/>
  <c r="AK25" i="11"/>
  <c r="AJ25" i="11"/>
  <c r="AI25" i="11"/>
  <c r="AH25" i="11"/>
  <c r="AG25" i="11"/>
  <c r="AF25" i="11"/>
  <c r="AE25" i="11"/>
  <c r="AD25" i="11"/>
  <c r="AC25" i="11"/>
  <c r="AM25" i="11" s="1"/>
  <c r="X25" i="11"/>
  <c r="W25" i="11"/>
  <c r="V25" i="11"/>
  <c r="U25" i="11"/>
  <c r="T25" i="11"/>
  <c r="S25" i="11"/>
  <c r="R25" i="11"/>
  <c r="AL24" i="11"/>
  <c r="AK24" i="11"/>
  <c r="AJ24" i="11"/>
  <c r="AI24" i="11"/>
  <c r="AH24" i="11"/>
  <c r="AG24" i="11"/>
  <c r="AF24" i="11"/>
  <c r="AE24" i="11"/>
  <c r="AD24" i="11"/>
  <c r="AC24" i="11"/>
  <c r="AM24" i="11" s="1"/>
  <c r="X24" i="11"/>
  <c r="W24" i="11"/>
  <c r="V24" i="11"/>
  <c r="U24" i="11"/>
  <c r="T24" i="11"/>
  <c r="S24" i="11"/>
  <c r="R24" i="11"/>
  <c r="AL23" i="11"/>
  <c r="AK23" i="11"/>
  <c r="AJ23" i="11"/>
  <c r="AI23" i="11"/>
  <c r="AH23" i="11"/>
  <c r="AG23" i="11"/>
  <c r="AF23" i="11"/>
  <c r="AE23" i="11"/>
  <c r="AD23" i="11"/>
  <c r="AC23" i="11"/>
  <c r="X23" i="11"/>
  <c r="W23" i="11"/>
  <c r="V23" i="11"/>
  <c r="U23" i="11"/>
  <c r="T23" i="11"/>
  <c r="S23" i="11"/>
  <c r="R23" i="11"/>
  <c r="AL22" i="11"/>
  <c r="AK22" i="11"/>
  <c r="AJ22" i="11"/>
  <c r="AI22" i="11"/>
  <c r="AH22" i="11"/>
  <c r="AG22" i="11"/>
  <c r="AF22" i="11"/>
  <c r="AE22" i="11"/>
  <c r="AD22" i="11"/>
  <c r="AC22" i="11"/>
  <c r="X22" i="11"/>
  <c r="W22" i="11"/>
  <c r="V22" i="11"/>
  <c r="U22" i="11"/>
  <c r="T22" i="11"/>
  <c r="S22" i="11"/>
  <c r="R22" i="11"/>
  <c r="AL21" i="11"/>
  <c r="AK21" i="11"/>
  <c r="AJ21" i="11"/>
  <c r="AI21" i="11"/>
  <c r="AH21" i="11"/>
  <c r="AG21" i="11"/>
  <c r="AF21" i="11"/>
  <c r="AE21" i="11"/>
  <c r="AD21" i="11"/>
  <c r="AC21" i="11"/>
  <c r="AM21" i="11" s="1"/>
  <c r="X21" i="11"/>
  <c r="W21" i="11"/>
  <c r="V21" i="11"/>
  <c r="U21" i="11"/>
  <c r="T21" i="11"/>
  <c r="S21" i="11"/>
  <c r="R21" i="11"/>
  <c r="AL20" i="11"/>
  <c r="AK20" i="11"/>
  <c r="AJ20" i="11"/>
  <c r="AI20" i="11"/>
  <c r="AH20" i="11"/>
  <c r="AG20" i="11"/>
  <c r="AF20" i="11"/>
  <c r="AE20" i="11"/>
  <c r="AD20" i="11"/>
  <c r="AC20" i="11"/>
  <c r="AM20" i="11" s="1"/>
  <c r="X20" i="11"/>
  <c r="W20" i="11"/>
  <c r="V20" i="11"/>
  <c r="U20" i="11"/>
  <c r="T20" i="11"/>
  <c r="S20" i="11"/>
  <c r="R20" i="11"/>
  <c r="AL19" i="11"/>
  <c r="AK19" i="11"/>
  <c r="AJ19" i="11"/>
  <c r="AI19" i="11"/>
  <c r="AH19" i="11"/>
  <c r="AG19" i="11"/>
  <c r="AF19" i="11"/>
  <c r="AE19" i="11"/>
  <c r="AD19" i="11"/>
  <c r="AC19" i="11"/>
  <c r="X19" i="11"/>
  <c r="W19" i="11"/>
  <c r="V19" i="11"/>
  <c r="U19" i="11"/>
  <c r="T19" i="11"/>
  <c r="S19" i="11"/>
  <c r="R19" i="11"/>
  <c r="AL18" i="11"/>
  <c r="AK18" i="11"/>
  <c r="AJ18" i="11"/>
  <c r="AI18" i="11"/>
  <c r="AH18" i="11"/>
  <c r="AG18" i="11"/>
  <c r="AF18" i="11"/>
  <c r="AE18" i="11"/>
  <c r="AD18" i="11"/>
  <c r="AC18" i="11"/>
  <c r="X18" i="11"/>
  <c r="W18" i="11"/>
  <c r="V18" i="11"/>
  <c r="U18" i="11"/>
  <c r="T18" i="11"/>
  <c r="S18" i="11"/>
  <c r="R18" i="11"/>
  <c r="AL17" i="11"/>
  <c r="AK17" i="11"/>
  <c r="AJ17" i="11"/>
  <c r="AI17" i="11"/>
  <c r="AH17" i="11"/>
  <c r="AG17" i="11"/>
  <c r="AF17" i="11"/>
  <c r="AE17" i="11"/>
  <c r="AD17" i="11"/>
  <c r="AC17" i="11"/>
  <c r="AM17" i="11" s="1"/>
  <c r="X17" i="11"/>
  <c r="W17" i="11"/>
  <c r="V17" i="11"/>
  <c r="U17" i="11"/>
  <c r="T17" i="11"/>
  <c r="S17" i="11"/>
  <c r="R17" i="11"/>
  <c r="AL16" i="11"/>
  <c r="AK16" i="11"/>
  <c r="AJ16" i="11"/>
  <c r="AI16" i="11"/>
  <c r="AH16" i="11"/>
  <c r="AG16" i="11"/>
  <c r="AF16" i="11"/>
  <c r="AE16" i="11"/>
  <c r="AD16" i="11"/>
  <c r="AC16" i="11"/>
  <c r="AM16" i="11" s="1"/>
  <c r="X16" i="11"/>
  <c r="W16" i="11"/>
  <c r="V16" i="11"/>
  <c r="U16" i="11"/>
  <c r="T16" i="11"/>
  <c r="S16" i="11"/>
  <c r="R16" i="11"/>
  <c r="AL15" i="11"/>
  <c r="AK15" i="11"/>
  <c r="AJ15" i="11"/>
  <c r="AI15" i="11"/>
  <c r="AH15" i="11"/>
  <c r="AG15" i="11"/>
  <c r="AF15" i="11"/>
  <c r="AE15" i="11"/>
  <c r="AD15" i="11"/>
  <c r="AC15" i="11"/>
  <c r="X15" i="11"/>
  <c r="W15" i="11"/>
  <c r="V15" i="11"/>
  <c r="U15" i="11"/>
  <c r="T15" i="11"/>
  <c r="S15" i="11"/>
  <c r="R15" i="11"/>
  <c r="AL14" i="11"/>
  <c r="AK14" i="11"/>
  <c r="AJ14" i="11"/>
  <c r="AI14" i="11"/>
  <c r="AH14" i="11"/>
  <c r="AG14" i="11"/>
  <c r="AF14" i="11"/>
  <c r="AE14" i="11"/>
  <c r="AD14" i="11"/>
  <c r="AC14" i="11"/>
  <c r="X14" i="11"/>
  <c r="W14" i="11"/>
  <c r="V14" i="11"/>
  <c r="U14" i="11"/>
  <c r="T14" i="11"/>
  <c r="S14" i="11"/>
  <c r="R14" i="11"/>
  <c r="AL13" i="11"/>
  <c r="AK13" i="11"/>
  <c r="AJ13" i="11"/>
  <c r="AI13" i="11"/>
  <c r="AH13" i="11"/>
  <c r="AG13" i="11"/>
  <c r="AF13" i="11"/>
  <c r="AE13" i="11"/>
  <c r="AD13" i="11"/>
  <c r="AC13" i="11"/>
  <c r="AM13" i="11" s="1"/>
  <c r="X13" i="11"/>
  <c r="W13" i="11"/>
  <c r="V13" i="11"/>
  <c r="U13" i="11"/>
  <c r="T13" i="11"/>
  <c r="S13" i="11"/>
  <c r="R13" i="11"/>
  <c r="AL12" i="11"/>
  <c r="AK12" i="11"/>
  <c r="AJ12" i="11"/>
  <c r="AI12" i="11"/>
  <c r="AH12" i="11"/>
  <c r="AG12" i="11"/>
  <c r="AF12" i="11"/>
  <c r="AE12" i="11"/>
  <c r="AD12" i="11"/>
  <c r="AC12" i="11"/>
  <c r="AM12" i="11" s="1"/>
  <c r="X12" i="11"/>
  <c r="W12" i="11"/>
  <c r="V12" i="11"/>
  <c r="U12" i="11"/>
  <c r="T12" i="11"/>
  <c r="S12" i="11"/>
  <c r="R12" i="11"/>
  <c r="AL11" i="11"/>
  <c r="AK11" i="11"/>
  <c r="AJ11" i="11"/>
  <c r="AI11" i="11"/>
  <c r="AH11" i="11"/>
  <c r="AG11" i="11"/>
  <c r="AF11" i="11"/>
  <c r="AE11" i="11"/>
  <c r="AD11" i="11"/>
  <c r="AC11" i="11"/>
  <c r="X11" i="11"/>
  <c r="W11" i="11"/>
  <c r="V11" i="11"/>
  <c r="U11" i="11"/>
  <c r="T11" i="11"/>
  <c r="S11" i="11"/>
  <c r="R11" i="11"/>
  <c r="AL10" i="11"/>
  <c r="AK10" i="11"/>
  <c r="AJ10" i="11"/>
  <c r="AI10" i="11"/>
  <c r="AH10" i="11"/>
  <c r="AG10" i="11"/>
  <c r="AF10" i="11"/>
  <c r="AE10" i="11"/>
  <c r="AD10" i="11"/>
  <c r="AC10" i="11"/>
  <c r="X10" i="11"/>
  <c r="W10" i="11"/>
  <c r="V10" i="11"/>
  <c r="U10" i="11"/>
  <c r="T10" i="11"/>
  <c r="S10" i="11"/>
  <c r="R10" i="11"/>
  <c r="AL9" i="11"/>
  <c r="AK9" i="11"/>
  <c r="AJ9" i="11"/>
  <c r="AI9" i="11"/>
  <c r="AH9" i="11"/>
  <c r="AG9" i="11"/>
  <c r="AF9" i="11"/>
  <c r="AE9" i="11"/>
  <c r="AD9" i="11"/>
  <c r="AC9" i="11"/>
  <c r="AM9" i="11" s="1"/>
  <c r="X9" i="11"/>
  <c r="W9" i="11"/>
  <c r="V9" i="11"/>
  <c r="U9" i="11"/>
  <c r="T9" i="11"/>
  <c r="S9" i="11"/>
  <c r="R9" i="11"/>
  <c r="AL8" i="11"/>
  <c r="AK8" i="11"/>
  <c r="AJ8" i="11"/>
  <c r="AI8" i="11"/>
  <c r="AH8" i="11"/>
  <c r="AG8" i="11"/>
  <c r="AF8" i="11"/>
  <c r="AE8" i="11"/>
  <c r="AD8" i="11"/>
  <c r="AC8" i="11"/>
  <c r="AM8" i="11" s="1"/>
  <c r="X8" i="11"/>
  <c r="W8" i="11"/>
  <c r="V8" i="11"/>
  <c r="U8" i="11"/>
  <c r="T8" i="11"/>
  <c r="S8" i="11"/>
  <c r="R8" i="11"/>
  <c r="AL7" i="11"/>
  <c r="AK7" i="11"/>
  <c r="AJ7" i="11"/>
  <c r="AI7" i="11"/>
  <c r="AH7" i="11"/>
  <c r="AG7" i="11"/>
  <c r="AF7" i="11"/>
  <c r="AE7" i="11"/>
  <c r="AD7" i="11"/>
  <c r="X7" i="11"/>
  <c r="W7" i="11"/>
  <c r="V7" i="11"/>
  <c r="U7" i="11"/>
  <c r="T7" i="11"/>
  <c r="S7" i="11"/>
  <c r="R7" i="11"/>
  <c r="P45" i="10"/>
  <c r="AC51" i="10"/>
  <c r="AD51" i="10"/>
  <c r="AE51" i="10"/>
  <c r="AF51" i="10"/>
  <c r="AG51" i="10"/>
  <c r="AH51" i="10"/>
  <c r="AI51" i="10"/>
  <c r="AJ51" i="10"/>
  <c r="AK51" i="10"/>
  <c r="AL51" i="10"/>
  <c r="AC52" i="10"/>
  <c r="AD52" i="10"/>
  <c r="AE52" i="10"/>
  <c r="AF52" i="10"/>
  <c r="AG52" i="10"/>
  <c r="AH52" i="10"/>
  <c r="AI52" i="10"/>
  <c r="AJ52" i="10"/>
  <c r="AK52" i="10"/>
  <c r="AL52" i="10"/>
  <c r="AC53" i="10"/>
  <c r="AD53" i="10"/>
  <c r="AE53" i="10"/>
  <c r="AF53" i="10"/>
  <c r="AG53" i="10"/>
  <c r="AH53" i="10"/>
  <c r="AI53" i="10"/>
  <c r="AJ53" i="10"/>
  <c r="AK53" i="10"/>
  <c r="AL53" i="10"/>
  <c r="AC54" i="10"/>
  <c r="AD54" i="10"/>
  <c r="AE54" i="10"/>
  <c r="AF54" i="10"/>
  <c r="AG54" i="10"/>
  <c r="AH54" i="10"/>
  <c r="AI54" i="10"/>
  <c r="AJ54" i="10"/>
  <c r="AK54" i="10"/>
  <c r="AL54" i="10"/>
  <c r="AC55" i="10"/>
  <c r="AD55" i="10"/>
  <c r="AE55" i="10"/>
  <c r="AF55" i="10"/>
  <c r="AG55" i="10"/>
  <c r="AH55" i="10"/>
  <c r="AI55" i="10"/>
  <c r="AJ55" i="10"/>
  <c r="AK55" i="10"/>
  <c r="AL55" i="10"/>
  <c r="O51" i="10"/>
  <c r="P51" i="10"/>
  <c r="Q51" i="10"/>
  <c r="R51" i="10"/>
  <c r="S51" i="10"/>
  <c r="T51" i="10"/>
  <c r="U51" i="10"/>
  <c r="V51" i="10"/>
  <c r="W51" i="10"/>
  <c r="X51" i="10"/>
  <c r="O52" i="10"/>
  <c r="P52" i="10"/>
  <c r="Q52" i="10"/>
  <c r="R52" i="10"/>
  <c r="S52" i="10"/>
  <c r="T52" i="10"/>
  <c r="U52" i="10"/>
  <c r="V52" i="10"/>
  <c r="W52" i="10"/>
  <c r="X52" i="10"/>
  <c r="Y52" i="10"/>
  <c r="O53" i="10"/>
  <c r="P53" i="10"/>
  <c r="Q53" i="10"/>
  <c r="R53" i="10"/>
  <c r="S53" i="10"/>
  <c r="T53" i="10"/>
  <c r="U53" i="10"/>
  <c r="V53" i="10"/>
  <c r="W53" i="10"/>
  <c r="X53" i="10"/>
  <c r="O54" i="10"/>
  <c r="P54" i="10"/>
  <c r="Q54" i="10"/>
  <c r="R54" i="10"/>
  <c r="S54" i="10"/>
  <c r="T54" i="10"/>
  <c r="U54" i="10"/>
  <c r="V54" i="10"/>
  <c r="W54" i="10"/>
  <c r="X54" i="10"/>
  <c r="O55" i="10"/>
  <c r="P55" i="10"/>
  <c r="Q55" i="10"/>
  <c r="R55" i="10"/>
  <c r="S55" i="10"/>
  <c r="T55" i="10"/>
  <c r="U55" i="10"/>
  <c r="V55" i="10"/>
  <c r="W55" i="10"/>
  <c r="X55" i="10"/>
  <c r="AC22" i="10"/>
  <c r="AD22" i="10"/>
  <c r="AE22" i="10"/>
  <c r="AF22" i="10"/>
  <c r="AG22" i="10"/>
  <c r="AH22" i="10"/>
  <c r="AI22" i="10"/>
  <c r="AJ22" i="10"/>
  <c r="AK22" i="10"/>
  <c r="AL22" i="10"/>
  <c r="AC23" i="10"/>
  <c r="AD23" i="10"/>
  <c r="AE23" i="10"/>
  <c r="AF23" i="10"/>
  <c r="AG23" i="10"/>
  <c r="AH23" i="10"/>
  <c r="AI23" i="10"/>
  <c r="AJ23" i="10"/>
  <c r="AK23" i="10"/>
  <c r="AL23" i="10"/>
  <c r="AC24" i="10"/>
  <c r="AD24" i="10"/>
  <c r="AE24" i="10"/>
  <c r="AF24" i="10"/>
  <c r="AG24" i="10"/>
  <c r="AH24" i="10"/>
  <c r="AI24" i="10"/>
  <c r="AJ24" i="10"/>
  <c r="AK24" i="10"/>
  <c r="AL24" i="10"/>
  <c r="AC25" i="10"/>
  <c r="AD25" i="10"/>
  <c r="AE25" i="10"/>
  <c r="AF25" i="10"/>
  <c r="AG25" i="10"/>
  <c r="AH25" i="10"/>
  <c r="AI25" i="10"/>
  <c r="AJ25" i="10"/>
  <c r="AK25" i="10"/>
  <c r="AL25" i="10"/>
  <c r="AC26" i="10"/>
  <c r="AD26" i="10"/>
  <c r="AE26" i="10"/>
  <c r="AF26" i="10"/>
  <c r="AG26" i="10"/>
  <c r="AH26" i="10"/>
  <c r="AI26" i="10"/>
  <c r="AJ26" i="10"/>
  <c r="AK26" i="10"/>
  <c r="AL26" i="10"/>
  <c r="O22" i="10"/>
  <c r="P22" i="10"/>
  <c r="Q22" i="10"/>
  <c r="R22" i="10"/>
  <c r="S22" i="10"/>
  <c r="T22" i="10"/>
  <c r="U22" i="10"/>
  <c r="V22" i="10"/>
  <c r="W22" i="10"/>
  <c r="X22" i="10"/>
  <c r="O23" i="10"/>
  <c r="P23" i="10"/>
  <c r="Q23" i="10"/>
  <c r="R23" i="10"/>
  <c r="S23" i="10"/>
  <c r="T23" i="10"/>
  <c r="U23" i="10"/>
  <c r="V23" i="10"/>
  <c r="W23" i="10"/>
  <c r="X23" i="10"/>
  <c r="O24" i="10"/>
  <c r="P24" i="10"/>
  <c r="Q24" i="10"/>
  <c r="R24" i="10"/>
  <c r="S24" i="10"/>
  <c r="T24" i="10"/>
  <c r="U24" i="10"/>
  <c r="V24" i="10"/>
  <c r="W24" i="10"/>
  <c r="X24" i="10"/>
  <c r="O25" i="10"/>
  <c r="P25" i="10"/>
  <c r="Q25" i="10"/>
  <c r="R25" i="10"/>
  <c r="S25" i="10"/>
  <c r="T25" i="10"/>
  <c r="U25" i="10"/>
  <c r="V25" i="10"/>
  <c r="W25" i="10"/>
  <c r="X25" i="10"/>
  <c r="O26" i="10"/>
  <c r="P26" i="10"/>
  <c r="Q26" i="10"/>
  <c r="R26" i="10"/>
  <c r="S26" i="10"/>
  <c r="T26" i="10"/>
  <c r="U26" i="10"/>
  <c r="V26" i="10"/>
  <c r="W26" i="10"/>
  <c r="X26" i="10"/>
  <c r="O7" i="10"/>
  <c r="H2" i="9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AC37" i="10"/>
  <c r="AD37" i="10"/>
  <c r="AE37" i="10"/>
  <c r="AF37" i="10"/>
  <c r="AG37" i="10"/>
  <c r="AH37" i="10"/>
  <c r="AI37" i="10"/>
  <c r="AJ37" i="10"/>
  <c r="AK37" i="10"/>
  <c r="AL37" i="10"/>
  <c r="AC38" i="10"/>
  <c r="AD38" i="10"/>
  <c r="AE38" i="10"/>
  <c r="AF38" i="10"/>
  <c r="AG38" i="10"/>
  <c r="AH38" i="10"/>
  <c r="AI38" i="10"/>
  <c r="AJ38" i="10"/>
  <c r="AK38" i="10"/>
  <c r="AL38" i="10"/>
  <c r="AC39" i="10"/>
  <c r="AD39" i="10"/>
  <c r="AE39" i="10"/>
  <c r="AF39" i="10"/>
  <c r="AG39" i="10"/>
  <c r="AH39" i="10"/>
  <c r="AI39" i="10"/>
  <c r="AJ39" i="10"/>
  <c r="AK39" i="10"/>
  <c r="AL39" i="10"/>
  <c r="AC40" i="10"/>
  <c r="AD40" i="10"/>
  <c r="AE40" i="10"/>
  <c r="AF40" i="10"/>
  <c r="AG40" i="10"/>
  <c r="AH40" i="10"/>
  <c r="AI40" i="10"/>
  <c r="AJ40" i="10"/>
  <c r="AK40" i="10"/>
  <c r="AL40" i="10"/>
  <c r="AC41" i="10"/>
  <c r="AD41" i="10"/>
  <c r="AE41" i="10"/>
  <c r="AF41" i="10"/>
  <c r="AG41" i="10"/>
  <c r="AH41" i="10"/>
  <c r="AI41" i="10"/>
  <c r="AJ41" i="10"/>
  <c r="AK41" i="10"/>
  <c r="AL41" i="10"/>
  <c r="AC42" i="10"/>
  <c r="AD42" i="10"/>
  <c r="AE42" i="10"/>
  <c r="AF42" i="10"/>
  <c r="AG42" i="10"/>
  <c r="AH42" i="10"/>
  <c r="AI42" i="10"/>
  <c r="AJ42" i="10"/>
  <c r="AK42" i="10"/>
  <c r="AL42" i="10"/>
  <c r="AC43" i="10"/>
  <c r="AD43" i="10"/>
  <c r="AE43" i="10"/>
  <c r="AF43" i="10"/>
  <c r="AG43" i="10"/>
  <c r="AH43" i="10"/>
  <c r="AI43" i="10"/>
  <c r="AJ43" i="10"/>
  <c r="AK43" i="10"/>
  <c r="AL43" i="10"/>
  <c r="AC44" i="10"/>
  <c r="AD44" i="10"/>
  <c r="AE44" i="10"/>
  <c r="AF44" i="10"/>
  <c r="AG44" i="10"/>
  <c r="AH44" i="10"/>
  <c r="AI44" i="10"/>
  <c r="AJ44" i="10"/>
  <c r="AK44" i="10"/>
  <c r="AL44" i="10"/>
  <c r="AC45" i="10"/>
  <c r="AD45" i="10"/>
  <c r="AE45" i="10"/>
  <c r="AF45" i="10"/>
  <c r="AG45" i="10"/>
  <c r="AH45" i="10"/>
  <c r="AI45" i="10"/>
  <c r="AJ45" i="10"/>
  <c r="AK45" i="10"/>
  <c r="AL45" i="10"/>
  <c r="AC46" i="10"/>
  <c r="AD46" i="10"/>
  <c r="AE46" i="10"/>
  <c r="AF46" i="10"/>
  <c r="AG46" i="10"/>
  <c r="AH46" i="10"/>
  <c r="AI46" i="10"/>
  <c r="AJ46" i="10"/>
  <c r="AK46" i="10"/>
  <c r="AL46" i="10"/>
  <c r="AC47" i="10"/>
  <c r="AD47" i="10"/>
  <c r="AE47" i="10"/>
  <c r="AF47" i="10"/>
  <c r="AG47" i="10"/>
  <c r="AH47" i="10"/>
  <c r="AI47" i="10"/>
  <c r="AJ47" i="10"/>
  <c r="AK47" i="10"/>
  <c r="AL47" i="10"/>
  <c r="AC48" i="10"/>
  <c r="AD48" i="10"/>
  <c r="AE48" i="10"/>
  <c r="AF48" i="10"/>
  <c r="AG48" i="10"/>
  <c r="AH48" i="10"/>
  <c r="AI48" i="10"/>
  <c r="AJ48" i="10"/>
  <c r="AK48" i="10"/>
  <c r="AL48" i="10"/>
  <c r="AC49" i="10"/>
  <c r="AD49" i="10"/>
  <c r="AE49" i="10"/>
  <c r="AF49" i="10"/>
  <c r="AG49" i="10"/>
  <c r="AH49" i="10"/>
  <c r="AI49" i="10"/>
  <c r="AJ49" i="10"/>
  <c r="AK49" i="10"/>
  <c r="AL49" i="10"/>
  <c r="AC50" i="10"/>
  <c r="AD50" i="10"/>
  <c r="AE50" i="10"/>
  <c r="AF50" i="10"/>
  <c r="AG50" i="10"/>
  <c r="AH50" i="10"/>
  <c r="AI50" i="10"/>
  <c r="AJ50" i="10"/>
  <c r="AK50" i="10"/>
  <c r="AL50" i="10"/>
  <c r="AD36" i="10"/>
  <c r="AE36" i="10"/>
  <c r="AF36" i="10"/>
  <c r="AG36" i="10"/>
  <c r="AH36" i="10"/>
  <c r="AI36" i="10"/>
  <c r="AJ36" i="10"/>
  <c r="AK36" i="10"/>
  <c r="AL36" i="10"/>
  <c r="AC36" i="10"/>
  <c r="O37" i="10"/>
  <c r="P37" i="10"/>
  <c r="Q37" i="10"/>
  <c r="O38" i="10"/>
  <c r="P38" i="10"/>
  <c r="Q38" i="10"/>
  <c r="O39" i="10"/>
  <c r="P39" i="10"/>
  <c r="Q39" i="10"/>
  <c r="O40" i="10"/>
  <c r="P40" i="10"/>
  <c r="Q40" i="10"/>
  <c r="O41" i="10"/>
  <c r="P41" i="10"/>
  <c r="Q41" i="10"/>
  <c r="O42" i="10"/>
  <c r="P42" i="10"/>
  <c r="Q42" i="10"/>
  <c r="O43" i="10"/>
  <c r="P43" i="10"/>
  <c r="Q43" i="10"/>
  <c r="O44" i="10"/>
  <c r="P44" i="10"/>
  <c r="Q44" i="10"/>
  <c r="O45" i="10"/>
  <c r="Q45" i="10"/>
  <c r="O46" i="10"/>
  <c r="P46" i="10"/>
  <c r="Q46" i="10"/>
  <c r="O47" i="10"/>
  <c r="P47" i="10"/>
  <c r="Q47" i="10"/>
  <c r="O48" i="10"/>
  <c r="P48" i="10"/>
  <c r="Q48" i="10"/>
  <c r="O49" i="10"/>
  <c r="P49" i="10"/>
  <c r="Q49" i="10"/>
  <c r="O50" i="10"/>
  <c r="P50" i="10"/>
  <c r="Q50" i="10"/>
  <c r="P36" i="10"/>
  <c r="Q36" i="10"/>
  <c r="S37" i="10"/>
  <c r="T37" i="10"/>
  <c r="U37" i="10"/>
  <c r="V37" i="10"/>
  <c r="W37" i="10"/>
  <c r="X37" i="10"/>
  <c r="S38" i="10"/>
  <c r="T38" i="10"/>
  <c r="U38" i="10"/>
  <c r="V38" i="10"/>
  <c r="W38" i="10"/>
  <c r="X38" i="10"/>
  <c r="S39" i="10"/>
  <c r="T39" i="10"/>
  <c r="U39" i="10"/>
  <c r="V39" i="10"/>
  <c r="W39" i="10"/>
  <c r="X39" i="10"/>
  <c r="S40" i="10"/>
  <c r="T40" i="10"/>
  <c r="U40" i="10"/>
  <c r="V40" i="10"/>
  <c r="W40" i="10"/>
  <c r="X40" i="10"/>
  <c r="S41" i="10"/>
  <c r="T41" i="10"/>
  <c r="U41" i="10"/>
  <c r="V41" i="10"/>
  <c r="W41" i="10"/>
  <c r="X41" i="10"/>
  <c r="S42" i="10"/>
  <c r="T42" i="10"/>
  <c r="U42" i="10"/>
  <c r="V42" i="10"/>
  <c r="W42" i="10"/>
  <c r="X42" i="10"/>
  <c r="S43" i="10"/>
  <c r="T43" i="10"/>
  <c r="U43" i="10"/>
  <c r="V43" i="10"/>
  <c r="W43" i="10"/>
  <c r="X43" i="10"/>
  <c r="S44" i="10"/>
  <c r="T44" i="10"/>
  <c r="U44" i="10"/>
  <c r="V44" i="10"/>
  <c r="W44" i="10"/>
  <c r="X44" i="10"/>
  <c r="S45" i="10"/>
  <c r="T45" i="10"/>
  <c r="U45" i="10"/>
  <c r="V45" i="10"/>
  <c r="W45" i="10"/>
  <c r="X45" i="10"/>
  <c r="S46" i="10"/>
  <c r="T46" i="10"/>
  <c r="U46" i="10"/>
  <c r="V46" i="10"/>
  <c r="W46" i="10"/>
  <c r="X46" i="10"/>
  <c r="S47" i="10"/>
  <c r="T47" i="10"/>
  <c r="U47" i="10"/>
  <c r="V47" i="10"/>
  <c r="W47" i="10"/>
  <c r="X47" i="10"/>
  <c r="S48" i="10"/>
  <c r="T48" i="10"/>
  <c r="U48" i="10"/>
  <c r="V48" i="10"/>
  <c r="W48" i="10"/>
  <c r="X48" i="10"/>
  <c r="S49" i="10"/>
  <c r="T49" i="10"/>
  <c r="U49" i="10"/>
  <c r="V49" i="10"/>
  <c r="W49" i="10"/>
  <c r="X49" i="10"/>
  <c r="S50" i="10"/>
  <c r="T50" i="10"/>
  <c r="U50" i="10"/>
  <c r="V50" i="10"/>
  <c r="W50" i="10"/>
  <c r="X50" i="10"/>
  <c r="T36" i="10"/>
  <c r="U36" i="10"/>
  <c r="V36" i="10"/>
  <c r="W36" i="10"/>
  <c r="X36" i="10"/>
  <c r="S36" i="10"/>
  <c r="O36" i="10"/>
  <c r="AL21" i="10"/>
  <c r="AK21" i="10"/>
  <c r="AJ21" i="10"/>
  <c r="AI21" i="10"/>
  <c r="AH21" i="10"/>
  <c r="AG21" i="10"/>
  <c r="AF21" i="10"/>
  <c r="AE21" i="10"/>
  <c r="AD21" i="10"/>
  <c r="AC21" i="10"/>
  <c r="X21" i="10"/>
  <c r="W21" i="10"/>
  <c r="V21" i="10"/>
  <c r="U21" i="10"/>
  <c r="T21" i="10"/>
  <c r="S21" i="10"/>
  <c r="R21" i="10"/>
  <c r="Q21" i="10"/>
  <c r="P21" i="10"/>
  <c r="O21" i="10"/>
  <c r="AL20" i="10"/>
  <c r="AK20" i="10"/>
  <c r="AJ20" i="10"/>
  <c r="AI20" i="10"/>
  <c r="AH20" i="10"/>
  <c r="AG20" i="10"/>
  <c r="AF20" i="10"/>
  <c r="AE20" i="10"/>
  <c r="AD20" i="10"/>
  <c r="AC20" i="10"/>
  <c r="X20" i="10"/>
  <c r="W20" i="10"/>
  <c r="V20" i="10"/>
  <c r="U20" i="10"/>
  <c r="T20" i="10"/>
  <c r="S20" i="10"/>
  <c r="R20" i="10"/>
  <c r="Q20" i="10"/>
  <c r="P20" i="10"/>
  <c r="O20" i="10"/>
  <c r="AL19" i="10"/>
  <c r="AK19" i="10"/>
  <c r="AJ19" i="10"/>
  <c r="AI19" i="10"/>
  <c r="AH19" i="10"/>
  <c r="AG19" i="10"/>
  <c r="AF19" i="10"/>
  <c r="AE19" i="10"/>
  <c r="AD19" i="10"/>
  <c r="AC19" i="10"/>
  <c r="X19" i="10"/>
  <c r="W19" i="10"/>
  <c r="V19" i="10"/>
  <c r="U19" i="10"/>
  <c r="T19" i="10"/>
  <c r="S19" i="10"/>
  <c r="R19" i="10"/>
  <c r="Q19" i="10"/>
  <c r="P19" i="10"/>
  <c r="O19" i="10"/>
  <c r="AL18" i="10"/>
  <c r="AK18" i="10"/>
  <c r="AJ18" i="10"/>
  <c r="AI18" i="10"/>
  <c r="AH18" i="10"/>
  <c r="AG18" i="10"/>
  <c r="AF18" i="10"/>
  <c r="AE18" i="10"/>
  <c r="AD18" i="10"/>
  <c r="AC18" i="10"/>
  <c r="X18" i="10"/>
  <c r="W18" i="10"/>
  <c r="V18" i="10"/>
  <c r="U18" i="10"/>
  <c r="T18" i="10"/>
  <c r="S18" i="10"/>
  <c r="R18" i="10"/>
  <c r="Q18" i="10"/>
  <c r="P18" i="10"/>
  <c r="O18" i="10"/>
  <c r="AL17" i="10"/>
  <c r="AK17" i="10"/>
  <c r="AJ17" i="10"/>
  <c r="AI17" i="10"/>
  <c r="AH17" i="10"/>
  <c r="AG17" i="10"/>
  <c r="AF17" i="10"/>
  <c r="AE17" i="10"/>
  <c r="AD17" i="10"/>
  <c r="AC17" i="10"/>
  <c r="X17" i="10"/>
  <c r="W17" i="10"/>
  <c r="V17" i="10"/>
  <c r="U17" i="10"/>
  <c r="T17" i="10"/>
  <c r="S17" i="10"/>
  <c r="R17" i="10"/>
  <c r="Q17" i="10"/>
  <c r="P17" i="10"/>
  <c r="O17" i="10"/>
  <c r="AL16" i="10"/>
  <c r="AK16" i="10"/>
  <c r="AJ16" i="10"/>
  <c r="AI16" i="10"/>
  <c r="AH16" i="10"/>
  <c r="AG16" i="10"/>
  <c r="AF16" i="10"/>
  <c r="AE16" i="10"/>
  <c r="AD16" i="10"/>
  <c r="AC16" i="10"/>
  <c r="X16" i="10"/>
  <c r="W16" i="10"/>
  <c r="V16" i="10"/>
  <c r="U16" i="10"/>
  <c r="T16" i="10"/>
  <c r="S16" i="10"/>
  <c r="R16" i="10"/>
  <c r="Q16" i="10"/>
  <c r="P16" i="10"/>
  <c r="O16" i="10"/>
  <c r="AL15" i="10"/>
  <c r="AK15" i="10"/>
  <c r="AJ15" i="10"/>
  <c r="AI15" i="10"/>
  <c r="AH15" i="10"/>
  <c r="AG15" i="10"/>
  <c r="AF15" i="10"/>
  <c r="AE15" i="10"/>
  <c r="AD15" i="10"/>
  <c r="AC15" i="10"/>
  <c r="X15" i="10"/>
  <c r="W15" i="10"/>
  <c r="V15" i="10"/>
  <c r="U15" i="10"/>
  <c r="T15" i="10"/>
  <c r="S15" i="10"/>
  <c r="R15" i="10"/>
  <c r="Q15" i="10"/>
  <c r="P15" i="10"/>
  <c r="O15" i="10"/>
  <c r="AL14" i="10"/>
  <c r="AK14" i="10"/>
  <c r="AJ14" i="10"/>
  <c r="AI14" i="10"/>
  <c r="AH14" i="10"/>
  <c r="AG14" i="10"/>
  <c r="AF14" i="10"/>
  <c r="AE14" i="10"/>
  <c r="AD14" i="10"/>
  <c r="AC14" i="10"/>
  <c r="X14" i="10"/>
  <c r="W14" i="10"/>
  <c r="V14" i="10"/>
  <c r="U14" i="10"/>
  <c r="T14" i="10"/>
  <c r="S14" i="10"/>
  <c r="R14" i="10"/>
  <c r="Q14" i="10"/>
  <c r="P14" i="10"/>
  <c r="O14" i="10"/>
  <c r="AL13" i="10"/>
  <c r="AK13" i="10"/>
  <c r="AJ13" i="10"/>
  <c r="AI13" i="10"/>
  <c r="AH13" i="10"/>
  <c r="AG13" i="10"/>
  <c r="AF13" i="10"/>
  <c r="AE13" i="10"/>
  <c r="AD13" i="10"/>
  <c r="AC13" i="10"/>
  <c r="X13" i="10"/>
  <c r="W13" i="10"/>
  <c r="V13" i="10"/>
  <c r="U13" i="10"/>
  <c r="T13" i="10"/>
  <c r="S13" i="10"/>
  <c r="R13" i="10"/>
  <c r="Q13" i="10"/>
  <c r="P13" i="10"/>
  <c r="O13" i="10"/>
  <c r="AL12" i="10"/>
  <c r="AK12" i="10"/>
  <c r="AJ12" i="10"/>
  <c r="AI12" i="10"/>
  <c r="AH12" i="10"/>
  <c r="AG12" i="10"/>
  <c r="AF12" i="10"/>
  <c r="AE12" i="10"/>
  <c r="AD12" i="10"/>
  <c r="AC12" i="10"/>
  <c r="X12" i="10"/>
  <c r="W12" i="10"/>
  <c r="V12" i="10"/>
  <c r="U12" i="10"/>
  <c r="T12" i="10"/>
  <c r="S12" i="10"/>
  <c r="R12" i="10"/>
  <c r="Q12" i="10"/>
  <c r="P12" i="10"/>
  <c r="O12" i="10"/>
  <c r="AL11" i="10"/>
  <c r="AK11" i="10"/>
  <c r="AJ11" i="10"/>
  <c r="AI11" i="10"/>
  <c r="AH11" i="10"/>
  <c r="AG11" i="10"/>
  <c r="AF11" i="10"/>
  <c r="AE11" i="10"/>
  <c r="AD11" i="10"/>
  <c r="AC11" i="10"/>
  <c r="X11" i="10"/>
  <c r="W11" i="10"/>
  <c r="V11" i="10"/>
  <c r="U11" i="10"/>
  <c r="T11" i="10"/>
  <c r="S11" i="10"/>
  <c r="R11" i="10"/>
  <c r="Q11" i="10"/>
  <c r="P11" i="10"/>
  <c r="O11" i="10"/>
  <c r="AL10" i="10"/>
  <c r="AK10" i="10"/>
  <c r="AJ10" i="10"/>
  <c r="AI10" i="10"/>
  <c r="AH10" i="10"/>
  <c r="AG10" i="10"/>
  <c r="AF10" i="10"/>
  <c r="AE10" i="10"/>
  <c r="AD10" i="10"/>
  <c r="AC10" i="10"/>
  <c r="X10" i="10"/>
  <c r="W10" i="10"/>
  <c r="V10" i="10"/>
  <c r="U10" i="10"/>
  <c r="T10" i="10"/>
  <c r="S10" i="10"/>
  <c r="R10" i="10"/>
  <c r="Q10" i="10"/>
  <c r="P10" i="10"/>
  <c r="O10" i="10"/>
  <c r="AL9" i="10"/>
  <c r="AK9" i="10"/>
  <c r="AJ9" i="10"/>
  <c r="AI9" i="10"/>
  <c r="AH9" i="10"/>
  <c r="AG9" i="10"/>
  <c r="AF9" i="10"/>
  <c r="AE9" i="10"/>
  <c r="AD9" i="10"/>
  <c r="AC9" i="10"/>
  <c r="X9" i="10"/>
  <c r="W9" i="10"/>
  <c r="V9" i="10"/>
  <c r="U9" i="10"/>
  <c r="T9" i="10"/>
  <c r="S9" i="10"/>
  <c r="R9" i="10"/>
  <c r="Q9" i="10"/>
  <c r="P9" i="10"/>
  <c r="O9" i="10"/>
  <c r="AL8" i="10"/>
  <c r="AK8" i="10"/>
  <c r="AJ8" i="10"/>
  <c r="AI8" i="10"/>
  <c r="AH8" i="10"/>
  <c r="AG8" i="10"/>
  <c r="AF8" i="10"/>
  <c r="AE8" i="10"/>
  <c r="AD8" i="10"/>
  <c r="AC8" i="10"/>
  <c r="X8" i="10"/>
  <c r="W8" i="10"/>
  <c r="V8" i="10"/>
  <c r="U8" i="10"/>
  <c r="T8" i="10"/>
  <c r="S8" i="10"/>
  <c r="R8" i="10"/>
  <c r="Q8" i="10"/>
  <c r="P8" i="10"/>
  <c r="O8" i="10"/>
  <c r="AL7" i="10"/>
  <c r="AK7" i="10"/>
  <c r="AJ7" i="10"/>
  <c r="AI7" i="10"/>
  <c r="AH7" i="10"/>
  <c r="AG7" i="10"/>
  <c r="AF7" i="10"/>
  <c r="AE7" i="10"/>
  <c r="AD7" i="10"/>
  <c r="AC7" i="10"/>
  <c r="X7" i="10"/>
  <c r="W7" i="10"/>
  <c r="V7" i="10"/>
  <c r="U7" i="10"/>
  <c r="T7" i="10"/>
  <c r="S7" i="10"/>
  <c r="R7" i="10"/>
  <c r="Q7" i="10"/>
  <c r="P7" i="10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" i="7"/>
  <c r="AM7" i="11" l="1"/>
  <c r="Y9" i="11"/>
  <c r="AP9" i="11" s="1"/>
  <c r="Y10" i="11"/>
  <c r="R62" i="11" s="1"/>
  <c r="AM11" i="11"/>
  <c r="R63" i="11" s="1"/>
  <c r="Y13" i="11"/>
  <c r="AP13" i="11" s="1"/>
  <c r="Y14" i="11"/>
  <c r="AP14" i="11" s="1"/>
  <c r="AM15" i="11"/>
  <c r="Y17" i="11"/>
  <c r="AP17" i="11" s="1"/>
  <c r="Y18" i="11"/>
  <c r="AP18" i="11" s="1"/>
  <c r="AM19" i="11"/>
  <c r="Y21" i="11"/>
  <c r="Y22" i="11"/>
  <c r="AP22" i="11" s="1"/>
  <c r="AM23" i="11"/>
  <c r="Y25" i="11"/>
  <c r="AP25" i="11" s="1"/>
  <c r="Y26" i="11"/>
  <c r="AM36" i="11"/>
  <c r="S59" i="11" s="1"/>
  <c r="Y38" i="11"/>
  <c r="AP38" i="11" s="1"/>
  <c r="Y39" i="11"/>
  <c r="AP39" i="11" s="1"/>
  <c r="AM40" i="11"/>
  <c r="Y42" i="11"/>
  <c r="S65" i="11" s="1"/>
  <c r="Y43" i="11"/>
  <c r="AP43" i="11" s="1"/>
  <c r="AM44" i="11"/>
  <c r="Y46" i="11"/>
  <c r="Y47" i="11"/>
  <c r="AP47" i="11" s="1"/>
  <c r="AM48" i="11"/>
  <c r="Y50" i="11"/>
  <c r="S73" i="11" s="1"/>
  <c r="Y51" i="11"/>
  <c r="Y53" i="11"/>
  <c r="Y55" i="11"/>
  <c r="Y7" i="11"/>
  <c r="AP7" i="11" s="1"/>
  <c r="Y11" i="11"/>
  <c r="Y15" i="11"/>
  <c r="R67" i="11" s="1"/>
  <c r="Y19" i="11"/>
  <c r="AP19" i="11" s="1"/>
  <c r="Y23" i="11"/>
  <c r="AP23" i="11" s="1"/>
  <c r="Y36" i="11"/>
  <c r="Y40" i="11"/>
  <c r="AP40" i="11" s="1"/>
  <c r="Y44" i="11"/>
  <c r="Y48" i="11"/>
  <c r="S69" i="11"/>
  <c r="S75" i="11"/>
  <c r="S77" i="11"/>
  <c r="AM10" i="11"/>
  <c r="AP10" i="11" s="1"/>
  <c r="AM14" i="11"/>
  <c r="AM18" i="11"/>
  <c r="AM22" i="11"/>
  <c r="AM26" i="11"/>
  <c r="R78" i="11" s="1"/>
  <c r="AM39" i="11"/>
  <c r="AM43" i="11"/>
  <c r="AM47" i="11"/>
  <c r="AM51" i="11"/>
  <c r="S74" i="11" s="1"/>
  <c r="AM53" i="11"/>
  <c r="AM55" i="11"/>
  <c r="R64" i="11"/>
  <c r="AP12" i="11"/>
  <c r="R72" i="11"/>
  <c r="AP20" i="11"/>
  <c r="AP24" i="11"/>
  <c r="R76" i="11"/>
  <c r="R70" i="11"/>
  <c r="AP21" i="11"/>
  <c r="R73" i="11"/>
  <c r="AP26" i="11"/>
  <c r="AP42" i="11"/>
  <c r="AP46" i="11"/>
  <c r="R60" i="11"/>
  <c r="AP8" i="11"/>
  <c r="R68" i="11"/>
  <c r="AP16" i="11"/>
  <c r="S60" i="11"/>
  <c r="S64" i="11"/>
  <c r="S68" i="11"/>
  <c r="S72" i="11"/>
  <c r="AP11" i="11"/>
  <c r="AP44" i="11"/>
  <c r="AM52" i="10"/>
  <c r="S75" i="10" s="1"/>
  <c r="Y51" i="10"/>
  <c r="AM54" i="10"/>
  <c r="Y54" i="10"/>
  <c r="AM53" i="10"/>
  <c r="S76" i="10" s="1"/>
  <c r="Y53" i="10"/>
  <c r="AM55" i="10"/>
  <c r="AM51" i="10"/>
  <c r="S74" i="10" s="1"/>
  <c r="Y55" i="10"/>
  <c r="AM25" i="10"/>
  <c r="Y25" i="10"/>
  <c r="AM26" i="10"/>
  <c r="AM23" i="10"/>
  <c r="Y26" i="10"/>
  <c r="Y23" i="10"/>
  <c r="AM22" i="10"/>
  <c r="Y22" i="10"/>
  <c r="AM24" i="10"/>
  <c r="Y24" i="10"/>
  <c r="AM46" i="10"/>
  <c r="Y45" i="10"/>
  <c r="Y41" i="10"/>
  <c r="Y40" i="10"/>
  <c r="AM50" i="10"/>
  <c r="AM42" i="10"/>
  <c r="AM39" i="10"/>
  <c r="AM8" i="10"/>
  <c r="AM12" i="10"/>
  <c r="AM16" i="10"/>
  <c r="AM20" i="10"/>
  <c r="Y48" i="10"/>
  <c r="Y7" i="10"/>
  <c r="Y8" i="10"/>
  <c r="AM13" i="10"/>
  <c r="Y15" i="10"/>
  <c r="Y16" i="10"/>
  <c r="AM17" i="10"/>
  <c r="Y19" i="10"/>
  <c r="Y20" i="10"/>
  <c r="AM21" i="10"/>
  <c r="Y37" i="10"/>
  <c r="AM38" i="10"/>
  <c r="AM9" i="10"/>
  <c r="Y11" i="10"/>
  <c r="Y12" i="10"/>
  <c r="Y9" i="10"/>
  <c r="Y13" i="10"/>
  <c r="Y17" i="10"/>
  <c r="Y21" i="10"/>
  <c r="Y36" i="10"/>
  <c r="AM47" i="10"/>
  <c r="AM43" i="10"/>
  <c r="AM40" i="10"/>
  <c r="Y49" i="10"/>
  <c r="AM7" i="10"/>
  <c r="Y10" i="10"/>
  <c r="AM10" i="10"/>
  <c r="AM11" i="10"/>
  <c r="Y14" i="10"/>
  <c r="AM14" i="10"/>
  <c r="AM15" i="10"/>
  <c r="Y18" i="10"/>
  <c r="AM18" i="10"/>
  <c r="AM19" i="10"/>
  <c r="AM49" i="10"/>
  <c r="AM48" i="10"/>
  <c r="AM45" i="10"/>
  <c r="AM44" i="10"/>
  <c r="AM41" i="10"/>
  <c r="AM37" i="10"/>
  <c r="AM36" i="10"/>
  <c r="Y44" i="10"/>
  <c r="AP44" i="10" s="1"/>
  <c r="Y50" i="10"/>
  <c r="Y47" i="10"/>
  <c r="Y46" i="10"/>
  <c r="Y43" i="10"/>
  <c r="AP43" i="10" s="1"/>
  <c r="Y42" i="10"/>
  <c r="AP42" i="10" s="1"/>
  <c r="Y39" i="10"/>
  <c r="AP39" i="10" s="1"/>
  <c r="Y38" i="10"/>
  <c r="S70" i="11" l="1"/>
  <c r="AP50" i="11"/>
  <c r="S62" i="11"/>
  <c r="S71" i="11"/>
  <c r="R74" i="11"/>
  <c r="AP15" i="11"/>
  <c r="R61" i="11"/>
  <c r="R66" i="11"/>
  <c r="R77" i="11"/>
  <c r="R75" i="11"/>
  <c r="R59" i="11"/>
  <c r="R71" i="11"/>
  <c r="AP36" i="11"/>
  <c r="R69" i="11"/>
  <c r="R65" i="11"/>
  <c r="S78" i="11"/>
  <c r="S66" i="11"/>
  <c r="S61" i="11"/>
  <c r="S63" i="11"/>
  <c r="AP48" i="11"/>
  <c r="S76" i="11"/>
  <c r="S67" i="11"/>
  <c r="AP24" i="10"/>
  <c r="R76" i="10"/>
  <c r="R75" i="10"/>
  <c r="AP25" i="10"/>
  <c r="R77" i="10"/>
  <c r="S78" i="10"/>
  <c r="S77" i="10"/>
  <c r="R78" i="10"/>
  <c r="R74" i="10"/>
  <c r="AP22" i="10"/>
  <c r="AP23" i="10"/>
  <c r="AP26" i="10"/>
  <c r="AP7" i="10"/>
  <c r="AP46" i="10"/>
  <c r="AP15" i="10"/>
  <c r="AP8" i="10"/>
  <c r="S60" i="10"/>
  <c r="AP49" i="10"/>
  <c r="R68" i="10"/>
  <c r="AP47" i="10"/>
  <c r="S71" i="10"/>
  <c r="R61" i="10"/>
  <c r="AP13" i="10"/>
  <c r="AP20" i="10"/>
  <c r="S63" i="10"/>
  <c r="S68" i="10"/>
  <c r="S59" i="10"/>
  <c r="AP50" i="10"/>
  <c r="R64" i="10"/>
  <c r="R60" i="10"/>
  <c r="AP45" i="10"/>
  <c r="AP11" i="10"/>
  <c r="AP36" i="10"/>
  <c r="S61" i="10"/>
  <c r="R71" i="10"/>
  <c r="S64" i="10"/>
  <c r="R73" i="10"/>
  <c r="AP17" i="10"/>
  <c r="S69" i="10"/>
  <c r="AP16" i="10"/>
  <c r="R72" i="10"/>
  <c r="S73" i="10"/>
  <c r="AP9" i="10"/>
  <c r="AP37" i="10"/>
  <c r="AP40" i="10"/>
  <c r="AP19" i="10"/>
  <c r="AP14" i="10"/>
  <c r="R66" i="10"/>
  <c r="S70" i="10"/>
  <c r="R65" i="10"/>
  <c r="R67" i="10"/>
  <c r="AP48" i="10"/>
  <c r="S65" i="10"/>
  <c r="AP18" i="10"/>
  <c r="R70" i="10"/>
  <c r="S72" i="10"/>
  <c r="AP21" i="10"/>
  <c r="AP12" i="10"/>
  <c r="AP38" i="10"/>
  <c r="S67" i="10"/>
  <c r="AP10" i="10"/>
  <c r="R62" i="10"/>
  <c r="S66" i="10"/>
  <c r="R69" i="10"/>
  <c r="R63" i="10"/>
  <c r="R59" i="10"/>
  <c r="S62" i="10"/>
  <c r="AP41" i="10"/>
  <c r="L12" i="4" l="1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11" i="4"/>
  <c r="K11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</calcChain>
</file>

<file path=xl/sharedStrings.xml><?xml version="1.0" encoding="utf-8"?>
<sst xmlns="http://schemas.openxmlformats.org/spreadsheetml/2006/main" count="87" uniqueCount="40">
  <si>
    <t>Lambda</t>
  </si>
  <si>
    <t>a</t>
  </si>
  <si>
    <t>b</t>
  </si>
  <si>
    <t>i</t>
  </si>
  <si>
    <t xml:space="preserve"> </t>
  </si>
  <si>
    <t>New Treatment</t>
  </si>
  <si>
    <t>Type</t>
  </si>
  <si>
    <t>X denotes the initial platform</t>
  </si>
  <si>
    <t xml:space="preserve">Y denotes the new platform </t>
  </si>
  <si>
    <t>Original Treatment</t>
  </si>
  <si>
    <t>New Treatment (1Y)</t>
  </si>
  <si>
    <t>The difference between the original treatment and the new treatment is a change in the payoff from standing alone on the new platform.</t>
  </si>
  <si>
    <t xml:space="preserve">The payoff is the curve 1Yo for the original treatment and 1Y for the ``new'' treatment. </t>
  </si>
  <si>
    <t>We may think of the payoff from standing alone on the new platform as being parameterized as B(1Y, i) = a+b*i</t>
  </si>
  <si>
    <t>B(1X,i)</t>
  </si>
  <si>
    <t>B(2X,i)</t>
  </si>
  <si>
    <t>B(1Yo,i)</t>
  </si>
  <si>
    <t>B(1Y,i)</t>
  </si>
  <si>
    <t>B(2Y,i)</t>
  </si>
  <si>
    <t>b=0.6</t>
  </si>
  <si>
    <t>a=2.6</t>
  </si>
  <si>
    <t>Tau</t>
  </si>
  <si>
    <t xml:space="preserve">B(1Y, i)= 2.6 + 0.6*i </t>
  </si>
  <si>
    <t>B(1Yo)=i</t>
  </si>
  <si>
    <t>a=0</t>
  </si>
  <si>
    <t>b=1</t>
  </si>
  <si>
    <t>Values in the table give the probability that a player of given type will GO given a particular level of noise</t>
  </si>
  <si>
    <t>EU(GO, i=5.5)</t>
  </si>
  <si>
    <t>EU(Stay, i=5.5)</t>
  </si>
  <si>
    <t>Pr(GO, i=5.5)</t>
  </si>
  <si>
    <t>U(GO, i=5.5)</t>
  </si>
  <si>
    <t>U(Stay, i=5.5)</t>
  </si>
  <si>
    <t>Feil 6.5</t>
  </si>
  <si>
    <t>U(GO, i=6.5)</t>
  </si>
  <si>
    <t>U(Stay, i=6.5)</t>
  </si>
  <si>
    <t>EU(GO, i=6.5)</t>
  </si>
  <si>
    <t>Pr(GO, i=6.5)</t>
  </si>
  <si>
    <t>Expected loss</t>
  </si>
  <si>
    <t>i=5.5</t>
  </si>
  <si>
    <t>i=6.5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</si>
</sst>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/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/>
    <xf numFmtId="165" fontId="0" fillId="0" borderId="0" xfId="0" applyNumberFormat="1"/>
    <xf numFmtId="164" fontId="1" fillId="0" borderId="0" xfId="0" applyNumberFormat="1" applyFont="1" applyBorder="1" applyAlignment="1">
      <alignment horizontal="center"/>
    </xf>
    <xf numFmtId="166" fontId="0" fillId="0" borderId="0" xfId="0" applyNumberFormat="1"/>
    <xf numFmtId="164" fontId="0" fillId="0" borderId="0" xfId="0" applyNumberFormat="1" applyBorder="1"/>
    <xf numFmtId="164" fontId="1" fillId="0" borderId="0" xfId="0" applyNumberFormat="1" applyFont="1"/>
    <xf numFmtId="164" fontId="1" fillId="0" borderId="1" xfId="0" applyNumberFormat="1" applyFont="1" applyBorder="1" applyAlignment="1"/>
    <xf numFmtId="0" fontId="1" fillId="0" borderId="1" xfId="0" applyFont="1" applyBorder="1" applyAlignment="1"/>
    <xf numFmtId="0" fontId="0" fillId="2" borderId="0" xfId="0" applyFill="1" applyAlignment="1">
      <alignment horizontal="right"/>
    </xf>
    <xf numFmtId="164" fontId="0" fillId="2" borderId="0" xfId="0" applyNumberFormat="1" applyFill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677580842935174"/>
          <c:y val="4.1689371352852736E-2"/>
          <c:w val="0.77313795235055083"/>
          <c:h val="0.90639696251560786"/>
        </c:manualLayout>
      </c:layout>
      <c:lineChart>
        <c:grouping val="standard"/>
        <c:varyColors val="0"/>
        <c:ser>
          <c:idx val="1"/>
          <c:order val="0"/>
          <c:tx>
            <c:strRef>
              <c:f>'Benefit functions'!$L$10</c:f>
              <c:strCache>
                <c:ptCount val="1"/>
                <c:pt idx="0">
                  <c:v>B(2Y,i)</c:v>
                </c:pt>
              </c:strCache>
            </c:strRef>
          </c:tx>
          <c:marker>
            <c:symbol val="none"/>
          </c:marker>
          <c:cat>
            <c:numRef>
              <c:f>'Benefit functions'!$F$11:$F$31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'Benefit functions'!$L$11:$L$31</c:f>
              <c:numCache>
                <c:formatCode>General</c:formatCode>
                <c:ptCount val="21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'Benefit functions'!$H$10</c:f>
              <c:strCache>
                <c:ptCount val="1"/>
                <c:pt idx="0">
                  <c:v>B(1X,i)</c:v>
                </c:pt>
              </c:strCache>
            </c:strRef>
          </c:tx>
          <c:marker>
            <c:symbol val="none"/>
          </c:marker>
          <c:cat>
            <c:numRef>
              <c:f>'Benefit functions'!$F$11:$F$31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'Benefit functions'!$H$11:$H$31</c:f>
              <c:numCache>
                <c:formatCode>General</c:formatCode>
                <c:ptCount val="2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'Benefit functions'!$I$10</c:f>
              <c:strCache>
                <c:ptCount val="1"/>
                <c:pt idx="0">
                  <c:v>B(2X,i)</c:v>
                </c:pt>
              </c:strCache>
            </c:strRef>
          </c:tx>
          <c:marker>
            <c:symbol val="none"/>
          </c:marker>
          <c:cat>
            <c:numRef>
              <c:f>'Benefit functions'!$F$11:$F$31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'Benefit functions'!$I$11:$I$31</c:f>
              <c:numCache>
                <c:formatCode>General</c:formatCode>
                <c:ptCount val="21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</c:numCache>
            </c:numRef>
          </c:val>
          <c:smooth val="0"/>
        </c:ser>
        <c:ser>
          <c:idx val="0"/>
          <c:order val="3"/>
          <c:tx>
            <c:strRef>
              <c:f>'Benefit functions'!$J$10</c:f>
              <c:strCache>
                <c:ptCount val="1"/>
                <c:pt idx="0">
                  <c:v>B(1Yo,i)</c:v>
                </c:pt>
              </c:strCache>
            </c:strRef>
          </c:tx>
          <c:marker>
            <c:symbol val="none"/>
          </c:marker>
          <c:cat>
            <c:numRef>
              <c:f>'Benefit functions'!$F$11:$F$31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'Benefit functions'!$J$11:$J$31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'Benefit functions'!$K$10</c:f>
              <c:strCache>
                <c:ptCount val="1"/>
                <c:pt idx="0">
                  <c:v>B(1Y,i)</c:v>
                </c:pt>
              </c:strCache>
            </c:strRef>
          </c:tx>
          <c:marker>
            <c:symbol val="none"/>
          </c:marker>
          <c:cat>
            <c:numRef>
              <c:f>'Benefit functions'!$F$11:$F$31</c:f>
              <c:numCache>
                <c:formatCode>General</c:formatCode>
                <c:ptCount val="2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</c:numCache>
            </c:numRef>
          </c:cat>
          <c:val>
            <c:numRef>
              <c:f>'Benefit functions'!$K$11:$K$31</c:f>
              <c:numCache>
                <c:formatCode>General</c:formatCode>
                <c:ptCount val="21"/>
                <c:pt idx="0">
                  <c:v>2.4</c:v>
                </c:pt>
                <c:pt idx="1">
                  <c:v>2.6999999999999997</c:v>
                </c:pt>
                <c:pt idx="2">
                  <c:v>3</c:v>
                </c:pt>
                <c:pt idx="3">
                  <c:v>3.3</c:v>
                </c:pt>
                <c:pt idx="4">
                  <c:v>3.5999999999999996</c:v>
                </c:pt>
                <c:pt idx="5">
                  <c:v>3.9</c:v>
                </c:pt>
                <c:pt idx="6">
                  <c:v>4.1999999999999993</c:v>
                </c:pt>
                <c:pt idx="7">
                  <c:v>4.5</c:v>
                </c:pt>
                <c:pt idx="8">
                  <c:v>4.8</c:v>
                </c:pt>
                <c:pt idx="9">
                  <c:v>5.0999999999999996</c:v>
                </c:pt>
                <c:pt idx="10">
                  <c:v>5.4</c:v>
                </c:pt>
                <c:pt idx="11">
                  <c:v>5.6999999999999993</c:v>
                </c:pt>
                <c:pt idx="12">
                  <c:v>6</c:v>
                </c:pt>
                <c:pt idx="13">
                  <c:v>6.3</c:v>
                </c:pt>
                <c:pt idx="14">
                  <c:v>6.6</c:v>
                </c:pt>
                <c:pt idx="15">
                  <c:v>6.9</c:v>
                </c:pt>
                <c:pt idx="16">
                  <c:v>7.1999999999999993</c:v>
                </c:pt>
                <c:pt idx="17">
                  <c:v>7.5</c:v>
                </c:pt>
                <c:pt idx="18">
                  <c:v>7.7999999999999989</c:v>
                </c:pt>
                <c:pt idx="19">
                  <c:v>8.1</c:v>
                </c:pt>
                <c:pt idx="20">
                  <c:v>8.4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01024"/>
        <c:axId val="70002560"/>
      </c:lineChart>
      <c:catAx>
        <c:axId val="7000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0002560"/>
        <c:crosses val="autoZero"/>
        <c:auto val="1"/>
        <c:lblAlgn val="ctr"/>
        <c:lblOffset val="100"/>
        <c:tickMarkSkip val="2"/>
        <c:noMultiLvlLbl val="0"/>
      </c:catAx>
      <c:valAx>
        <c:axId val="70002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00010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5.5</c:v>
          </c:tx>
          <c:marker>
            <c:symbol val="none"/>
          </c:marker>
          <c:cat>
            <c:numRef>
              <c:f>'Original Treatment'!$A$2:$A$201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'Original Treatment'!$G$2:$G$201</c:f>
              <c:numCache>
                <c:formatCode>0.000</c:formatCode>
                <c:ptCount val="200"/>
                <c:pt idx="0">
                  <c:v>0.49785611589198098</c:v>
                </c:pt>
                <c:pt idx="1">
                  <c:v>0.49394956963445202</c:v>
                </c:pt>
                <c:pt idx="2">
                  <c:v>0.488451296339734</c:v>
                </c:pt>
                <c:pt idx="3">
                  <c:v>0.481679449313349</c:v>
                </c:pt>
                <c:pt idx="4">
                  <c:v>0.47401554269273599</c:v>
                </c:pt>
                <c:pt idx="5">
                  <c:v>0.46581385538519299</c:v>
                </c:pt>
                <c:pt idx="6">
                  <c:v>0.45734928770079802</c:v>
                </c:pt>
                <c:pt idx="7">
                  <c:v>0.44880882803788102</c:v>
                </c:pt>
                <c:pt idx="8">
                  <c:v>0.44030726848909402</c:v>
                </c:pt>
                <c:pt idx="9">
                  <c:v>0.43190869015031103</c:v>
                </c:pt>
                <c:pt idx="10">
                  <c:v>0.42364476818770502</c:v>
                </c:pt>
                <c:pt idx="11">
                  <c:v>0.41552778673519603</c:v>
                </c:pt>
                <c:pt idx="12">
                  <c:v>0.407559075739654</c:v>
                </c:pt>
                <c:pt idx="13">
                  <c:v>0.399734218610028</c:v>
                </c:pt>
                <c:pt idx="14">
                  <c:v>0.39204613686696799</c:v>
                </c:pt>
                <c:pt idx="15">
                  <c:v>0.38448687289649902</c:v>
                </c:pt>
                <c:pt idx="16">
                  <c:v>0.37704857711728401</c:v>
                </c:pt>
                <c:pt idx="17">
                  <c:v>0.36972402105076801</c:v>
                </c:pt>
                <c:pt idx="18">
                  <c:v>0.362506831235338</c:v>
                </c:pt>
                <c:pt idx="19">
                  <c:v>0.35539156178601999</c:v>
                </c:pt>
                <c:pt idx="20">
                  <c:v>0.34837367650949402</c:v>
                </c:pt>
                <c:pt idx="21">
                  <c:v>0.34144948310631201</c:v>
                </c:pt>
                <c:pt idx="22">
                  <c:v>0.33461604480490398</c:v>
                </c:pt>
                <c:pt idx="23">
                  <c:v>0.32787108433238699</c:v>
                </c:pt>
                <c:pt idx="24">
                  <c:v>0.32121288876973297</c:v>
                </c:pt>
                <c:pt idx="25">
                  <c:v>0.31464021996513603</c:v>
                </c:pt>
                <c:pt idx="26">
                  <c:v>0.30815223282746101</c:v>
                </c:pt>
                <c:pt idx="27">
                  <c:v>0.30174840240805001</c:v>
                </c:pt>
                <c:pt idx="28">
                  <c:v>0.29542845984683203</c:v>
                </c:pt>
                <c:pt idx="29">
                  <c:v>0.28919233678728101</c:v>
                </c:pt>
                <c:pt idx="30">
                  <c:v>0.28304011761701597</c:v>
                </c:pt>
                <c:pt idx="31">
                  <c:v>0.27697199878052298</c:v>
                </c:pt>
                <c:pt idx="32">
                  <c:v>0.27098825438333302</c:v>
                </c:pt>
                <c:pt idx="33">
                  <c:v>0.265089207328571</c:v>
                </c:pt>
                <c:pt idx="34">
                  <c:v>0.25927520527537501</c:v>
                </c:pt>
                <c:pt idx="35">
                  <c:v>0.25354660077062502</c:v>
                </c:pt>
                <c:pt idx="36">
                  <c:v>0.24790373497224699</c:v>
                </c:pt>
                <c:pt idx="37">
                  <c:v>0.24234692444890599</c:v>
                </c:pt>
                <c:pt idx="38">
                  <c:v>0.236876450604248</c:v>
                </c:pt>
                <c:pt idx="39">
                  <c:v>0.23149255133231</c:v>
                </c:pt>
                <c:pt idx="40">
                  <c:v>0.22619541456370301</c:v>
                </c:pt>
                <c:pt idx="41">
                  <c:v>0.220985173409284</c:v>
                </c:pt>
                <c:pt idx="42">
                  <c:v>0.21586190264972799</c:v>
                </c:pt>
                <c:pt idx="43">
                  <c:v>0.21082561635564001</c:v>
                </c:pt>
                <c:pt idx="44">
                  <c:v>0.20587626645456</c:v>
                </c:pt>
                <c:pt idx="45">
                  <c:v>0.20101374208825601</c:v>
                </c:pt>
                <c:pt idx="46">
                  <c:v>0.19623786962724901</c:v>
                </c:pt>
                <c:pt idx="47">
                  <c:v>0.191548413229433</c:v>
                </c:pt>
                <c:pt idx="48">
                  <c:v>0.18694507584675499</c:v>
                </c:pt>
                <c:pt idx="49">
                  <c:v>0.18242750059847601</c:v>
                </c:pt>
                <c:pt idx="50">
                  <c:v>0.17799527244183599</c:v>
                </c:pt>
                <c:pt idx="51">
                  <c:v>0.17364792008145799</c:v>
                </c:pt>
                <c:pt idx="52">
                  <c:v>0.169384918067675</c:v>
                </c:pt>
                <c:pt idx="53">
                  <c:v>0.165205689041483</c:v>
                </c:pt>
                <c:pt idx="54">
                  <c:v>0.16110960609017999</c:v>
                </c:pt>
                <c:pt idx="55">
                  <c:v>0.157095995183168</c:v>
                </c:pt>
                <c:pt idx="56">
                  <c:v>0.15316413766193299</c:v>
                </c:pt>
                <c:pt idx="57">
                  <c:v>0.149313272762121</c:v>
                </c:pt>
                <c:pt idx="58">
                  <c:v>0.14554260014893</c:v>
                </c:pt>
                <c:pt idx="59">
                  <c:v>0.141851282449836</c:v>
                </c:pt>
                <c:pt idx="60">
                  <c:v>0.13823844777109001</c:v>
                </c:pt>
                <c:pt idx="61">
                  <c:v>0.13470319218648799</c:v>
                </c:pt>
                <c:pt idx="62">
                  <c:v>0.131244582188658</c:v>
                </c:pt>
                <c:pt idx="63">
                  <c:v>0.127861657094689</c:v>
                </c:pt>
                <c:pt idx="64">
                  <c:v>0.12455343139916999</c:v>
                </c:pt>
                <c:pt idx="65">
                  <c:v>0.121318897068954</c:v>
                </c:pt>
                <c:pt idx="66">
                  <c:v>0.118157025774868</c:v>
                </c:pt>
                <c:pt idx="67">
                  <c:v>0.11506677105653799</c:v>
                </c:pt>
                <c:pt idx="68">
                  <c:v>0.112047070417216</c:v>
                </c:pt>
                <c:pt idx="69">
                  <c:v>0.10909684734620601</c:v>
                </c:pt>
                <c:pt idx="70">
                  <c:v>0.10621501326706</c:v>
                </c:pt>
                <c:pt idx="71">
                  <c:v>0.103400469410256</c:v>
                </c:pt>
                <c:pt idx="72">
                  <c:v>0.100652108609518</c:v>
                </c:pt>
                <c:pt idx="73">
                  <c:v>9.7968817021372695E-2</c:v>
                </c:pt>
                <c:pt idx="74">
                  <c:v>9.5349475767884703E-2</c:v>
                </c:pt>
                <c:pt idx="75">
                  <c:v>9.2792962502847604E-2</c:v>
                </c:pt>
                <c:pt idx="76">
                  <c:v>9.0298152901972004E-2</c:v>
                </c:pt>
                <c:pt idx="77">
                  <c:v>8.7863922077904597E-2</c:v>
                </c:pt>
                <c:pt idx="78">
                  <c:v>8.5489145921079701E-2</c:v>
                </c:pt>
                <c:pt idx="79">
                  <c:v>8.3172702367649204E-2</c:v>
                </c:pt>
                <c:pt idx="80">
                  <c:v>8.0913472595870201E-2</c:v>
                </c:pt>
                <c:pt idx="81">
                  <c:v>7.8710342152486401E-2</c:v>
                </c:pt>
                <c:pt idx="82">
                  <c:v>7.6562202010775002E-2</c:v>
                </c:pt>
                <c:pt idx="83">
                  <c:v>7.4467949562015301E-2</c:v>
                </c:pt>
                <c:pt idx="84">
                  <c:v>7.2426489542238903E-2</c:v>
                </c:pt>
                <c:pt idx="85">
                  <c:v>7.0436734896189596E-2</c:v>
                </c:pt>
                <c:pt idx="86">
                  <c:v>6.8497607580478306E-2</c:v>
                </c:pt>
                <c:pt idx="87">
                  <c:v>6.66080393079546E-2</c:v>
                </c:pt>
                <c:pt idx="88">
                  <c:v>6.4766972235370104E-2</c:v>
                </c:pt>
                <c:pt idx="89">
                  <c:v>6.2973359596394995E-2</c:v>
                </c:pt>
                <c:pt idx="90">
                  <c:v>6.1226166282106503E-2</c:v>
                </c:pt>
                <c:pt idx="91">
                  <c:v>5.95243693710188E-2</c:v>
                </c:pt>
                <c:pt idx="92">
                  <c:v>5.7866958610756997E-2</c:v>
                </c:pt>
                <c:pt idx="93">
                  <c:v>5.6252936853450501E-2</c:v>
                </c:pt>
                <c:pt idx="94">
                  <c:v>5.4681320446889399E-2</c:v>
                </c:pt>
                <c:pt idx="95">
                  <c:v>5.3151139583481499E-2</c:v>
                </c:pt>
                <c:pt idx="96">
                  <c:v>5.1661438609006703E-2</c:v>
                </c:pt>
                <c:pt idx="97">
                  <c:v>5.0211276293118202E-2</c:v>
                </c:pt>
                <c:pt idx="98">
                  <c:v>4.8799726063525901E-2</c:v>
                </c:pt>
                <c:pt idx="99">
                  <c:v>4.7425876205734498E-2</c:v>
                </c:pt>
                <c:pt idx="100">
                  <c:v>4.6088830030157103E-2</c:v>
                </c:pt>
                <c:pt idx="101">
                  <c:v>4.4787706008409797E-2</c:v>
                </c:pt>
                <c:pt idx="102">
                  <c:v>4.3521637880492799E-2</c:v>
                </c:pt>
                <c:pt idx="103">
                  <c:v>4.2289774734559797E-2</c:v>
                </c:pt>
                <c:pt idx="104">
                  <c:v>4.10912810608942E-2</c:v>
                </c:pt>
                <c:pt idx="105">
                  <c:v>3.99253367816573E-2</c:v>
                </c:pt>
                <c:pt idx="106">
                  <c:v>3.8791137257938098E-2</c:v>
                </c:pt>
                <c:pt idx="107">
                  <c:v>3.7687893275560401E-2</c:v>
                </c:pt>
                <c:pt idx="108">
                  <c:v>3.66148310110503E-2</c:v>
                </c:pt>
                <c:pt idx="109">
                  <c:v>3.5571191979128197E-2</c:v>
                </c:pt>
                <c:pt idx="110">
                  <c:v>3.4556232963002601E-2</c:v>
                </c:pt>
                <c:pt idx="111">
                  <c:v>3.3569228466924797E-2</c:v>
                </c:pt>
                <c:pt idx="112">
                  <c:v>3.2609460435862998E-2</c:v>
                </c:pt>
                <c:pt idx="113">
                  <c:v>3.1676233452263003E-2</c:v>
                </c:pt>
                <c:pt idx="114">
                  <c:v>3.07688643749175E-2</c:v>
                </c:pt>
                <c:pt idx="115">
                  <c:v>2.9886684766426998E-2</c:v>
                </c:pt>
                <c:pt idx="116">
                  <c:v>2.9029040744614501E-2</c:v>
                </c:pt>
                <c:pt idx="117">
                  <c:v>2.8195292824365802E-2</c:v>
                </c:pt>
                <c:pt idx="118">
                  <c:v>2.7384815750770598E-2</c:v>
                </c:pt>
                <c:pt idx="119">
                  <c:v>2.65969983244101E-2</c:v>
                </c:pt>
                <c:pt idx="120">
                  <c:v>2.58312432195907E-2</c:v>
                </c:pt>
                <c:pt idx="121">
                  <c:v>2.50869667962768E-2</c:v>
                </c:pt>
                <c:pt idx="122">
                  <c:v>2.4363598906439202E-2</c:v>
                </c:pt>
                <c:pt idx="123">
                  <c:v>2.3660582695485901E-2</c:v>
                </c:pt>
                <c:pt idx="124">
                  <c:v>2.2977374399416699E-2</c:v>
                </c:pt>
                <c:pt idx="125">
                  <c:v>2.2313443138297601E-2</c:v>
                </c:pt>
                <c:pt idx="126">
                  <c:v>2.1668270706611599E-2</c:v>
                </c:pt>
                <c:pt idx="127">
                  <c:v>2.10413513610208E-2</c:v>
                </c:pt>
                <c:pt idx="128">
                  <c:v>2.0432191606025E-2</c:v>
                </c:pt>
                <c:pt idx="129">
                  <c:v>1.98403099779908E-2</c:v>
                </c:pt>
                <c:pt idx="130">
                  <c:v>1.9265236827970302E-2</c:v>
                </c:pt>
                <c:pt idx="131">
                  <c:v>1.8706514103724502E-2</c:v>
                </c:pt>
                <c:pt idx="132">
                  <c:v>1.8163695131321499E-2</c:v>
                </c:pt>
                <c:pt idx="133">
                  <c:v>1.76363443966603E-2</c:v>
                </c:pt>
                <c:pt idx="134">
                  <c:v>1.71240373272449E-2</c:v>
                </c:pt>
                <c:pt idx="135">
                  <c:v>1.66263600745096E-2</c:v>
                </c:pt>
                <c:pt idx="136">
                  <c:v>1.6142909296976201E-2</c:v>
                </c:pt>
                <c:pt idx="137">
                  <c:v>1.5673291944494398E-2</c:v>
                </c:pt>
                <c:pt idx="138">
                  <c:v>1.52171250438096E-2</c:v>
                </c:pt>
                <c:pt idx="139">
                  <c:v>1.47740354856657E-2</c:v>
                </c:pt>
                <c:pt idx="140">
                  <c:v>1.43436598136518E-2</c:v>
                </c:pt>
                <c:pt idx="141">
                  <c:v>1.39256440149661E-2</c:v>
                </c:pt>
                <c:pt idx="142">
                  <c:v>1.35196433132669E-2</c:v>
                </c:pt>
                <c:pt idx="143">
                  <c:v>1.31253219637606E-2</c:v>
                </c:pt>
                <c:pt idx="144">
                  <c:v>1.2742353050657001E-2</c:v>
                </c:pt>
                <c:pt idx="145">
                  <c:v>1.2370418287121199E-2</c:v>
                </c:pt>
                <c:pt idx="146">
                  <c:v>1.20092078178234E-2</c:v>
                </c:pt>
                <c:pt idx="147">
                  <c:v>1.1658420024188499E-2</c:v>
                </c:pt>
                <c:pt idx="148">
                  <c:v>1.13177613324268E-2</c:v>
                </c:pt>
                <c:pt idx="149">
                  <c:v>1.09869460244243E-2</c:v>
                </c:pt>
                <c:pt idx="150">
                  <c:v>1.06656960515529E-2</c:v>
                </c:pt>
                <c:pt idx="151">
                  <c:v>1.0353740851459001E-2</c:v>
                </c:pt>
                <c:pt idx="152">
                  <c:v>1.0050817167875301E-2</c:v>
                </c:pt>
                <c:pt idx="153">
                  <c:v>9.7566688734939504E-3</c:v>
                </c:pt>
                <c:pt idx="154">
                  <c:v>9.4710467959337307E-3</c:v>
                </c:pt>
                <c:pt idx="155">
                  <c:v>9.19370854682168E-3</c:v>
                </c:pt>
                <c:pt idx="156">
                  <c:v>8.9244183540081699E-3</c:v>
                </c:pt>
                <c:pt idx="157">
                  <c:v>8.6629468969276306E-3</c:v>
                </c:pt>
                <c:pt idx="158">
                  <c:v>8.4090711451058203E-3</c:v>
                </c:pt>
                <c:pt idx="159">
                  <c:v>8.16257419981814E-3</c:v>
                </c:pt>
                <c:pt idx="160">
                  <c:v>7.9232451388921397E-3</c:v>
                </c:pt>
                <c:pt idx="161">
                  <c:v>7.69087886464418E-3</c:v>
                </c:pt>
                <c:pt idx="162">
                  <c:v>7.4652759549381099E-3</c:v>
                </c:pt>
                <c:pt idx="163">
                  <c:v>7.2462425173481703E-3</c:v>
                </c:pt>
                <c:pt idx="164">
                  <c:v>7.0335900464061803E-3</c:v>
                </c:pt>
                <c:pt idx="165">
                  <c:v>6.82713528390723E-3</c:v>
                </c:pt>
                <c:pt idx="166">
                  <c:v>6.6267000822494999E-3</c:v>
                </c:pt>
                <c:pt idx="167">
                  <c:v>6.4321112707781299E-3</c:v>
                </c:pt>
                <c:pt idx="168">
                  <c:v>6.24320052509998E-3</c:v>
                </c:pt>
                <c:pt idx="169">
                  <c:v>6.0598042393381199E-3</c:v>
                </c:pt>
                <c:pt idx="170">
                  <c:v>5.8817634012881996E-3</c:v>
                </c:pt>
                <c:pt idx="171">
                  <c:v>5.7089234704405401E-3</c:v>
                </c:pt>
                <c:pt idx="172">
                  <c:v>5.5411342588281903E-3</c:v>
                </c:pt>
                <c:pt idx="173">
                  <c:v>5.3782498146615898E-3</c:v>
                </c:pt>
                <c:pt idx="174">
                  <c:v>5.2201283087074703E-3</c:v>
                </c:pt>
                <c:pt idx="175">
                  <c:v>5.0666344470010902E-3</c:v>
                </c:pt>
                <c:pt idx="176">
                  <c:v>4.9176292445995504E-3</c:v>
                </c:pt>
                <c:pt idx="177">
                  <c:v>4.7729851325033299E-3</c:v>
                </c:pt>
                <c:pt idx="178">
                  <c:v>4.6325756888866004E-3</c:v>
                </c:pt>
                <c:pt idx="179">
                  <c:v>4.4962780860356103E-3</c:v>
                </c:pt>
                <c:pt idx="180">
                  <c:v>4.36397299228142E-3</c:v>
                </c:pt>
                <c:pt idx="181">
                  <c:v>4.2355444763660403E-3</c:v>
                </c:pt>
                <c:pt idx="182">
                  <c:v>4.1108799141963796E-3</c:v>
                </c:pt>
                <c:pt idx="183">
                  <c:v>3.98986989794314E-3</c:v>
                </c:pt>
                <c:pt idx="184">
                  <c:v>3.8724081474338398E-3</c:v>
                </c:pt>
                <c:pt idx="185">
                  <c:v>3.7583914237984701E-3</c:v>
                </c:pt>
                <c:pt idx="186">
                  <c:v>3.6477194453189E-3</c:v>
                </c:pt>
                <c:pt idx="187">
                  <c:v>3.5402948054386102E-3</c:v>
                </c:pt>
                <c:pt idx="188">
                  <c:v>3.4360228928865398E-3</c:v>
                </c:pt>
                <c:pt idx="189">
                  <c:v>3.3348118138693799E-3</c:v>
                </c:pt>
                <c:pt idx="190">
                  <c:v>3.23657231628944E-3</c:v>
                </c:pt>
                <c:pt idx="191">
                  <c:v>3.1412177159423601E-3</c:v>
                </c:pt>
                <c:pt idx="192">
                  <c:v>3.04866382465113E-3</c:v>
                </c:pt>
                <c:pt idx="193">
                  <c:v>2.95882888029391E-3</c:v>
                </c:pt>
                <c:pt idx="194">
                  <c:v>2.8716334786816201E-3</c:v>
                </c:pt>
                <c:pt idx="195">
                  <c:v>2.7870005072439101E-3</c:v>
                </c:pt>
                <c:pt idx="196">
                  <c:v>2.7048550804813398E-3</c:v>
                </c:pt>
                <c:pt idx="197">
                  <c:v>2.6251244771427098E-3</c:v>
                </c:pt>
                <c:pt idx="198">
                  <c:v>2.5477380790870099E-3</c:v>
                </c:pt>
                <c:pt idx="199">
                  <c:v>2.4726273117896798E-3</c:v>
                </c:pt>
              </c:numCache>
            </c:numRef>
          </c:val>
          <c:smooth val="0"/>
        </c:ser>
        <c:ser>
          <c:idx val="1"/>
          <c:order val="1"/>
          <c:tx>
            <c:v>6.5</c:v>
          </c:tx>
          <c:marker>
            <c:symbol val="none"/>
          </c:marker>
          <c:cat>
            <c:numRef>
              <c:f>'Original Treatment'!$A$2:$A$201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'Original Treatment'!$I$2:$I$201</c:f>
              <c:numCache>
                <c:formatCode>0.000</c:formatCode>
                <c:ptCount val="200"/>
                <c:pt idx="0">
                  <c:v>0.51070135822027396</c:v>
                </c:pt>
                <c:pt idx="1">
                  <c:v>0.52036523982288396</c:v>
                </c:pt>
                <c:pt idx="2">
                  <c:v>0.52912991439502399</c:v>
                </c:pt>
                <c:pt idx="3">
                  <c:v>0.53717954998183104</c:v>
                </c:pt>
                <c:pt idx="4">
                  <c:v>0.54470848998590404</c:v>
                </c:pt>
                <c:pt idx="5">
                  <c:v>0.55188826528718304</c:v>
                </c:pt>
                <c:pt idx="6">
                  <c:v>0.558851163950421</c:v>
                </c:pt>
                <c:pt idx="7">
                  <c:v>0.56568973425869495</c:v>
                </c:pt>
                <c:pt idx="8">
                  <c:v>0.57246428127564097</c:v>
                </c:pt>
                <c:pt idx="9">
                  <c:v>0.57921178873636503</c:v>
                </c:pt>
                <c:pt idx="10">
                  <c:v>0.585953351354774</c:v>
                </c:pt>
                <c:pt idx="11">
                  <c:v>0.59269955804536001</c:v>
                </c:pt>
                <c:pt idx="12">
                  <c:v>0.59945416420663</c:v>
                </c:pt>
                <c:pt idx="13">
                  <c:v>0.606216540676214</c:v>
                </c:pt>
                <c:pt idx="14">
                  <c:v>0.61298330556672198</c:v>
                </c:pt>
                <c:pt idx="15">
                  <c:v>0.61974941567166497</c:v>
                </c:pt>
                <c:pt idx="16">
                  <c:v>0.62650890133437998</c:v>
                </c:pt>
                <c:pt idx="17">
                  <c:v>0.63325536212274303</c:v>
                </c:pt>
                <c:pt idx="18">
                  <c:v>0.63998229938184503</c:v>
                </c:pt>
                <c:pt idx="19">
                  <c:v>0.64668333587505999</c:v>
                </c:pt>
                <c:pt idx="20">
                  <c:v>0.653352356474875</c:v>
                </c:pt>
                <c:pt idx="21">
                  <c:v>0.65998359343333801</c:v>
                </c:pt>
                <c:pt idx="22">
                  <c:v>0.66657167286469798</c:v>
                </c:pt>
                <c:pt idx="23">
                  <c:v>0.67311163436521704</c:v>
                </c:pt>
                <c:pt idx="24">
                  <c:v>0.67959893238688496</c:v>
                </c:pt>
                <c:pt idx="25">
                  <c:v>0.68602942560131397</c:v>
                </c:pt>
                <c:pt idx="26">
                  <c:v>0.69239935874862901</c:v>
                </c:pt>
                <c:pt idx="27">
                  <c:v>0.69870534017970298</c:v>
                </c:pt>
                <c:pt idx="28">
                  <c:v>0.70494431734629404</c:v>
                </c:pt>
                <c:pt idx="29">
                  <c:v>0.71111355178751401</c:v>
                </c:pt>
                <c:pt idx="30">
                  <c:v>0.71721059464129</c:v>
                </c:pt>
                <c:pt idx="31">
                  <c:v>0.72323326333045301</c:v>
                </c:pt>
                <c:pt idx="32">
                  <c:v>0.72917961980049995</c:v>
                </c:pt>
                <c:pt idx="33">
                  <c:v>0.73504795049337701</c:v>
                </c:pt>
                <c:pt idx="34">
                  <c:v>0.74083674810882705</c:v>
                </c:pt>
                <c:pt idx="35">
                  <c:v>0.74654469511618005</c:v>
                </c:pt>
                <c:pt idx="36">
                  <c:v>0.752170648923291</c:v>
                </c:pt>
                <c:pt idx="37">
                  <c:v>0.75771362857647095</c:v>
                </c:pt>
                <c:pt idx="38">
                  <c:v>0.76317280284893696</c:v>
                </c:pt>
                <c:pt idx="39">
                  <c:v>0.76854747957050895</c:v>
                </c:pt>
                <c:pt idx="40">
                  <c:v>0.77383709605407103</c:v>
                </c:pt>
                <c:pt idx="41">
                  <c:v>0.77904121048206598</c:v>
                </c:pt>
                <c:pt idx="42">
                  <c:v>0.78415949412693697</c:v>
                </c:pt>
                <c:pt idx="43">
                  <c:v>0.78919172429150597</c:v>
                </c:pt>
                <c:pt idx="44">
                  <c:v>0.79413777786789796</c:v>
                </c:pt>
                <c:pt idx="45">
                  <c:v>0.79899762542604702</c:v>
                </c:pt>
                <c:pt idx="46">
                  <c:v>0.80377132575461396</c:v>
                </c:pt>
                <c:pt idx="47">
                  <c:v>0.80845902078807996</c:v>
                </c:pt>
                <c:pt idx="48">
                  <c:v>0.81306093086374998</c:v>
                </c:pt>
                <c:pt idx="49">
                  <c:v>0.817577350261248</c:v>
                </c:pt>
                <c:pt idx="50">
                  <c:v>0.82200864298493004</c:v>
                </c:pt>
                <c:pt idx="51">
                  <c:v>0.82635523875647399</c:v>
                </c:pt>
                <c:pt idx="52">
                  <c:v>0.83061762919076298</c:v>
                </c:pt>
                <c:pt idx="53">
                  <c:v>0.83479636413323999</c:v>
                </c:pt>
                <c:pt idx="54">
                  <c:v>0.83889204814114504</c:v>
                </c:pt>
                <c:pt idx="55">
                  <c:v>0.84290533709460003</c:v>
                </c:pt>
                <c:pt idx="56">
                  <c:v>0.846836934926531</c:v>
                </c:pt>
                <c:pt idx="57">
                  <c:v>0.85068759046277098</c:v>
                </c:pt>
                <c:pt idx="58">
                  <c:v>0.85445809436574305</c:v>
                </c:pt>
                <c:pt idx="59">
                  <c:v>0.858149276176709</c:v>
                </c:pt>
                <c:pt idx="60">
                  <c:v>0.86176200145280102</c:v>
                </c:pt>
                <c:pt idx="61">
                  <c:v>0.86529716899609799</c:v>
                </c:pt>
                <c:pt idx="62">
                  <c:v>0.86875570817275005</c:v>
                </c:pt>
                <c:pt idx="63">
                  <c:v>0.87213857632070202</c:v>
                </c:pt>
                <c:pt idx="64">
                  <c:v>0.87544675624500701</c:v>
                </c:pt>
                <c:pt idx="65">
                  <c:v>0.87868125379999495</c:v>
                </c:pt>
                <c:pt idx="66">
                  <c:v>0.88184309555771601</c:v>
                </c:pt>
                <c:pt idx="67">
                  <c:v>0.88493332656219603</c:v>
                </c:pt>
                <c:pt idx="68">
                  <c:v>0.88795300816905898</c:v>
                </c:pt>
                <c:pt idx="69">
                  <c:v>0.89090321597003796</c:v>
                </c:pt>
                <c:pt idx="70">
                  <c:v>0.89378503780185703</c:v>
                </c:pt>
                <c:pt idx="71">
                  <c:v>0.89659957183884798</c:v>
                </c:pt>
                <c:pt idx="72">
                  <c:v>0.89934792476859005</c:v>
                </c:pt>
                <c:pt idx="73">
                  <c:v>0.90203121004970399</c:v>
                </c:pt>
                <c:pt idx="74">
                  <c:v>0.90465054625084196</c:v>
                </c:pt>
                <c:pt idx="75">
                  <c:v>0.907207055469755</c:v>
                </c:pt>
                <c:pt idx="76">
                  <c:v>0.90970186183120905</c:v>
                </c:pt>
                <c:pt idx="77">
                  <c:v>0.91213609006239105</c:v>
                </c:pt>
                <c:pt idx="78">
                  <c:v>0.91451086414433203</c:v>
                </c:pt>
                <c:pt idx="79">
                  <c:v>0.91682730603777496</c:v>
                </c:pt>
                <c:pt idx="80">
                  <c:v>0.91908653448177502</c:v>
                </c:pt>
                <c:pt idx="81">
                  <c:v>0.92128966386329503</c:v>
                </c:pt>
                <c:pt idx="82">
                  <c:v>0.92343780315593205</c:v>
                </c:pt>
                <c:pt idx="83">
                  <c:v>0.92553205492583801</c:v>
                </c:pt>
                <c:pt idx="84">
                  <c:v>0.92757351440288904</c:v>
                </c:pt>
                <c:pt idx="85">
                  <c:v>0.92956326861503702</c:v>
                </c:pt>
                <c:pt idx="86">
                  <c:v>0.93150239558381798</c:v>
                </c:pt>
                <c:pt idx="87">
                  <c:v>0.93339196357888798</c:v>
                </c:pt>
                <c:pt idx="88">
                  <c:v>0.93523303042950401</c:v>
                </c:pt>
                <c:pt idx="89">
                  <c:v>0.93702664289079696</c:v>
                </c:pt>
                <c:pt idx="90">
                  <c:v>0.93877383606274101</c:v>
                </c:pt>
                <c:pt idx="91">
                  <c:v>0.94047563285965996</c:v>
                </c:pt>
                <c:pt idx="92">
                  <c:v>0.94213304352820804</c:v>
                </c:pt>
                <c:pt idx="93">
                  <c:v>0.94374706521168406</c:v>
                </c:pt>
                <c:pt idx="94">
                  <c:v>0.94531868155864196</c:v>
                </c:pt>
                <c:pt idx="95">
                  <c:v>0.94684886237375498</c:v>
                </c:pt>
                <c:pt idx="96">
                  <c:v>0.94833856330891397</c:v>
                </c:pt>
                <c:pt idx="97">
                  <c:v>0.94978872559260097</c:v>
                </c:pt>
                <c:pt idx="98">
                  <c:v>0.95120027579562105</c:v>
                </c:pt>
                <c:pt idx="99">
                  <c:v>0.95257412563128196</c:v>
                </c:pt>
                <c:pt idx="100">
                  <c:v>0.95391117178822205</c:v>
                </c:pt>
                <c:pt idx="101">
                  <c:v>0.95521229579406897</c:v>
                </c:pt>
                <c:pt idx="102">
                  <c:v>0.95647836390822005</c:v>
                </c:pt>
                <c:pt idx="103">
                  <c:v>0.95771022704204001</c:v>
                </c:pt>
                <c:pt idx="104">
                  <c:v>0.958908720704859</c:v>
                </c:pt>
                <c:pt idx="105">
                  <c:v>0.96007466497421001</c:v>
                </c:pt>
                <c:pt idx="106">
                  <c:v>0.96120886448876197</c:v>
                </c:pt>
                <c:pt idx="107">
                  <c:v>0.96231210846249404</c:v>
                </c:pt>
                <c:pt idx="108">
                  <c:v>0.96338517071872298</c:v>
                </c:pt>
                <c:pt idx="109">
                  <c:v>0.96442880974260803</c:v>
                </c:pt>
                <c:pt idx="110">
                  <c:v>0.96544376875084004</c:v>
                </c:pt>
                <c:pt idx="111">
                  <c:v>0.966430774915915</c:v>
                </c:pt>
                <c:pt idx="112">
                  <c:v>0.96739054293167304</c:v>
                </c:pt>
                <c:pt idx="113">
                  <c:v>0.96832376989968905</c:v>
                </c:pt>
                <c:pt idx="114">
                  <c:v>0.969231138961132</c:v>
                </c:pt>
                <c:pt idx="115">
                  <c:v>0.97011331855337402</c:v>
                </c:pt>
                <c:pt idx="116">
                  <c:v>0.97097096255856796</c:v>
                </c:pt>
                <c:pt idx="117">
                  <c:v>0.97180471046181305</c:v>
                </c:pt>
                <c:pt idx="118">
                  <c:v>0.97261518751800902</c:v>
                </c:pt>
                <c:pt idx="119">
                  <c:v>0.97340300492656595</c:v>
                </c:pt>
                <c:pt idx="120">
                  <c:v>0.97416876001317299</c:v>
                </c:pt>
                <c:pt idx="121">
                  <c:v>0.97491303641786398</c:v>
                </c:pt>
                <c:pt idx="122">
                  <c:v>0.97563640428866805</c:v>
                </c:pt>
                <c:pt idx="123">
                  <c:v>0.97633942048018096</c:v>
                </c:pt>
                <c:pt idx="124">
                  <c:v>0.977022628756405</c:v>
                </c:pt>
                <c:pt idx="125">
                  <c:v>0.97768655999728205</c:v>
                </c:pt>
                <c:pt idx="126">
                  <c:v>0.97833173240833204</c:v>
                </c:pt>
                <c:pt idx="127">
                  <c:v>0.97895865173290297</c:v>
                </c:pt>
                <c:pt idx="128">
                  <c:v>0.97956781146650296</c:v>
                </c:pt>
                <c:pt idx="129">
                  <c:v>0.98015969307277395</c:v>
                </c:pt>
                <c:pt idx="130">
                  <c:v>0.98073476620067501</c:v>
                </c:pt>
                <c:pt idx="131">
                  <c:v>0.98129348890245505</c:v>
                </c:pt>
                <c:pt idx="132">
                  <c:v>0.981836307852057</c:v>
                </c:pt>
                <c:pt idx="133">
                  <c:v>0.98236365856359398</c:v>
                </c:pt>
                <c:pt idx="134">
                  <c:v>0.98287596560957402</c:v>
                </c:pt>
                <c:pt idx="135">
                  <c:v>0.98337364283857598</c:v>
                </c:pt>
                <c:pt idx="136">
                  <c:v>0.98385709359208995</c:v>
                </c:pt>
                <c:pt idx="137">
                  <c:v>0.98432671092028101</c:v>
                </c:pt>
                <c:pt idx="138">
                  <c:v>0.98478287779641605</c:v>
                </c:pt>
                <c:pt idx="139">
                  <c:v>0.98522596732976497</c:v>
                </c:pt>
                <c:pt idx="140">
                  <c:v>0.98565634297675397</c:v>
                </c:pt>
                <c:pt idx="141">
                  <c:v>0.986074358750198</c:v>
                </c:pt>
                <c:pt idx="142">
                  <c:v>0.98648035942645396</c:v>
                </c:pt>
                <c:pt idx="143">
                  <c:v>0.98687468075032903</c:v>
                </c:pt>
                <c:pt idx="144">
                  <c:v>0.98725764963762797</c:v>
                </c:pt>
                <c:pt idx="145">
                  <c:v>0.98762958437519999</c:v>
                </c:pt>
                <c:pt idx="146">
                  <c:v>0.98799079481839103</c:v>
                </c:pt>
                <c:pt idx="147">
                  <c:v>0.98834158258578897</c:v>
                </c:pt>
                <c:pt idx="148">
                  <c:v>0.98868224125119797</c:v>
                </c:pt>
                <c:pt idx="149">
                  <c:v>0.98901305653274796</c:v>
                </c:pt>
                <c:pt idx="150">
                  <c:v>0.98933430647908005</c:v>
                </c:pt>
                <c:pt idx="151">
                  <c:v>0.98964626165256298</c:v>
                </c:pt>
                <c:pt idx="152">
                  <c:v>0.98994918530947695</c:v>
                </c:pt>
                <c:pt idx="153">
                  <c:v>0.990243333577145</c:v>
                </c:pt>
                <c:pt idx="154">
                  <c:v>0.99052895562795995</c:v>
                </c:pt>
                <c:pt idx="155">
                  <c:v>0.99080629385031005</c:v>
                </c:pt>
                <c:pt idx="156">
                  <c:v>0.99107558401635798</c:v>
                </c:pt>
                <c:pt idx="157">
                  <c:v>0.99133705544668205</c:v>
                </c:pt>
                <c:pt idx="158">
                  <c:v>0.991590931171768</c:v>
                </c:pt>
                <c:pt idx="159">
                  <c:v>0.99183742809035502</c:v>
                </c:pt>
                <c:pt idx="160">
                  <c:v>0.99207675712462595</c:v>
                </c:pt>
                <c:pt idx="161">
                  <c:v>0.99230912337227695</c:v>
                </c:pt>
                <c:pt idx="162">
                  <c:v>0.99253472625545602</c:v>
                </c:pt>
                <c:pt idx="163">
                  <c:v>0.99275375966659896</c:v>
                </c:pt>
                <c:pt idx="164">
                  <c:v>0.99296641211118697</c:v>
                </c:pt>
                <c:pt idx="165">
                  <c:v>0.993172866847434</c:v>
                </c:pt>
                <c:pt idx="166">
                  <c:v>0.99337330202295104</c:v>
                </c:pt>
                <c:pt idx="167">
                  <c:v>0.99356789080840502</c:v>
                </c:pt>
                <c:pt idx="168">
                  <c:v>0.99375680152819801</c:v>
                </c:pt>
                <c:pt idx="169">
                  <c:v>0.99394019778821496</c:v>
                </c:pt>
                <c:pt idx="170">
                  <c:v>0.99411823860066895</c:v>
                </c:pt>
                <c:pt idx="171">
                  <c:v>0.99429107850608001</c:v>
                </c:pt>
                <c:pt idx="172">
                  <c:v>0.99445886769242198</c:v>
                </c:pt>
                <c:pt idx="173">
                  <c:v>0.99462175211149095</c:v>
                </c:pt>
                <c:pt idx="174">
                  <c:v>0.99477987359252995</c:v>
                </c:pt>
                <c:pt idx="175">
                  <c:v>0.99493336923922804</c:v>
                </c:pt>
                <c:pt idx="176">
                  <c:v>0.99508237439331304</c:v>
                </c:pt>
                <c:pt idx="177">
                  <c:v>0.99522701845750605</c:v>
                </c:pt>
                <c:pt idx="178">
                  <c:v>0.99536742785364396</c:v>
                </c:pt>
                <c:pt idx="179">
                  <c:v>0.99550372540945198</c:v>
                </c:pt>
                <c:pt idx="180">
                  <c:v>0.99563603045660698</c:v>
                </c:pt>
                <c:pt idx="181">
                  <c:v>0.99576445892637599</c:v>
                </c:pt>
                <c:pt idx="182">
                  <c:v>0.99588912344286196</c:v>
                </c:pt>
                <c:pt idx="183">
                  <c:v>0.99601013341389899</c:v>
                </c:pt>
                <c:pt idx="184">
                  <c:v>0.99612759511966897</c:v>
                </c:pt>
                <c:pt idx="185">
                  <c:v>0.99624161179904802</c:v>
                </c:pt>
                <c:pt idx="186">
                  <c:v>0.99635228373375795</c:v>
                </c:pt>
                <c:pt idx="187">
                  <c:v>0.99645970833036301</c:v>
                </c:pt>
                <c:pt idx="188">
                  <c:v>0.99656398020013803</c:v>
                </c:pt>
                <c:pt idx="189">
                  <c:v>0.99666519123688102</c:v>
                </c:pt>
                <c:pt idx="190">
                  <c:v>0.99676343069269102</c:v>
                </c:pt>
                <c:pt idx="191">
                  <c:v>0.99685878525177896</c:v>
                </c:pt>
                <c:pt idx="192">
                  <c:v>0.99695133910232203</c:v>
                </c:pt>
                <c:pt idx="193">
                  <c:v>0.99704117400644399</c:v>
                </c:pt>
                <c:pt idx="194">
                  <c:v>0.99712836936833804</c:v>
                </c:pt>
                <c:pt idx="195">
                  <c:v>0.99721300230057297</c:v>
                </c:pt>
                <c:pt idx="196">
                  <c:v>0.99729514768865102</c:v>
                </c:pt>
                <c:pt idx="197">
                  <c:v>0.99737487825382298</c:v>
                </c:pt>
                <c:pt idx="198">
                  <c:v>0.99745226461423098</c:v>
                </c:pt>
                <c:pt idx="199">
                  <c:v>0.99752737534439695</c:v>
                </c:pt>
              </c:numCache>
            </c:numRef>
          </c:val>
          <c:smooth val="0"/>
        </c:ser>
        <c:ser>
          <c:idx val="2"/>
          <c:order val="2"/>
          <c:tx>
            <c:v>4.5</c:v>
          </c:tx>
          <c:marker>
            <c:symbol val="none"/>
          </c:marker>
          <c:val>
            <c:numRef>
              <c:f>'Original Treatment'!$F$2:$F$201</c:f>
              <c:numCache>
                <c:formatCode>0.000</c:formatCode>
                <c:ptCount val="200"/>
                <c:pt idx="0">
                  <c:v>0.48501370292386098</c:v>
                </c:pt>
                <c:pt idx="1">
                  <c:v>0.46756763657390499</c:v>
                </c:pt>
                <c:pt idx="2">
                  <c:v>0.447925068594001</c:v>
                </c:pt>
                <c:pt idx="3">
                  <c:v>0.42662775978874501</c:v>
                </c:pt>
                <c:pt idx="4">
                  <c:v>0.40434913954712598</c:v>
                </c:pt>
                <c:pt idx="5">
                  <c:v>0.38172815476720301</c:v>
                </c:pt>
                <c:pt idx="6">
                  <c:v>0.359269121183664</c:v>
                </c:pt>
                <c:pt idx="7">
                  <c:v>0.33732094945991598</c:v>
                </c:pt>
                <c:pt idx="8">
                  <c:v>0.31610223665210002</c:v>
                </c:pt>
                <c:pt idx="9">
                  <c:v>0.29573842620644403</c:v>
                </c:pt>
                <c:pt idx="10">
                  <c:v>0.27629407638943998</c:v>
                </c:pt>
                <c:pt idx="11">
                  <c:v>0.25779591091098703</c:v>
                </c:pt>
                <c:pt idx="12">
                  <c:v>0.24024772534135699</c:v>
                </c:pt>
                <c:pt idx="13">
                  <c:v>0.223639534718203</c:v>
                </c:pt>
                <c:pt idx="14">
                  <c:v>0.207952972933511</c:v>
                </c:pt>
                <c:pt idx="15">
                  <c:v>0.19316444364291599</c:v>
                </c:pt>
                <c:pt idx="16">
                  <c:v>0.179246946344054</c:v>
                </c:pt>
                <c:pt idx="17">
                  <c:v>0.16617115426564799</c:v>
                </c:pt>
                <c:pt idx="18">
                  <c:v>0.15390608258295699</c:v>
                </c:pt>
                <c:pt idx="19">
                  <c:v>0.142419540432555</c:v>
                </c:pt>
                <c:pt idx="20">
                  <c:v>0.131678473260602</c:v>
                </c:pt>
                <c:pt idx="21">
                  <c:v>0.12164925109776301</c:v>
                </c:pt>
                <c:pt idx="22">
                  <c:v>0.11229792928359</c:v>
                </c:pt>
                <c:pt idx="23">
                  <c:v>0.10359049220222601</c:v>
                </c:pt>
                <c:pt idx="24">
                  <c:v>9.5493082376326394E-2</c:v>
                </c:pt>
                <c:pt idx="25">
                  <c:v>8.7972213532915497E-2</c:v>
                </c:pt>
                <c:pt idx="26">
                  <c:v>8.0994965026519206E-2</c:v>
                </c:pt>
                <c:pt idx="27">
                  <c:v>7.4529155093134999E-2</c:v>
                </c:pt>
                <c:pt idx="28">
                  <c:v>6.8543491110082996E-2</c:v>
                </c:pt>
                <c:pt idx="29">
                  <c:v>6.30076959465075E-2</c:v>
                </c:pt>
                <c:pt idx="30">
                  <c:v>5.7892610385380003E-2</c:v>
                </c:pt>
                <c:pt idx="31">
                  <c:v>5.3170272369732298E-2</c:v>
                </c:pt>
                <c:pt idx="32">
                  <c:v>4.8813974429336E-2</c:v>
                </c:pt>
                <c:pt idx="33">
                  <c:v>4.4798301073033203E-2</c:v>
                </c:pt>
                <c:pt idx="34">
                  <c:v>4.1099148200824998E-2</c:v>
                </c:pt>
                <c:pt idx="35">
                  <c:v>3.76937267225783E-2</c:v>
                </c:pt>
                <c:pt idx="36">
                  <c:v>3.4560552593847903E-2</c:v>
                </c:pt>
                <c:pt idx="37">
                  <c:v>3.1679425420109798E-2</c:v>
                </c:pt>
                <c:pt idx="38">
                  <c:v>2.9031397662298002E-2</c:v>
                </c:pt>
                <c:pt idx="39">
                  <c:v>2.65987363189777E-2</c:v>
                </c:pt>
                <c:pt idx="40">
                  <c:v>2.4364878780083601E-2</c:v>
                </c:pt>
                <c:pt idx="41">
                  <c:v>2.2314384356659101E-2</c:v>
                </c:pt>
                <c:pt idx="42">
                  <c:v>2.0432882800024001E-2</c:v>
                </c:pt>
                <c:pt idx="43">
                  <c:v>1.87070209391485E-2</c:v>
                </c:pt>
                <c:pt idx="44">
                  <c:v>1.7124408391398199E-2</c:v>
                </c:pt>
                <c:pt idx="45">
                  <c:v>1.56735631421311E-2</c:v>
                </c:pt>
                <c:pt idx="46">
                  <c:v>1.4343857644421599E-2</c:v>
                </c:pt>
                <c:pt idx="47">
                  <c:v>1.3125465961997601E-2</c:v>
                </c:pt>
                <c:pt idx="48">
                  <c:v>1.20093123660962E-2</c:v>
                </c:pt>
                <c:pt idx="49">
                  <c:v>1.0987021699681E-2</c:v>
                </c:pt>
                <c:pt idx="50">
                  <c:v>1.0050871739287899E-2</c:v>
                </c:pt>
                <c:pt idx="51">
                  <c:v>9.1937477144749605E-3</c:v>
                </c:pt>
                <c:pt idx="52">
                  <c:v>8.4090990861403793E-3</c:v>
                </c:pt>
                <c:pt idx="53">
                  <c:v>7.69089863654078E-3</c:v>
                </c:pt>
                <c:pt idx="54">
                  <c:v>7.0336038844216499E-3</c:v>
                </c:pt>
                <c:pt idx="55">
                  <c:v>6.4321208070546197E-3</c:v>
                </c:pt>
                <c:pt idx="56">
                  <c:v>5.8817698260744903E-3</c:v>
                </c:pt>
                <c:pt idx="57">
                  <c:v>5.3782539948055499E-3</c:v>
                </c:pt>
                <c:pt idx="58">
                  <c:v>4.9176293103728097E-3</c:v>
                </c:pt>
                <c:pt idx="59">
                  <c:v>4.4962770635130099E-3</c:v>
                </c:pt>
                <c:pt idx="60">
                  <c:v>4.1108781319419297E-3</c:v>
                </c:pt>
                <c:pt idx="61">
                  <c:v>3.75838911879529E-3</c:v>
                </c:pt>
                <c:pt idx="62">
                  <c:v>3.4360202355257002E-3</c:v>
                </c:pt>
                <c:pt idx="63">
                  <c:v>3.1412148282651299E-3</c:v>
                </c:pt>
                <c:pt idx="64">
                  <c:v>2.8716304476816999E-3</c:v>
                </c:pt>
                <c:pt idx="65">
                  <c:v>2.6251213644543198E-3</c:v>
                </c:pt>
                <c:pt idx="66">
                  <c:v>2.3997224353998702E-3</c:v>
                </c:pt>
                <c:pt idx="67">
                  <c:v>2.1936342287983998E-3</c:v>
                </c:pt>
                <c:pt idx="68">
                  <c:v>2.0052093213927999E-3</c:v>
                </c:pt>
                <c:pt idx="69">
                  <c:v>1.83293968374795E-3</c:v>
                </c:pt>
                <c:pt idx="70">
                  <c:v>1.67544507502222E-3</c:v>
                </c:pt>
                <c:pt idx="71">
                  <c:v>1.5314623726364999E-3</c:v>
                </c:pt>
                <c:pt idx="72">
                  <c:v>1.39983576675279E-3</c:v>
                </c:pt>
                <c:pt idx="73">
                  <c:v>1.27950775383409E-3</c:v>
                </c:pt>
                <c:pt idx="74">
                  <c:v>1.16951086780914E-3</c:v>
                </c:pt>
                <c:pt idx="75">
                  <c:v>1.0689600914764101E-3</c:v>
                </c:pt>
                <c:pt idx="76">
                  <c:v>9.7704589472725101E-4</c:v>
                </c:pt>
                <c:pt idx="77">
                  <c:v>8.9302784993451796E-4</c:v>
                </c:pt>
                <c:pt idx="78">
                  <c:v>8.1622877842789799E-4</c:v>
                </c:pt>
                <c:pt idx="79">
                  <c:v>7.4602938535865704E-4</c:v>
                </c:pt>
                <c:pt idx="80">
                  <c:v>6.8186334344006697E-4</c:v>
                </c:pt>
                <c:pt idx="81">
                  <c:v>6.2321278904008701E-4</c:v>
                </c:pt>
                <c:pt idx="82">
                  <c:v>5.6960419690164704E-4</c:v>
                </c:pt>
                <c:pt idx="83">
                  <c:v>5.2060460238019795E-4</c:v>
                </c:pt>
                <c:pt idx="84">
                  <c:v>4.75818142524325E-4</c:v>
                </c:pt>
                <c:pt idx="85">
                  <c:v>4.3488288959084499E-4</c:v>
                </c:pt>
                <c:pt idx="86">
                  <c:v>3.9746795268968298E-4</c:v>
                </c:pt>
                <c:pt idx="87">
                  <c:v>3.6327082520399998E-4</c:v>
                </c:pt>
                <c:pt idx="88">
                  <c:v>3.3201495743661301E-4</c:v>
                </c:pt>
                <c:pt idx="89">
                  <c:v>3.03447535603263E-4</c:v>
                </c:pt>
                <c:pt idx="90">
                  <c:v>2.77337449835286E-4</c:v>
                </c:pt>
                <c:pt idx="91">
                  <c:v>2.5347343527718402E-4</c:v>
                </c:pt>
                <c:pt idx="92">
                  <c:v>2.31662371676283E-4</c:v>
                </c:pt>
                <c:pt idx="93">
                  <c:v>2.11727728070048E-4</c:v>
                </c:pt>
                <c:pt idx="94">
                  <c:v>1.9350814028900199E-4</c:v>
                </c:pt>
                <c:pt idx="95">
                  <c:v>1.76856110016289E-4</c:v>
                </c:pt>
                <c:pt idx="96">
                  <c:v>1.61636815085778E-4</c:v>
                </c:pt>
                <c:pt idx="97">
                  <c:v>1.4772702156487199E-4</c:v>
                </c:pt>
                <c:pt idx="98">
                  <c:v>1.3501408896217799E-4</c:v>
                </c:pt>
                <c:pt idx="99">
                  <c:v>1.23395060628898E-4</c:v>
                </c:pt>
                <c:pt idx="100">
                  <c:v>1.12775832091716E-4</c:v>
                </c:pt>
                <c:pt idx="101">
                  <c:v>1.03070390668343E-4</c:v>
                </c:pt>
                <c:pt idx="102">
                  <c:v>9.4200120279566105E-5</c:v>
                </c:pt>
                <c:pt idx="103">
                  <c:v>8.6093165887368204E-5</c:v>
                </c:pt>
                <c:pt idx="104">
                  <c:v>7.8683852461410698E-5</c:v>
                </c:pt>
                <c:pt idx="105">
                  <c:v>7.1912153809268096E-5</c:v>
                </c:pt>
                <c:pt idx="106">
                  <c:v>6.5723207002595696E-5</c:v>
                </c:pt>
                <c:pt idx="107">
                  <c:v>6.0066868494801897E-5</c:v>
                </c:pt>
                <c:pt idx="108">
                  <c:v>5.4897308358551299E-5</c:v>
                </c:pt>
                <c:pt idx="109">
                  <c:v>5.0172639376103799E-5</c:v>
                </c:pt>
                <c:pt idx="110">
                  <c:v>4.5854577994384401E-5</c:v>
                </c:pt>
                <c:pt idx="111">
                  <c:v>4.19086074760686E-5</c:v>
                </c:pt>
                <c:pt idx="112">
                  <c:v>3.8301801837589298E-5</c:v>
                </c:pt>
                <c:pt idx="113">
                  <c:v>3.5005406913656702E-5</c:v>
                </c:pt>
                <c:pt idx="114">
                  <c:v>3.1992709771556498E-5</c:v>
                </c:pt>
                <c:pt idx="115">
                  <c:v>2.92392960115083E-5</c:v>
                </c:pt>
                <c:pt idx="116">
                  <c:v>2.6722852036366099E-5</c:v>
                </c:pt>
                <c:pt idx="117">
                  <c:v>2.4422984322981001E-5</c:v>
                </c:pt>
                <c:pt idx="118">
                  <c:v>2.2321054234674801E-5</c:v>
                </c:pt>
                <c:pt idx="119">
                  <c:v>2.04000270395115E-5</c:v>
                </c:pt>
                <c:pt idx="120">
                  <c:v>1.8644333913634999E-5</c:v>
                </c:pt>
                <c:pt idx="121">
                  <c:v>1.7039745813653099E-5</c:v>
                </c:pt>
                <c:pt idx="122">
                  <c:v>1.55732581978677E-5</c:v>
                </c:pt>
                <c:pt idx="123">
                  <c:v>1.42329856637215E-5</c:v>
                </c:pt>
                <c:pt idx="124">
                  <c:v>1.30080656489204E-5</c:v>
                </c:pt>
                <c:pt idx="125">
                  <c:v>1.1888570416919599E-5</c:v>
                </c:pt>
                <c:pt idx="126">
                  <c:v>1.08654266143951E-5</c:v>
                </c:pt>
                <c:pt idx="127">
                  <c:v>9.93034174954022E-6</c:v>
                </c:pt>
                <c:pt idx="128">
                  <c:v>9.0757369959744401E-6</c:v>
                </c:pt>
                <c:pt idx="129">
                  <c:v>8.2946857782065797E-6</c:v>
                </c:pt>
                <c:pt idx="130">
                  <c:v>7.5808576413605299E-6</c:v>
                </c:pt>
                <c:pt idx="131">
                  <c:v>6.9284669506193103E-6</c:v>
                </c:pt>
                <c:pt idx="132">
                  <c:v>6.3322260049200904E-6</c:v>
                </c:pt>
                <c:pt idx="133">
                  <c:v>5.7873021851578398E-6</c:v>
                </c:pt>
                <c:pt idx="134">
                  <c:v>5.2892787898059802E-6</c:v>
                </c:pt>
                <c:pt idx="135">
                  <c:v>4.8341192407120798E-6</c:v>
                </c:pt>
                <c:pt idx="136">
                  <c:v>4.4181343691113202E-6</c:v>
                </c:pt>
                <c:pt idx="137">
                  <c:v>4.0379525168343099E-6</c:v>
                </c:pt>
                <c:pt idx="138">
                  <c:v>3.6904922104875399E-6</c:v>
                </c:pt>
                <c:pt idx="139">
                  <c:v>3.3729371872137799E-6</c:v>
                </c:pt>
                <c:pt idx="140">
                  <c:v>3.0827135696900601E-6</c:v>
                </c:pt>
                <c:pt idx="141">
                  <c:v>2.81746900542274E-6</c:v>
                </c:pt>
                <c:pt idx="142">
                  <c:v>2.5750536013125199E-6</c:v>
                </c:pt>
                <c:pt idx="143">
                  <c:v>2.3535024990040499E-6</c:v>
                </c:pt>
                <c:pt idx="144">
                  <c:v>2.1510199498235698E-6</c:v>
                </c:pt>
                <c:pt idx="145">
                  <c:v>1.96596476026007E-6</c:v>
                </c:pt>
                <c:pt idx="146">
                  <c:v>1.7968369900455399E-6</c:v>
                </c:pt>
                <c:pt idx="147">
                  <c:v>1.64226579504002E-6</c:v>
                </c:pt>
                <c:pt idx="148">
                  <c:v>1.5009983164021E-6</c:v>
                </c:pt>
                <c:pt idx="149">
                  <c:v>1.37188952600216E-6</c:v>
                </c:pt>
                <c:pt idx="150">
                  <c:v>1.2538929457849599E-6</c:v>
                </c:pt>
                <c:pt idx="151">
                  <c:v>1.1460521658687E-6</c:v>
                </c:pt>
                <c:pt idx="152">
                  <c:v>1.0474930926405501E-6</c:v>
                </c:pt>
                <c:pt idx="153">
                  <c:v>9.5741686402351502E-7</c:v>
                </c:pt>
                <c:pt idx="154">
                  <c:v>8.7509337449653801E-7</c:v>
                </c:pt>
                <c:pt idx="155">
                  <c:v>7.9985535739042703E-7</c:v>
                </c:pt>
                <c:pt idx="156">
                  <c:v>7.31092976498623E-7</c:v>
                </c:pt>
                <c:pt idx="157">
                  <c:v>6.6824888316888597E-7</c:v>
                </c:pt>
                <c:pt idx="158">
                  <c:v>6.1081369881511904E-7</c:v>
                </c:pt>
                <c:pt idx="159">
                  <c:v>5.5832188623493602E-7</c:v>
                </c:pt>
                <c:pt idx="160">
                  <c:v>5.1034797627098498E-7</c:v>
                </c:pt>
                <c:pt idx="161">
                  <c:v>4.66503119232845E-7</c:v>
                </c:pt>
                <c:pt idx="162">
                  <c:v>4.2643193312888597E-7</c:v>
                </c:pt>
                <c:pt idx="163">
                  <c:v>3.8980962316274402E-7</c:v>
                </c:pt>
                <c:pt idx="164">
                  <c:v>3.5633934914789999E-7</c:v>
                </c:pt>
                <c:pt idx="165">
                  <c:v>3.2574981950266301E-7</c:v>
                </c:pt>
                <c:pt idx="166">
                  <c:v>2.9779309232471602E-7</c:v>
                </c:pt>
                <c:pt idx="167">
                  <c:v>2.7224256572250301E-7</c:v>
                </c:pt>
                <c:pt idx="168">
                  <c:v>2.4889114111468202E-7</c:v>
                </c:pt>
                <c:pt idx="169">
                  <c:v>2.27549544610715E-7</c:v>
                </c:pt>
                <c:pt idx="170">
                  <c:v>2.0804479286708801E-7</c:v>
                </c:pt>
                <c:pt idx="171">
                  <c:v>1.9021879098442701E-7</c:v>
                </c:pt>
                <c:pt idx="172">
                  <c:v>1.7392705108109199E-7</c:v>
                </c:pt>
                <c:pt idx="173">
                  <c:v>1.5903752115695701E-7</c:v>
                </c:pt>
                <c:pt idx="174">
                  <c:v>1.4542951475483599E-7</c:v>
                </c:pt>
                <c:pt idx="175">
                  <c:v>1.3392422856771701E-7</c:v>
                </c:pt>
                <c:pt idx="176">
                  <c:v>1.2255785442529001E-7</c:v>
                </c:pt>
                <c:pt idx="177">
                  <c:v>1.1216976993466301E-7</c:v>
                </c:pt>
                <c:pt idx="178">
                  <c:v>1.02675774929225E-7</c:v>
                </c:pt>
                <c:pt idx="179">
                  <c:v>9.3998916243181101E-8</c:v>
                </c:pt>
                <c:pt idx="180">
                  <c:v>8.6068863971910506E-8</c:v>
                </c:pt>
                <c:pt idx="181">
                  <c:v>7.8821341416647401E-8</c:v>
                </c:pt>
                <c:pt idx="182">
                  <c:v>7.2197604093019704E-8</c:v>
                </c:pt>
                <c:pt idx="183">
                  <c:v>6.61439635805842E-8</c:v>
                </c:pt>
                <c:pt idx="184">
                  <c:v>6.0611352353959801E-8</c:v>
                </c:pt>
                <c:pt idx="185">
                  <c:v>5.5554926068347803E-8</c:v>
                </c:pt>
                <c:pt idx="186">
                  <c:v>5.0933700075789903E-8</c:v>
                </c:pt>
                <c:pt idx="187">
                  <c:v>4.6710217225987298E-8</c:v>
                </c:pt>
                <c:pt idx="188">
                  <c:v>4.2850244259053097E-8</c:v>
                </c:pt>
                <c:pt idx="189">
                  <c:v>3.9322494329335798E-8</c:v>
                </c:pt>
                <c:pt idx="190">
                  <c:v>3.6098373411263301E-8</c:v>
                </c:pt>
                <c:pt idx="191">
                  <c:v>3.3151748531687501E-8</c:v>
                </c:pt>
                <c:pt idx="192">
                  <c:v>3.04587359501881E-8</c:v>
                </c:pt>
                <c:pt idx="193">
                  <c:v>2.7997507570412202E-8</c:v>
                </c:pt>
                <c:pt idx="194">
                  <c:v>2.5748114013346198E-8</c:v>
                </c:pt>
                <c:pt idx="195">
                  <c:v>2.36923229184489E-8</c:v>
                </c:pt>
                <c:pt idx="196">
                  <c:v>2.1813471161994799E-8</c:v>
                </c:pt>
                <c:pt idx="197">
                  <c:v>2.0096329794801199E-8</c:v>
                </c:pt>
                <c:pt idx="198">
                  <c:v>1.85269806045976E-8</c:v>
                </c:pt>
                <c:pt idx="199">
                  <c:v>1.70927033025131E-8</c:v>
                </c:pt>
              </c:numCache>
            </c:numRef>
          </c:val>
          <c:smooth val="0"/>
        </c:ser>
        <c:ser>
          <c:idx val="3"/>
          <c:order val="3"/>
          <c:tx>
            <c:v>7.5</c:v>
          </c:tx>
          <c:marker>
            <c:symbol val="none"/>
          </c:marker>
          <c:val>
            <c:numRef>
              <c:f>'Original Treatment'!$K$2:$K$201</c:f>
              <c:numCache>
                <c:formatCode>0.000</c:formatCode>
                <c:ptCount val="200"/>
                <c:pt idx="0">
                  <c:v>0.52353248379097295</c:v>
                </c:pt>
                <c:pt idx="1">
                  <c:v>0.54666752498157301</c:v>
                </c:pt>
                <c:pt idx="2">
                  <c:v>0.569425243160536</c:v>
                </c:pt>
                <c:pt idx="3">
                  <c:v>0.59177341790736304</c:v>
                </c:pt>
                <c:pt idx="4">
                  <c:v>0.61364437266947802</c:v>
                </c:pt>
                <c:pt idx="5">
                  <c:v>0.63496213021216896</c:v>
                </c:pt>
                <c:pt idx="6">
                  <c:v>0.65566166370618395</c:v>
                </c:pt>
                <c:pt idx="7">
                  <c:v>0.67569510439847202</c:v>
                </c:pt>
                <c:pt idx="8">
                  <c:v>0.69502968845661905</c:v>
                </c:pt>
                <c:pt idx="9">
                  <c:v>0.71364330768213902</c:v>
                </c:pt>
                <c:pt idx="10">
                  <c:v>0.73152075280291196</c:v>
                </c:pt>
                <c:pt idx="11">
                  <c:v>0.748651431081514</c:v>
                </c:pt>
                <c:pt idx="12">
                  <c:v>0.76502832521563202</c:v>
                </c:pt>
                <c:pt idx="13">
                  <c:v>0.78064769681665003</c:v>
                </c:pt>
                <c:pt idx="14">
                  <c:v>0.79550916478459699</c:v>
                </c:pt>
                <c:pt idx="15">
                  <c:v>0.80961587196575502</c:v>
                </c:pt>
                <c:pt idx="16">
                  <c:v>0.82297460282653001</c:v>
                </c:pt>
                <c:pt idx="17">
                  <c:v>0.83559578532518397</c:v>
                </c:pt>
                <c:pt idx="18">
                  <c:v>0.84749336175372403</c:v>
                </c:pt>
                <c:pt idx="19">
                  <c:v>0.85868454108047898</c:v>
                </c:pt>
                <c:pt idx="20">
                  <c:v>0.86918945843812001</c:v>
                </c:pt>
                <c:pt idx="21">
                  <c:v>0.87903077148031405</c:v>
                </c:pt>
                <c:pt idx="22">
                  <c:v>0.88823322220179102</c:v>
                </c:pt>
                <c:pt idx="23">
                  <c:v>0.89682318899416003</c:v>
                </c:pt>
                <c:pt idx="24">
                  <c:v>0.90482824878527301</c:v>
                </c:pt>
                <c:pt idx="25">
                  <c:v>0.91227676404615798</c:v>
                </c:pt>
                <c:pt idx="26">
                  <c:v>0.91919750478817097</c:v>
                </c:pt>
                <c:pt idx="27">
                  <c:v>0.92561931167884004</c:v>
                </c:pt>
                <c:pt idx="28">
                  <c:v>0.93157080316838403</c:v>
                </c:pt>
                <c:pt idx="29">
                  <c:v>0.93708012702478904</c:v>
                </c:pt>
                <c:pt idx="30">
                  <c:v>0.942174754851414</c:v>
                </c:pt>
                <c:pt idx="31">
                  <c:v>0.94688131690834998</c:v>
                </c:pt>
                <c:pt idx="32">
                  <c:v>0.95122547377161304</c:v>
                </c:pt>
                <c:pt idx="33">
                  <c:v>0.95523182094189996</c:v>
                </c:pt>
                <c:pt idx="34">
                  <c:v>0.95892382236735996</c:v>
                </c:pt>
                <c:pt idx="35">
                  <c:v>0.96232376889639404</c:v>
                </c:pt>
                <c:pt idx="36">
                  <c:v>0.96545275786463602</c:v>
                </c:pt>
                <c:pt idx="37">
                  <c:v>0.968330690295783</c:v>
                </c:pt>
                <c:pt idx="38">
                  <c:v>0.97097628252104495</c:v>
                </c:pt>
                <c:pt idx="39">
                  <c:v>0.97340708936870901</c:v>
                </c:pt>
                <c:pt idx="40">
                  <c:v>0.97563953642357104</c:v>
                </c:pt>
                <c:pt idx="41">
                  <c:v>0.97768895919194998</c:v>
                </c:pt>
                <c:pt idx="42">
                  <c:v>0.97956964732285701</c:v>
                </c:pt>
                <c:pt idx="43">
                  <c:v>0.98129489232439104</c:v>
                </c:pt>
                <c:pt idx="44">
                  <c:v>0.98287703747405397</c:v>
                </c:pt>
                <c:pt idx="45">
                  <c:v>0.98432752885188701</c:v>
                </c:pt>
                <c:pt idx="46">
                  <c:v>0.98565696662682001</c:v>
                </c:pt>
                <c:pt idx="47">
                  <c:v>0.98687515590101604</c:v>
                </c:pt>
                <c:pt idx="48">
                  <c:v>0.98799115656635395</c:v>
                </c:pt>
                <c:pt idx="49">
                  <c:v>0.98901333175389305</c:v>
                </c:pt>
                <c:pt idx="50">
                  <c:v>0.98994939456365905</c:v>
                </c:pt>
                <c:pt idx="51">
                  <c:v>0.99080645285075797</c:v>
                </c:pt>
                <c:pt idx="52">
                  <c:v>0.99159105191694097</c:v>
                </c:pt>
                <c:pt idx="53">
                  <c:v>0.99230921501645497</c:v>
                </c:pt>
                <c:pt idx="54">
                  <c:v>0.992966481633209</c:v>
                </c:pt>
                <c:pt idx="55">
                  <c:v>0.993567943524724</c:v>
                </c:pt>
                <c:pt idx="56">
                  <c:v>0.99411827855851398</c:v>
                </c:pt>
                <c:pt idx="57">
                  <c:v>0.994621782389841</c:v>
                </c:pt>
                <c:pt idx="58">
                  <c:v>0.99508239804729204</c:v>
                </c:pt>
                <c:pt idx="59">
                  <c:v>0.99550374350545801</c:v>
                </c:pt>
                <c:pt idx="60">
                  <c:v>0.99588913733289997</c:v>
                </c:pt>
                <c:pt idx="61">
                  <c:v>0.99624162250931703</c:v>
                </c:pt>
                <c:pt idx="62">
                  <c:v>0.996563988509101</c:v>
                </c:pt>
                <c:pt idx="63">
                  <c:v>0.99685879174962999</c:v>
                </c:pt>
                <c:pt idx="64">
                  <c:v>0.99712837450227298</c:v>
                </c:pt>
                <c:pt idx="65">
                  <c:v>0.99737488236247296</c:v>
                </c:pt>
                <c:pt idx="66">
                  <c:v>0.99760028037273696</c:v>
                </c:pt>
                <c:pt idx="67">
                  <c:v>0.99780636788909105</c:v>
                </c:pt>
                <c:pt idx="68">
                  <c:v>0.997994792277902</c:v>
                </c:pt>
                <c:pt idx="69">
                  <c:v>0.99816706152585599</c:v>
                </c:pt>
                <c:pt idx="70">
                  <c:v>0.99832455584168001</c:v>
                </c:pt>
                <c:pt idx="71">
                  <c:v>0.99846853832383198</c:v>
                </c:pt>
                <c:pt idx="72">
                  <c:v>0.99860016476403901</c:v>
                </c:pt>
                <c:pt idx="73">
                  <c:v>0.99872049265223595</c:v>
                </c:pt>
                <c:pt idx="74">
                  <c:v>0.99883048944428798</c:v>
                </c:pt>
                <c:pt idx="75">
                  <c:v>0.998931040149733</c:v>
                </c:pt>
                <c:pt idx="76">
                  <c:v>0.99902295429293098</c:v>
                </c:pt>
                <c:pt idx="77">
                  <c:v>0.99910697229719403</c:v>
                </c:pt>
                <c:pt idx="78">
                  <c:v>0.999183771337954</c:v>
                </c:pt>
                <c:pt idx="79">
                  <c:v>0.999253970707631</c:v>
                </c:pt>
                <c:pt idx="80">
                  <c:v>0.99931813673169001</c:v>
                </c:pt>
                <c:pt idx="81">
                  <c:v>0.99937678727239498</c:v>
                </c:pt>
                <c:pt idx="82">
                  <c:v>0.99943039585397697</c:v>
                </c:pt>
                <c:pt idx="83">
                  <c:v>0.99947939544030895</c:v>
                </c:pt>
                <c:pt idx="84">
                  <c:v>0.99952418189376702</c:v>
                </c:pt>
                <c:pt idx="85">
                  <c:v>0.99956511714165897</c:v>
                </c:pt>
                <c:pt idx="86">
                  <c:v>0.99960253207454797</c:v>
                </c:pt>
                <c:pt idx="87">
                  <c:v>0.99963672919880697</c:v>
                </c:pt>
                <c:pt idx="88">
                  <c:v>0.99966798506394805</c:v>
                </c:pt>
                <c:pt idx="89">
                  <c:v>0.999696552483617</c:v>
                </c:pt>
                <c:pt idx="90">
                  <c:v>0.99972266256757802</c:v>
                </c:pt>
                <c:pt idx="91">
                  <c:v>0.99974652658060703</c:v>
                </c:pt>
                <c:pt idx="92">
                  <c:v>0.99976833764289796</c:v>
                </c:pt>
                <c:pt idx="93">
                  <c:v>0.99978827228536604</c:v>
                </c:pt>
                <c:pt idx="94">
                  <c:v>0.99980649187214898</c:v>
                </c:pt>
                <c:pt idx="95">
                  <c:v>0.99982314390153504</c:v>
                </c:pt>
                <c:pt idx="96">
                  <c:v>0.99983836319566999</c:v>
                </c:pt>
                <c:pt idx="97">
                  <c:v>0.99985227298847301</c:v>
                </c:pt>
                <c:pt idx="98">
                  <c:v>0.99986498592042194</c:v>
                </c:pt>
                <c:pt idx="99">
                  <c:v>0.999876604948156</c:v>
                </c:pt>
                <c:pt idx="100">
                  <c:v>0.99988722417614195</c:v>
                </c:pt>
                <c:pt idx="101">
                  <c:v>0.99989692961705501</c:v>
                </c:pt>
                <c:pt idx="102">
                  <c:v>0.99990579988697104</c:v>
                </c:pt>
                <c:pt idx="103">
                  <c:v>0.99991390684092196</c:v>
                </c:pt>
                <c:pt idx="104">
                  <c:v>0.99992131615393698</c:v>
                </c:pt>
                <c:pt idx="105">
                  <c:v>0.99992808785220499</c:v>
                </c:pt>
                <c:pt idx="106">
                  <c:v>0.99993427679865199</c:v>
                </c:pt>
                <c:pt idx="107">
                  <c:v>0.99993993313682195</c:v>
                </c:pt>
                <c:pt idx="108">
                  <c:v>0.99994510269664205</c:v>
                </c:pt>
                <c:pt idx="109">
                  <c:v>0.999949827365328</c:v>
                </c:pt>
                <c:pt idx="110">
                  <c:v>0.99995414542643002</c:v>
                </c:pt>
                <c:pt idx="111">
                  <c:v>0.99995809140081104</c:v>
                </c:pt>
                <c:pt idx="112">
                  <c:v>0.99996169820595904</c:v>
                </c:pt>
                <c:pt idx="113">
                  <c:v>0.99996499460042099</c:v>
                </c:pt>
                <c:pt idx="114">
                  <c:v>0.99996800729712898</c:v>
                </c:pt>
                <c:pt idx="115">
                  <c:v>0.99997076071047997</c:v>
                </c:pt>
                <c:pt idx="116">
                  <c:v>0.99997327715407003</c:v>
                </c:pt>
                <c:pt idx="117">
                  <c:v>0.99997557702142104</c:v>
                </c:pt>
                <c:pt idx="118">
                  <c:v>0.99997767895116896</c:v>
                </c:pt>
                <c:pt idx="119">
                  <c:v>0.99997959997804298</c:v>
                </c:pt>
                <c:pt idx="120">
                  <c:v>0.99998135567086699</c:v>
                </c:pt>
                <c:pt idx="121">
                  <c:v>0.99998296025868305</c:v>
                </c:pt>
                <c:pt idx="122">
                  <c:v>0.99998442674603105</c:v>
                </c:pt>
                <c:pt idx="123">
                  <c:v>0.99998576701831399</c:v>
                </c:pt>
                <c:pt idx="124">
                  <c:v>0.99998699193809204</c:v>
                </c:pt>
                <c:pt idx="125">
                  <c:v>0.99998811143310096</c:v>
                </c:pt>
                <c:pt idx="126">
                  <c:v>0.99998913457669403</c:v>
                </c:pt>
                <c:pt idx="127">
                  <c:v>0.99999006966136095</c:v>
                </c:pt>
                <c:pt idx="128">
                  <c:v>0.99999092426592895</c:v>
                </c:pt>
                <c:pt idx="129">
                  <c:v>0.99999170531697201</c:v>
                </c:pt>
                <c:pt idx="130">
                  <c:v>0.99999241914494497</c:v>
                </c:pt>
                <c:pt idx="131">
                  <c:v>0.999993071535481</c:v>
                </c:pt>
                <c:pt idx="132">
                  <c:v>0.99999366777628096</c:v>
                </c:pt>
                <c:pt idx="133">
                  <c:v>0.99999421269996402</c:v>
                </c:pt>
                <c:pt idx="134">
                  <c:v>0.99999471072323098</c:v>
                </c:pt>
                <c:pt idx="135">
                  <c:v>0.99999516588265902</c:v>
                </c:pt>
                <c:pt idx="136">
                  <c:v>0.99999558186741699</c:v>
                </c:pt>
                <c:pt idx="137">
                  <c:v>0.99999596204916197</c:v>
                </c:pt>
                <c:pt idx="138">
                  <c:v>0.99999630950936802</c:v>
                </c:pt>
                <c:pt idx="139">
                  <c:v>0.99999662706429704</c:v>
                </c:pt>
                <c:pt idx="140">
                  <c:v>0.99999691728782603</c:v>
                </c:pt>
                <c:pt idx="141">
                  <c:v>0.99999718253230596</c:v>
                </c:pt>
                <c:pt idx="142">
                  <c:v>0.999997424947632</c:v>
                </c:pt>
                <c:pt idx="143">
                  <c:v>0.99999764649865996</c:v>
                </c:pt>
                <c:pt idx="144">
                  <c:v>0.99999784898113997</c:v>
                </c:pt>
                <c:pt idx="145">
                  <c:v>0.99999803403626397</c:v>
                </c:pt>
                <c:pt idx="146">
                  <c:v>0.99999820316397303</c:v>
                </c:pt>
                <c:pt idx="147">
                  <c:v>0.99999835773511003</c:v>
                </c:pt>
                <c:pt idx="148">
                  <c:v>0.99999849900253501</c:v>
                </c:pt>
                <c:pt idx="149">
                  <c:v>0.99999862811127405</c:v>
                </c:pt>
                <c:pt idx="150">
                  <c:v>0.99999874610780604</c:v>
                </c:pt>
                <c:pt idx="151">
                  <c:v>0.99999885394854104</c:v>
                </c:pt>
                <c:pt idx="152">
                  <c:v>0.99999895250757198</c:v>
                </c:pt>
                <c:pt idx="153">
                  <c:v>0.99999904258376104</c:v>
                </c:pt>
                <c:pt idx="154">
                  <c:v>0.99999912490721299</c:v>
                </c:pt>
                <c:pt idx="155">
                  <c:v>0.99999920014519506</c:v>
                </c:pt>
                <c:pt idx="156">
                  <c:v>0.99999926890754298</c:v>
                </c:pt>
                <c:pt idx="157">
                  <c:v>0.99999933175160505</c:v>
                </c:pt>
                <c:pt idx="158">
                  <c:v>0.99999938918676001</c:v>
                </c:pt>
                <c:pt idx="159">
                  <c:v>0.99999944167854504</c:v>
                </c:pt>
                <c:pt idx="160">
                  <c:v>0.99999948965243002</c:v>
                </c:pt>
                <c:pt idx="161">
                  <c:v>0.99999953349726201</c:v>
                </c:pt>
                <c:pt idx="162">
                  <c:v>0.99999957356842595</c:v>
                </c:pt>
                <c:pt idx="163">
                  <c:v>0.99999961019071404</c:v>
                </c:pt>
                <c:pt idx="164">
                  <c:v>0.99999964366096805</c:v>
                </c:pt>
                <c:pt idx="165">
                  <c:v>0.99999967425047898</c:v>
                </c:pt>
                <c:pt idx="166">
                  <c:v>0.99999970220718903</c:v>
                </c:pt>
                <c:pt idx="167">
                  <c:v>0.99999972775769796</c:v>
                </c:pt>
                <c:pt idx="168">
                  <c:v>0.99999975110910699</c:v>
                </c:pt>
                <c:pt idx="169">
                  <c:v>0.99999977245068905</c:v>
                </c:pt>
                <c:pt idx="170">
                  <c:v>0.99999979195542699</c:v>
                </c:pt>
                <c:pt idx="171">
                  <c:v>0.999999809781416</c:v>
                </c:pt>
                <c:pt idx="172">
                  <c:v>0.99999982607314297</c:v>
                </c:pt>
                <c:pt idx="173">
                  <c:v>0.99999984096266203</c:v>
                </c:pt>
                <c:pt idx="174">
                  <c:v>0.99999985457065699</c:v>
                </c:pt>
                <c:pt idx="175">
                  <c:v>0.99999986607609403</c:v>
                </c:pt>
                <c:pt idx="176">
                  <c:v>0.999999877442449</c:v>
                </c:pt>
                <c:pt idx="177">
                  <c:v>0.99999988783051497</c:v>
                </c:pt>
                <c:pt idx="178">
                  <c:v>0.99999989732449401</c:v>
                </c:pt>
                <c:pt idx="179">
                  <c:v>0.99999990600133704</c:v>
                </c:pt>
                <c:pt idx="180">
                  <c:v>0.999999913931374</c:v>
                </c:pt>
                <c:pt idx="181">
                  <c:v>0.99999992117888303</c:v>
                </c:pt>
                <c:pt idx="182">
                  <c:v>0.99999992780260705</c:v>
                </c:pt>
                <c:pt idx="183">
                  <c:v>0.99999993385623498</c:v>
                </c:pt>
                <c:pt idx="184">
                  <c:v>0.99999993938883502</c:v>
                </c:pt>
                <c:pt idx="185">
                  <c:v>0.99999994444524998</c:v>
                </c:pt>
                <c:pt idx="186">
                  <c:v>0.99999994906646605</c:v>
                </c:pt>
                <c:pt idx="187">
                  <c:v>0.99999995328993896</c:v>
                </c:pt>
                <c:pt idx="188">
                  <c:v>0.99999995714990297</c:v>
                </c:pt>
                <c:pt idx="189">
                  <c:v>0.99999996067764396</c:v>
                </c:pt>
                <c:pt idx="190">
                  <c:v>0.99999996390175705</c:v>
                </c:pt>
                <c:pt idx="191">
                  <c:v>0.999999966848374</c:v>
                </c:pt>
                <c:pt idx="192">
                  <c:v>0.99999996954138004</c:v>
                </c:pt>
                <c:pt idx="193">
                  <c:v>0.99999997200260105</c:v>
                </c:pt>
                <c:pt idx="194">
                  <c:v>0.99999997425198905</c:v>
                </c:pt>
                <c:pt idx="195">
                  <c:v>0.99999997630777404</c:v>
                </c:pt>
                <c:pt idx="196">
                  <c:v>0.99999997818662001</c:v>
                </c:pt>
                <c:pt idx="197">
                  <c:v>0.999999979903756</c:v>
                </c:pt>
                <c:pt idx="198">
                  <c:v>0.99999998147309999</c:v>
                </c:pt>
                <c:pt idx="199">
                  <c:v>0.99999998290737302</c:v>
                </c:pt>
              </c:numCache>
            </c:numRef>
          </c:val>
          <c:smooth val="0"/>
        </c:ser>
        <c:ser>
          <c:idx val="4"/>
          <c:order val="4"/>
          <c:tx>
            <c:v>2.5</c:v>
          </c:tx>
          <c:marker>
            <c:symbol val="none"/>
          </c:marker>
          <c:val>
            <c:numRef>
              <c:f>'Original Treatment'!$D$2:$D$201</c:f>
              <c:numCache>
                <c:formatCode>0.000</c:formatCode>
                <c:ptCount val="200"/>
                <c:pt idx="0">
                  <c:v>0.45337473368039799</c:v>
                </c:pt>
                <c:pt idx="1">
                  <c:v>0.40408439801219598</c:v>
                </c:pt>
                <c:pt idx="2">
                  <c:v>0.35357992546189099</c:v>
                </c:pt>
                <c:pt idx="3">
                  <c:v>0.303838445379152</c:v>
                </c:pt>
                <c:pt idx="4">
                  <c:v>0.25685248746779399</c:v>
                </c:pt>
                <c:pt idx="5">
                  <c:v>0.214146267296944</c:v>
                </c:pt>
                <c:pt idx="6">
                  <c:v>0.17656191472115701</c:v>
                </c:pt>
                <c:pt idx="7">
                  <c:v>0.14431389904794101</c:v>
                </c:pt>
                <c:pt idx="8">
                  <c:v>0.117172338541058</c:v>
                </c:pt>
                <c:pt idx="9">
                  <c:v>9.4654412762345499E-2</c:v>
                </c:pt>
                <c:pt idx="10">
                  <c:v>7.6170380163699106E-2</c:v>
                </c:pt>
                <c:pt idx="11">
                  <c:v>6.11170213715517E-2</c:v>
                </c:pt>
                <c:pt idx="12">
                  <c:v>4.8929546577562398E-2</c:v>
                </c:pt>
                <c:pt idx="13">
                  <c:v>3.9105763167726099E-2</c:v>
                </c:pt>
                <c:pt idx="14">
                  <c:v>3.1213523067795301E-2</c:v>
                </c:pt>
                <c:pt idx="15">
                  <c:v>2.4889007255687299E-2</c:v>
                </c:pt>
                <c:pt idx="16">
                  <c:v>1.9830530380222901E-2</c:v>
                </c:pt>
                <c:pt idx="17">
                  <c:v>1.5790610331535799E-2</c:v>
                </c:pt>
                <c:pt idx="18">
                  <c:v>1.2567809113447501E-2</c:v>
                </c:pt>
                <c:pt idx="19">
                  <c:v>9.9991064513665906E-3</c:v>
                </c:pt>
                <c:pt idx="20">
                  <c:v>7.9531371832935807E-3</c:v>
                </c:pt>
                <c:pt idx="21">
                  <c:v>6.32438562970003E-3</c:v>
                </c:pt>
                <c:pt idx="22">
                  <c:v>5.0283064779737896E-3</c:v>
                </c:pt>
                <c:pt idx="23">
                  <c:v>3.9972838706287704E-3</c:v>
                </c:pt>
                <c:pt idx="24">
                  <c:v>3.1773192405925698E-3</c:v>
                </c:pt>
                <c:pt idx="25">
                  <c:v>2.5253368295144601E-3</c:v>
                </c:pt>
                <c:pt idx="26">
                  <c:v>2.0070038448934098E-3</c:v>
                </c:pt>
                <c:pt idx="27">
                  <c:v>1.59497427711307E-3</c:v>
                </c:pt>
                <c:pt idx="28">
                  <c:v>1.2674784756512799E-3</c:v>
                </c:pt>
                <c:pt idx="29">
                  <c:v>1.00719312073873E-3</c:v>
                </c:pt>
                <c:pt idx="30">
                  <c:v>8.0033750940850705E-4</c:v>
                </c:pt>
                <c:pt idx="31">
                  <c:v>6.3595185497035997E-4</c:v>
                </c:pt>
                <c:pt idx="32">
                  <c:v>5.0532157395607004E-4</c:v>
                </c:pt>
                <c:pt idx="33">
                  <c:v>4.0151842188203599E-4</c:v>
                </c:pt>
                <c:pt idx="34">
                  <c:v>3.1903500534922498E-4</c:v>
                </c:pt>
                <c:pt idx="35">
                  <c:v>2.5349382056785502E-4</c:v>
                </c:pt>
                <c:pt idx="36">
                  <c:v>2.0141571627367699E-4</c:v>
                </c:pt>
                <c:pt idx="37">
                  <c:v>1.6003570364482499E-4</c:v>
                </c:pt>
                <c:pt idx="38">
                  <c:v>1.27156468246511E-4</c:v>
                </c:pt>
                <c:pt idx="39">
                  <c:v>1.0103188995025799E-4</c:v>
                </c:pt>
                <c:pt idx="40">
                  <c:v>8.0274438290473194E-5</c:v>
                </c:pt>
                <c:pt idx="41">
                  <c:v>6.3781558572830694E-5</c:v>
                </c:pt>
                <c:pt idx="42">
                  <c:v>5.0677160012663699E-5</c:v>
                </c:pt>
                <c:pt idx="43">
                  <c:v>4.0265111339021398E-5</c:v>
                </c:pt>
                <c:pt idx="44">
                  <c:v>3.1992282066679497E-5</c:v>
                </c:pt>
                <c:pt idx="45">
                  <c:v>2.5419171515963099E-5</c:v>
                </c:pt>
                <c:pt idx="46">
                  <c:v>2.0196568717070902E-5</c:v>
                </c:pt>
                <c:pt idx="47">
                  <c:v>1.60470054370897E-5</c:v>
                </c:pt>
                <c:pt idx="48">
                  <c:v>1.2750018388814E-5</c:v>
                </c:pt>
                <c:pt idx="49">
                  <c:v>1.0130438529924801E-5</c:v>
                </c:pt>
                <c:pt idx="50">
                  <c:v>8.0490858518074106E-6</c:v>
                </c:pt>
                <c:pt idx="51">
                  <c:v>6.3953756454958102E-6</c:v>
                </c:pt>
                <c:pt idx="52">
                  <c:v>5.0814436518987403E-6</c:v>
                </c:pt>
                <c:pt idx="53">
                  <c:v>4.03747811454281E-6</c:v>
                </c:pt>
                <c:pt idx="54">
                  <c:v>3.2080108203405198E-6</c:v>
                </c:pt>
                <c:pt idx="55">
                  <c:v>2.5489701297215501E-6</c:v>
                </c:pt>
                <c:pt idx="56">
                  <c:v>2.0253394596723502E-6</c:v>
                </c:pt>
                <c:pt idx="57">
                  <c:v>1.6092968368782901E-6</c:v>
                </c:pt>
                <c:pt idx="58">
                  <c:v>1.27873668859401E-6</c:v>
                </c:pt>
                <c:pt idx="59">
                  <c:v>1.0160953416590601E-6</c:v>
                </c:pt>
                <c:pt idx="60">
                  <c:v>8.0741783269987398E-7</c:v>
                </c:pt>
                <c:pt idx="61">
                  <c:v>6.4161645136292396E-7</c:v>
                </c:pt>
                <c:pt idx="62">
                  <c:v>5.0988162397348398E-7</c:v>
                </c:pt>
                <c:pt idx="63">
                  <c:v>4.0521383815458601E-7</c:v>
                </c:pt>
                <c:pt idx="64">
                  <c:v>3.2205173945928499E-7</c:v>
                </c:pt>
                <c:pt idx="65">
                  <c:v>2.5597664049381299E-7</c:v>
                </c:pt>
                <c:pt idx="66">
                  <c:v>2.0347774272426501E-7</c:v>
                </c:pt>
                <c:pt idx="67">
                  <c:v>1.6176559680905499E-7</c:v>
                </c:pt>
                <c:pt idx="68">
                  <c:v>1.28623890231662E-7</c:v>
                </c:pt>
                <c:pt idx="69">
                  <c:v>1.0229168737414099E-7</c:v>
                </c:pt>
                <c:pt idx="70">
                  <c:v>8.1369865152605406E-8</c:v>
                </c:pt>
                <c:pt idx="71">
                  <c:v>6.4746772889034E-8</c:v>
                </c:pt>
                <c:pt idx="72">
                  <c:v>5.1539166517436601E-8</c:v>
                </c:pt>
                <c:pt idx="73">
                  <c:v>4.1045278783503799E-8</c:v>
                </c:pt>
                <c:pt idx="74">
                  <c:v>3.2707531913189698E-8</c:v>
                </c:pt>
                <c:pt idx="75">
                  <c:v>2.60829115563358E-8</c:v>
                </c:pt>
                <c:pt idx="76">
                  <c:v>2.0819427877026301E-8</c:v>
                </c:pt>
                <c:pt idx="77">
                  <c:v>1.6637413090726398E-8</c:v>
                </c:pt>
                <c:pt idx="78">
                  <c:v>1.3314661723660501E-8</c:v>
                </c:pt>
                <c:pt idx="79">
                  <c:v>1.0674624045962099E-8</c:v>
                </c:pt>
                <c:pt idx="80">
                  <c:v>8.5770253551909904E-9</c:v>
                </c:pt>
                <c:pt idx="81">
                  <c:v>6.9104126802856303E-9</c:v>
                </c:pt>
                <c:pt idx="82">
                  <c:v>5.5862328863507499E-9</c:v>
                </c:pt>
                <c:pt idx="83">
                  <c:v>4.5341275292194499E-9</c:v>
                </c:pt>
                <c:pt idx="84">
                  <c:v>3.6981944588331898E-9</c:v>
                </c:pt>
                <c:pt idx="85">
                  <c:v>3.0340175371976201E-9</c:v>
                </c:pt>
                <c:pt idx="86">
                  <c:v>2.5063066492830701E-9</c:v>
                </c:pt>
                <c:pt idx="87">
                  <c:v>2.08702261224601E-9</c:v>
                </c:pt>
                <c:pt idx="88">
                  <c:v>1.7538873527054301E-9</c:v>
                </c:pt>
                <c:pt idx="89">
                  <c:v>1.4892001924658599E-9</c:v>
                </c:pt>
                <c:pt idx="90">
                  <c:v>1.27889734770699E-9</c:v>
                </c:pt>
                <c:pt idx="91">
                  <c:v>1.1118046694589599E-9</c:v>
                </c:pt>
                <c:pt idx="92">
                  <c:v>9.7904392078135693E-10</c:v>
                </c:pt>
                <c:pt idx="93">
                  <c:v>8.7356104401857495E-10</c:v>
                </c:pt>
                <c:pt idx="94">
                  <c:v>7.8975135327416895E-10</c:v>
                </c:pt>
                <c:pt idx="95">
                  <c:v>7.2316173723126902E-10</c:v>
                </c:pt>
                <c:pt idx="96">
                  <c:v>6.7025404928255305E-10</c:v>
                </c:pt>
                <c:pt idx="97">
                  <c:v>6.2821711303499802E-10</c:v>
                </c:pt>
                <c:pt idx="98">
                  <c:v>5.9481735436427698E-10</c:v>
                </c:pt>
                <c:pt idx="99">
                  <c:v>5.6828012356145595E-10</c:v>
                </c:pt>
                <c:pt idx="100">
                  <c:v>5.4719540178962399E-10</c:v>
                </c:pt>
                <c:pt idx="101">
                  <c:v>5.3044288169447203E-10</c:v>
                </c:pt>
                <c:pt idx="102">
                  <c:v>5.1713244143138504E-10</c:v>
                </c:pt>
                <c:pt idx="103">
                  <c:v>5.0655684927933097E-10</c:v>
                </c:pt>
                <c:pt idx="104">
                  <c:v>4.9815418586707296E-10</c:v>
                </c:pt>
                <c:pt idx="105">
                  <c:v>4.91477987368956E-10</c:v>
                </c:pt>
                <c:pt idx="106">
                  <c:v>4.8617352327052196E-10</c:v>
                </c:pt>
                <c:pt idx="107">
                  <c:v>4.8195894825604398E-10</c:v>
                </c:pt>
                <c:pt idx="108">
                  <c:v>4.7861032674971195E-10</c:v>
                </c:pt>
                <c:pt idx="109">
                  <c:v>4.7594973441032295E-10</c:v>
                </c:pt>
                <c:pt idx="110">
                  <c:v>4.7383580436892397E-10</c:v>
                </c:pt>
                <c:pt idx="111">
                  <c:v>9.3781750659161102E-10</c:v>
                </c:pt>
                <c:pt idx="112">
                  <c:v>9.3648301648101306E-10</c:v>
                </c:pt>
                <c:pt idx="113">
                  <c:v>9.3542271921772907E-10</c:v>
                </c:pt>
                <c:pt idx="114">
                  <c:v>9.345802773900759E-10</c:v>
                </c:pt>
                <c:pt idx="115">
                  <c:v>9.3391092903054405E-10</c:v>
                </c:pt>
                <c:pt idx="116">
                  <c:v>9.3337910925113302E-10</c:v>
                </c:pt>
                <c:pt idx="117">
                  <c:v>9.3295656055267497E-10</c:v>
                </c:pt>
                <c:pt idx="118">
                  <c:v>9.3262083140209203E-10</c:v>
                </c:pt>
                <c:pt idx="119">
                  <c:v>9.3235408330152409E-10</c:v>
                </c:pt>
                <c:pt idx="120">
                  <c:v>9.3214214296468404E-10</c:v>
                </c:pt>
                <c:pt idx="121">
                  <c:v>9.3197374923908999E-10</c:v>
                </c:pt>
                <c:pt idx="122">
                  <c:v>9.318399547604709E-10</c:v>
                </c:pt>
                <c:pt idx="123">
                  <c:v>9.3173365054707903E-10</c:v>
                </c:pt>
                <c:pt idx="124">
                  <c:v>9.3164918827387992E-10</c:v>
                </c:pt>
                <c:pt idx="125">
                  <c:v>9.3158208015671595E-10</c:v>
                </c:pt>
                <c:pt idx="126">
                  <c:v>9.3152876050016597E-10</c:v>
                </c:pt>
                <c:pt idx="127">
                  <c:v>9.3148639623932007E-10</c:v>
                </c:pt>
                <c:pt idx="128">
                  <c:v>9.3145273640883397E-10</c:v>
                </c:pt>
                <c:pt idx="129">
                  <c:v>9.3142599254104702E-10</c:v>
                </c:pt>
                <c:pt idx="130">
                  <c:v>9.31404743638255E-10</c:v>
                </c:pt>
                <c:pt idx="131">
                  <c:v>9.3138786066999604E-10</c:v>
                </c:pt>
                <c:pt idx="132">
                  <c:v>9.3137444658359294E-10</c:v>
                </c:pt>
                <c:pt idx="133">
                  <c:v>9.3136378864052298E-10</c:v>
                </c:pt>
                <c:pt idx="134">
                  <c:v>9.3135532054605999E-10</c:v>
                </c:pt>
                <c:pt idx="135">
                  <c:v>9.3134859235999408E-10</c:v>
                </c:pt>
                <c:pt idx="136">
                  <c:v>9.3134324658969193E-10</c:v>
                </c:pt>
                <c:pt idx="137">
                  <c:v>9.3133899919523092E-10</c:v>
                </c:pt>
                <c:pt idx="138">
                  <c:v>9.3133562449734102E-10</c:v>
                </c:pt>
                <c:pt idx="139">
                  <c:v>9.3133294318624409E-10</c:v>
                </c:pt>
                <c:pt idx="140">
                  <c:v>9.3133081279429306E-10</c:v>
                </c:pt>
                <c:pt idx="141">
                  <c:v>9.3132912012614601E-10</c:v>
                </c:pt>
                <c:pt idx="142">
                  <c:v>9.3132777524429605E-10</c:v>
                </c:pt>
                <c:pt idx="143">
                  <c:v>9.3132670669036698E-10</c:v>
                </c:pt>
                <c:pt idx="144">
                  <c:v>9.3132585768827409E-10</c:v>
                </c:pt>
                <c:pt idx="145">
                  <c:v>9.3132518312750803E-10</c:v>
                </c:pt>
                <c:pt idx="146">
                  <c:v>9.3132464716625094E-10</c:v>
                </c:pt>
                <c:pt idx="147">
                  <c:v>9.3132422132696999E-10</c:v>
                </c:pt>
                <c:pt idx="148">
                  <c:v>9.3132388298330894E-10</c:v>
                </c:pt>
                <c:pt idx="149">
                  <c:v>9.3132361415786491E-10</c:v>
                </c:pt>
                <c:pt idx="150">
                  <c:v>9.3132340056698691E-10</c:v>
                </c:pt>
                <c:pt idx="151">
                  <c:v>9.3132323086183096E-10</c:v>
                </c:pt>
                <c:pt idx="152">
                  <c:v>9.31323096025362E-10</c:v>
                </c:pt>
                <c:pt idx="153">
                  <c:v>9.3132298889323909E-10</c:v>
                </c:pt>
                <c:pt idx="154">
                  <c:v>9.3132290377315308E-10</c:v>
                </c:pt>
                <c:pt idx="155">
                  <c:v>9.3132283614237195E-10</c:v>
                </c:pt>
                <c:pt idx="156">
                  <c:v>9.3132278240743392E-10</c:v>
                </c:pt>
                <c:pt idx="157">
                  <c:v>9.3132273971321198E-10</c:v>
                </c:pt>
                <c:pt idx="158">
                  <c:v>9.3132270579121108E-10</c:v>
                </c:pt>
                <c:pt idx="159">
                  <c:v>9.3132267883903504E-10</c:v>
                </c:pt>
                <c:pt idx="160">
                  <c:v>9.3132265742462104E-10</c:v>
                </c:pt>
                <c:pt idx="161">
                  <c:v>9.3132264041014491E-10</c:v>
                </c:pt>
                <c:pt idx="162">
                  <c:v>9.3132262689156897E-10</c:v>
                </c:pt>
                <c:pt idx="163">
                  <c:v>9.3132261615060307E-10</c:v>
                </c:pt>
                <c:pt idx="164">
                  <c:v>9.3132260761654306E-10</c:v>
                </c:pt>
                <c:pt idx="165">
                  <c:v>9.3132260083594195E-10</c:v>
                </c:pt>
                <c:pt idx="166">
                  <c:v>9.3132259544852703E-10</c:v>
                </c:pt>
                <c:pt idx="167">
                  <c:v>9.313225911680421E-10</c:v>
                </c:pt>
                <c:pt idx="168">
                  <c:v>9.31322587767052E-10</c:v>
                </c:pt>
                <c:pt idx="169">
                  <c:v>9.3132258506485001E-10</c:v>
                </c:pt>
                <c:pt idx="170">
                  <c:v>9.3132258291785992E-10</c:v>
                </c:pt>
                <c:pt idx="171">
                  <c:v>9.3132258121200298E-10</c:v>
                </c:pt>
                <c:pt idx="172">
                  <c:v>9.3132257985664108E-10</c:v>
                </c:pt>
                <c:pt idx="173">
                  <c:v>9.313225787797609E-10</c:v>
                </c:pt>
                <c:pt idx="174">
                  <c:v>9.3132257792414203E-10</c:v>
                </c:pt>
                <c:pt idx="175">
                  <c:v>1.86264515185984E-9</c:v>
                </c:pt>
                <c:pt idx="176">
                  <c:v>1.8626451513196898E-9</c:v>
                </c:pt>
                <c:pt idx="177">
                  <c:v>1.8626451508905299E-9</c:v>
                </c:pt>
                <c:pt idx="178">
                  <c:v>1.8626451505495499E-9</c:v>
                </c:pt>
                <c:pt idx="179">
                  <c:v>1.8626451502786202E-9</c:v>
                </c:pt>
                <c:pt idx="180">
                  <c:v>1.86264515006336E-9</c:v>
                </c:pt>
                <c:pt idx="181">
                  <c:v>1.8626451498923301E-9</c:v>
                </c:pt>
                <c:pt idx="182">
                  <c:v>1.8626451497564401E-9</c:v>
                </c:pt>
                <c:pt idx="183">
                  <c:v>1.8626451496484698E-9</c:v>
                </c:pt>
                <c:pt idx="184">
                  <c:v>1.86264514956269E-9</c:v>
                </c:pt>
                <c:pt idx="185">
                  <c:v>1.8626451494945299E-9</c:v>
                </c:pt>
                <c:pt idx="186">
                  <c:v>1.8626451494403801E-9</c:v>
                </c:pt>
                <c:pt idx="187">
                  <c:v>1.8626451493973502E-9</c:v>
                </c:pt>
                <c:pt idx="188">
                  <c:v>1.8626451493631599E-9</c:v>
                </c:pt>
                <c:pt idx="189">
                  <c:v>1.8626451493359999E-9</c:v>
                </c:pt>
                <c:pt idx="190">
                  <c:v>1.86264514931441E-9</c:v>
                </c:pt>
                <c:pt idx="191">
                  <c:v>1.86264514929727E-9</c:v>
                </c:pt>
                <c:pt idx="192">
                  <c:v>1.8626451492836402E-9</c:v>
                </c:pt>
                <c:pt idx="193">
                  <c:v>1.8626451492728198E-9</c:v>
                </c:pt>
                <c:pt idx="194">
                  <c:v>1.86264514926422E-9</c:v>
                </c:pt>
                <c:pt idx="195">
                  <c:v>1.8626451492573801E-9</c:v>
                </c:pt>
                <c:pt idx="196">
                  <c:v>1.86264514925195E-9</c:v>
                </c:pt>
                <c:pt idx="197">
                  <c:v>1.86264514924764E-9</c:v>
                </c:pt>
                <c:pt idx="198">
                  <c:v>1.8626451492442101E-9</c:v>
                </c:pt>
                <c:pt idx="199">
                  <c:v>1.8626451492414899E-9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184960"/>
        <c:axId val="50443392"/>
      </c:lineChart>
      <c:catAx>
        <c:axId val="5018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443392"/>
        <c:crosses val="autoZero"/>
        <c:auto val="1"/>
        <c:lblAlgn val="ctr"/>
        <c:lblOffset val="100"/>
        <c:noMultiLvlLbl val="0"/>
      </c:catAx>
      <c:valAx>
        <c:axId val="5044339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50184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'Slack Treatment'!$G$1</c:f>
              <c:strCache>
                <c:ptCount val="1"/>
                <c:pt idx="0">
                  <c:v>5.5</c:v>
                </c:pt>
              </c:strCache>
            </c:strRef>
          </c:tx>
          <c:marker>
            <c:symbol val="none"/>
          </c:marker>
          <c:cat>
            <c:numRef>
              <c:f>'Slack Treatment'!$A$2:$A$201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'Slack Treatment'!$G$2:$G$201</c:f>
              <c:numCache>
                <c:formatCode>0.000</c:formatCode>
                <c:ptCount val="200"/>
                <c:pt idx="0">
                  <c:v>0.49879422758854702</c:v>
                </c:pt>
                <c:pt idx="1">
                  <c:v>0.49622099241161399</c:v>
                </c:pt>
                <c:pt idx="2">
                  <c:v>0.49241567507572598</c:v>
                </c:pt>
                <c:pt idx="3">
                  <c:v>0.487584448965105</c:v>
                </c:pt>
                <c:pt idx="4">
                  <c:v>0.48196529274903399</c:v>
                </c:pt>
                <c:pt idx="5">
                  <c:v>0.47578915671282801</c:v>
                </c:pt>
                <c:pt idx="6">
                  <c:v>0.46925387699223697</c:v>
                </c:pt>
                <c:pt idx="7">
                  <c:v>0.46251379280862398</c:v>
                </c:pt>
                <c:pt idx="8">
                  <c:v>0.45568097896905502</c:v>
                </c:pt>
                <c:pt idx="9">
                  <c:v>0.448832255794549</c:v>
                </c:pt>
                <c:pt idx="10">
                  <c:v>0.44201763464971799</c:v>
                </c:pt>
                <c:pt idx="11">
                  <c:v>0.43526793924159701</c:v>
                </c:pt>
                <c:pt idx="12">
                  <c:v>0.428600832666718</c:v>
                </c:pt>
                <c:pt idx="13">
                  <c:v>0.42202524627143001</c:v>
                </c:pt>
                <c:pt idx="14">
                  <c:v>0.41554449288582501</c:v>
                </c:pt>
                <c:pt idx="15">
                  <c:v>0.40915839392630099</c:v>
                </c:pt>
                <c:pt idx="16">
                  <c:v>0.40286470426853499</c:v>
                </c:pt>
                <c:pt idx="17">
                  <c:v>0.39666005160631601</c:v>
                </c:pt>
                <c:pt idx="18">
                  <c:v>0.39054054590486098</c:v>
                </c:pt>
                <c:pt idx="19">
                  <c:v>0.38450216701571199</c:v>
                </c:pt>
                <c:pt idx="20">
                  <c:v>0.378541004146631</c:v>
                </c:pt>
                <c:pt idx="21">
                  <c:v>0.37265339696719701</c:v>
                </c:pt>
                <c:pt idx="22">
                  <c:v>0.36683601183569298</c:v>
                </c:pt>
                <c:pt idx="23">
                  <c:v>0.36108587564259698</c:v>
                </c:pt>
                <c:pt idx="24">
                  <c:v>0.35540038238362198</c:v>
                </c:pt>
                <c:pt idx="25">
                  <c:v>0.34977728261686902</c:v>
                </c:pt>
                <c:pt idx="26">
                  <c:v>0.34421466262103201</c:v>
                </c:pt>
                <c:pt idx="27">
                  <c:v>0.338710917816966</c:v>
                </c:pt>
                <c:pt idx="28">
                  <c:v>0.33326472348595199</c:v>
                </c:pt>
                <c:pt idx="29">
                  <c:v>0.32787500477732501</c:v>
                </c:pt>
                <c:pt idx="30">
                  <c:v>0.32254090728785501</c:v>
                </c:pt>
                <c:pt idx="31">
                  <c:v>0.31726176901011799</c:v>
                </c:pt>
                <c:pt idx="32">
                  <c:v>0.312037094116007</c:v>
                </c:pt>
                <c:pt idx="33">
                  <c:v>0.30686652881680598</c:v>
                </c:pt>
                <c:pt idx="34">
                  <c:v>0.30174983939001898</c:v>
                </c:pt>
                <c:pt idx="35">
                  <c:v>0.296686892363203</c:v>
                </c:pt>
                <c:pt idx="36">
                  <c:v>0.29167763678060199</c:v>
                </c:pt>
                <c:pt idx="37">
                  <c:v>0.28672208843886898</c:v>
                </c:pt>
                <c:pt idx="38">
                  <c:v>0.28182031595572798</c:v>
                </c:pt>
                <c:pt idx="39">
                  <c:v>0.27697242852494203</c:v>
                </c:pt>
                <c:pt idx="40">
                  <c:v>0.27217856520845601</c:v>
                </c:pt>
                <c:pt idx="41">
                  <c:v>0.26743888561943202</c:v>
                </c:pt>
                <c:pt idx="42">
                  <c:v>0.26275356185624699</c:v>
                </c:pt>
                <c:pt idx="43">
                  <c:v>0.25812277155586399</c:v>
                </c:pt>
                <c:pt idx="44">
                  <c:v>0.25354669194458102</c:v>
                </c:pt>
                <c:pt idx="45">
                  <c:v>0.24902549477413799</c:v>
                </c:pt>
                <c:pt idx="46">
                  <c:v>0.24455934204118701</c:v>
                </c:pt>
                <c:pt idx="47">
                  <c:v>0.24014838239792299</c:v>
                </c:pt>
                <c:pt idx="48">
                  <c:v>0.23579274817089199</c:v>
                </c:pt>
                <c:pt idx="49">
                  <c:v>0.231492552913731</c:v>
                </c:pt>
                <c:pt idx="50">
                  <c:v>0.22724788942756999</c:v>
                </c:pt>
                <c:pt idx="51">
                  <c:v>0.22305882819022299</c:v>
                </c:pt>
                <c:pt idx="52">
                  <c:v>0.21892541614195801</c:v>
                </c:pt>
                <c:pt idx="53">
                  <c:v>0.21484767578164901</c:v>
                </c:pt>
                <c:pt idx="54">
                  <c:v>0.210825604532559</c:v>
                </c:pt>
                <c:pt idx="55">
                  <c:v>0.20685917434183099</c:v>
                </c:pt>
                <c:pt idx="56">
                  <c:v>0.20294833148206901</c:v>
                </c:pt>
                <c:pt idx="57">
                  <c:v>0.199092996527204</c:v>
                </c:pt>
                <c:pt idx="58">
                  <c:v>0.19529306447827099</c:v>
                </c:pt>
                <c:pt idx="59">
                  <c:v>0.191548405017643</c:v>
                </c:pt>
                <c:pt idx="60">
                  <c:v>0.18785886287296399</c:v>
                </c:pt>
                <c:pt idx="61">
                  <c:v>0.18422425827428299</c:v>
                </c:pt>
                <c:pt idx="62">
                  <c:v>0.18064438748995701</c:v>
                </c:pt>
                <c:pt idx="63">
                  <c:v>0.177119023428679</c:v>
                </c:pt>
                <c:pt idx="64">
                  <c:v>0.17364791629649501</c:v>
                </c:pt>
                <c:pt idx="65">
                  <c:v>0.17023079429912299</c:v>
                </c:pt>
                <c:pt idx="66">
                  <c:v>0.16686736438100699</c:v>
                </c:pt>
                <c:pt idx="67">
                  <c:v>0.16355731299363299</c:v>
                </c:pt>
                <c:pt idx="68">
                  <c:v>0.160300306886552</c:v>
                </c:pt>
                <c:pt idx="69">
                  <c:v>0.157095993915325</c:v>
                </c:pt>
                <c:pt idx="70">
                  <c:v>0.153944003861338</c:v>
                </c:pt>
                <c:pt idx="71">
                  <c:v>0.150843949259056</c:v>
                </c:pt>
                <c:pt idx="72">
                  <c:v>0.147795426226798</c:v>
                </c:pt>
                <c:pt idx="73">
                  <c:v>0.14479801529763101</c:v>
                </c:pt>
                <c:pt idx="74">
                  <c:v>0.14185128224737201</c:v>
                </c:pt>
                <c:pt idx="75">
                  <c:v>0.13895477891705599</c:v>
                </c:pt>
                <c:pt idx="76">
                  <c:v>0.13610804402759399</c:v>
                </c:pt>
                <c:pt idx="77">
                  <c:v>0.13331060398459099</c:v>
                </c:pt>
                <c:pt idx="78">
                  <c:v>0.130561973671563</c:v>
                </c:pt>
                <c:pt idx="79">
                  <c:v>0.12786165723005799</c:v>
                </c:pt>
                <c:pt idx="80">
                  <c:v>0.125209148825317</c:v>
                </c:pt>
                <c:pt idx="81">
                  <c:v>0.122603933396393</c:v>
                </c:pt>
                <c:pt idx="82">
                  <c:v>0.120045487389688</c:v>
                </c:pt>
                <c:pt idx="83">
                  <c:v>0.117533279475155</c:v>
                </c:pt>
                <c:pt idx="84">
                  <c:v>0.11506677124440599</c:v>
                </c:pt>
                <c:pt idx="85">
                  <c:v>0.11264541789020199</c:v>
                </c:pt>
                <c:pt idx="86">
                  <c:v>0.110268668866824</c:v>
                </c:pt>
                <c:pt idx="87">
                  <c:v>0.10793596853097299</c:v>
                </c:pt>
                <c:pt idx="88">
                  <c:v>0.105646756762921</c:v>
                </c:pt>
                <c:pt idx="89">
                  <c:v>0.103400469567703</c:v>
                </c:pt>
                <c:pt idx="90">
                  <c:v>0.101196539656216</c:v>
                </c:pt>
                <c:pt idx="91">
                  <c:v>9.9034397006195499E-2</c:v>
                </c:pt>
                <c:pt idx="92">
                  <c:v>9.69134694030203E-2</c:v>
                </c:pt>
                <c:pt idx="93">
                  <c:v>9.4833182960434401E-2</c:v>
                </c:pt>
                <c:pt idx="94">
                  <c:v>9.2792962621270902E-2</c:v>
                </c:pt>
                <c:pt idx="95">
                  <c:v>9.0792232638320605E-2</c:v>
                </c:pt>
                <c:pt idx="96">
                  <c:v>8.8830417035541606E-2</c:v>
                </c:pt>
                <c:pt idx="97">
                  <c:v>8.6906940049819498E-2</c:v>
                </c:pt>
                <c:pt idx="98">
                  <c:v>8.5021226553532198E-2</c:v>
                </c:pt>
                <c:pt idx="99">
                  <c:v>8.3172702458220504E-2</c:v>
                </c:pt>
                <c:pt idx="100">
                  <c:v>8.1360795099640199E-2</c:v>
                </c:pt>
                <c:pt idx="101">
                  <c:v>7.9584933604553099E-2</c:v>
                </c:pt>
                <c:pt idx="102">
                  <c:v>7.7844549239602698E-2</c:v>
                </c:pt>
                <c:pt idx="103">
                  <c:v>7.6139075742637993E-2</c:v>
                </c:pt>
                <c:pt idx="104">
                  <c:v>7.44679496368649E-2</c:v>
                </c:pt>
                <c:pt idx="105">
                  <c:v>7.2830610528245701E-2</c:v>
                </c:pt>
                <c:pt idx="106">
                  <c:v>7.12265013865261E-2</c:v>
                </c:pt>
                <c:pt idx="107">
                  <c:v>6.9655068810321505E-2</c:v>
                </c:pt>
                <c:pt idx="108">
                  <c:v>6.8115763276703406E-2</c:v>
                </c:pt>
                <c:pt idx="109">
                  <c:v>6.6608039375678302E-2</c:v>
                </c:pt>
                <c:pt idx="110">
                  <c:v>6.5131356030027607E-2</c:v>
                </c:pt>
                <c:pt idx="111">
                  <c:v>6.36851767009326E-2</c:v>
                </c:pt>
                <c:pt idx="112">
                  <c:v>6.2268969579828998E-2</c:v>
                </c:pt>
                <c:pt idx="113">
                  <c:v>6.08822077669217E-2</c:v>
                </c:pt>
                <c:pt idx="114">
                  <c:v>5.9524369436803601E-2</c:v>
                </c:pt>
                <c:pt idx="115">
                  <c:v>5.8194937991627102E-2</c:v>
                </c:pt>
                <c:pt idx="116">
                  <c:v>5.6893402202230103E-2</c:v>
                </c:pt>
                <c:pt idx="117">
                  <c:v>5.5619256337693497E-2</c:v>
                </c:pt>
                <c:pt idx="118">
                  <c:v>5.4372000283708297E-2</c:v>
                </c:pt>
                <c:pt idx="119">
                  <c:v>5.3151139650210101E-2</c:v>
                </c:pt>
                <c:pt idx="120">
                  <c:v>5.1956185868669798E-2</c:v>
                </c:pt>
                <c:pt idx="121">
                  <c:v>5.0786656279475401E-2</c:v>
                </c:pt>
                <c:pt idx="122">
                  <c:v>4.9642074209778203E-2</c:v>
                </c:pt>
                <c:pt idx="123">
                  <c:v>4.8521969042221003E-2</c:v>
                </c:pt>
                <c:pt idx="124">
                  <c:v>4.7425876274925297E-2</c:v>
                </c:pt>
                <c:pt idx="125">
                  <c:v>4.6353337573119997E-2</c:v>
                </c:pt>
                <c:pt idx="126">
                  <c:v>4.53039008127753E-2</c:v>
                </c:pt>
                <c:pt idx="127">
                  <c:v>4.4277120116614603E-2</c:v>
                </c:pt>
                <c:pt idx="128">
                  <c:v>4.3272555882850602E-2</c:v>
                </c:pt>
                <c:pt idx="129">
                  <c:v>4.2289774806992399E-2</c:v>
                </c:pt>
                <c:pt idx="130">
                  <c:v>4.1328349897058199E-2</c:v>
                </c:pt>
                <c:pt idx="131">
                  <c:v>4.0387860482524497E-2</c:v>
                </c:pt>
                <c:pt idx="132">
                  <c:v>3.94678922173178E-2</c:v>
                </c:pt>
                <c:pt idx="133">
                  <c:v>3.8568037077167897E-2</c:v>
                </c:pt>
                <c:pt idx="134">
                  <c:v>3.7687893351619803E-2</c:v>
                </c:pt>
                <c:pt idx="135">
                  <c:v>3.6827065630984299E-2</c:v>
                </c:pt>
                <c:pt idx="136">
                  <c:v>3.5985164788517203E-2</c:v>
                </c:pt>
                <c:pt idx="137">
                  <c:v>3.51618079580951E-2</c:v>
                </c:pt>
                <c:pt idx="138">
                  <c:v>3.4356618507645702E-2</c:v>
                </c:pt>
                <c:pt idx="139">
                  <c:v>3.3569226008592197E-2</c:v>
                </c:pt>
                <c:pt idx="140">
                  <c:v>3.2799266201545101E-2</c:v>
                </c:pt>
                <c:pt idx="141">
                  <c:v>3.2046380958491598E-2</c:v>
                </c:pt>
                <c:pt idx="142">
                  <c:v>3.1310218241688698E-2</c:v>
                </c:pt>
                <c:pt idx="143">
                  <c:v>3.0590434596367001E-2</c:v>
                </c:pt>
                <c:pt idx="144">
                  <c:v>2.98866849357763E-2</c:v>
                </c:pt>
                <c:pt idx="145">
                  <c:v>2.9198637774212499E-2</c:v>
                </c:pt>
                <c:pt idx="146">
                  <c:v>2.85259649657683E-2</c:v>
                </c:pt>
                <c:pt idx="147">
                  <c:v>2.7868344207362599E-2</c:v>
                </c:pt>
                <c:pt idx="148">
                  <c:v>2.7225458982214599E-2</c:v>
                </c:pt>
                <c:pt idx="149">
                  <c:v>2.6596998501385201E-2</c:v>
                </c:pt>
                <c:pt idx="150">
                  <c:v>2.5982657643555899E-2</c:v>
                </c:pt>
                <c:pt idx="151">
                  <c:v>2.53821368931921E-2</c:v>
                </c:pt>
                <c:pt idx="152">
                  <c:v>2.4795142277240199E-2</c:v>
                </c:pt>
                <c:pt idx="153">
                  <c:v>2.4221385300509199E-2</c:v>
                </c:pt>
                <c:pt idx="154">
                  <c:v>2.36605828798606E-2</c:v>
                </c:pt>
                <c:pt idx="155">
                  <c:v>2.3112457277344602E-2</c:v>
                </c:pt>
                <c:pt idx="156">
                  <c:v>2.25767360324013E-2</c:v>
                </c:pt>
                <c:pt idx="157">
                  <c:v>2.2053151893244E-2</c:v>
                </c:pt>
                <c:pt idx="158">
                  <c:v>2.1541442747539101E-2</c:v>
                </c:pt>
                <c:pt idx="159">
                  <c:v>2.1041351552481501E-2</c:v>
                </c:pt>
                <c:pt idx="160">
                  <c:v>2.0552626264375099E-2</c:v>
                </c:pt>
                <c:pt idx="161">
                  <c:v>2.0075019767804701E-2</c:v>
                </c:pt>
                <c:pt idx="162">
                  <c:v>1.9608289804495301E-2</c:v>
                </c:pt>
                <c:pt idx="163">
                  <c:v>1.9152198901940601E-2</c:v>
                </c:pt>
                <c:pt idx="164">
                  <c:v>1.8706514301881898E-2</c:v>
                </c:pt>
                <c:pt idx="165">
                  <c:v>1.8271007888716599E-2</c:v>
                </c:pt>
                <c:pt idx="166">
                  <c:v>1.7845456117902201E-2</c:v>
                </c:pt>
                <c:pt idx="167">
                  <c:v>1.7429639944427401E-2</c:v>
                </c:pt>
                <c:pt idx="168">
                  <c:v>1.7023344751415401E-2</c:v>
                </c:pt>
                <c:pt idx="169">
                  <c:v>1.6626360278913899E-2</c:v>
                </c:pt>
                <c:pt idx="170">
                  <c:v>1.62384805529305E-2</c:v>
                </c:pt>
                <c:pt idx="171">
                  <c:v>1.5859503814769901E-2</c:v>
                </c:pt>
                <c:pt idx="172">
                  <c:v>1.5489232450713999E-2</c:v>
                </c:pt>
                <c:pt idx="173">
                  <c:v>1.5127472922097601E-2</c:v>
                </c:pt>
                <c:pt idx="174">
                  <c:v>1.47740356958202E-2</c:v>
                </c:pt>
                <c:pt idx="175">
                  <c:v>1.4428735175331799E-2</c:v>
                </c:pt>
                <c:pt idx="176">
                  <c:v>1.40913896321345E-2</c:v>
                </c:pt>
                <c:pt idx="177">
                  <c:v>1.37618211378276E-2</c:v>
                </c:pt>
                <c:pt idx="178">
                  <c:v>1.34398554967351E-2</c:v>
                </c:pt>
                <c:pt idx="179">
                  <c:v>1.3125322179139601E-2</c:v>
                </c:pt>
                <c:pt idx="180">
                  <c:v>1.2818054255149799E-2</c:v>
                </c:pt>
                <c:pt idx="181">
                  <c:v>1.2517888329231E-2</c:v>
                </c:pt>
                <c:pt idx="182">
                  <c:v>1.22246644754152E-2</c:v>
                </c:pt>
                <c:pt idx="183">
                  <c:v>1.1938226173213801E-2</c:v>
                </c:pt>
                <c:pt idx="184">
                  <c:v>1.1658420244253001E-2</c:v>
                </c:pt>
                <c:pt idx="185">
                  <c:v>1.13850967896474E-2</c:v>
                </c:pt>
                <c:pt idx="186">
                  <c:v>1.1118109128123201E-2</c:v>
                </c:pt>
                <c:pt idx="187">
                  <c:v>1.08573137349109E-2</c:v>
                </c:pt>
                <c:pt idx="188">
                  <c:v>1.0602570181415499E-2</c:v>
                </c:pt>
                <c:pt idx="189">
                  <c:v>1.0353741075673301E-2</c:v>
                </c:pt>
                <c:pt idx="190">
                  <c:v>1.0110692003607501E-2</c:v>
                </c:pt>
                <c:pt idx="191">
                  <c:v>9.8732914710867193E-3</c:v>
                </c:pt>
                <c:pt idx="192">
                  <c:v>9.6414108467960998E-3</c:v>
                </c:pt>
                <c:pt idx="193">
                  <c:v>9.4149243059239197E-3</c:v>
                </c:pt>
                <c:pt idx="194">
                  <c:v>9.1937087746654395E-3</c:v>
                </c:pt>
                <c:pt idx="195">
                  <c:v>8.9776438755548305E-3</c:v>
                </c:pt>
                <c:pt idx="196">
                  <c:v>8.7666118736172503E-3</c:v>
                </c:pt>
                <c:pt idx="197">
                  <c:v>8.5604976233472196E-3</c:v>
                </c:pt>
                <c:pt idx="198">
                  <c:v>8.3591885165161493E-3</c:v>
                </c:pt>
                <c:pt idx="199">
                  <c:v>8.1625744307993204E-3</c:v>
                </c:pt>
              </c:numCache>
            </c:numRef>
          </c:val>
          <c:smooth val="0"/>
        </c:ser>
        <c:ser>
          <c:idx val="1"/>
          <c:order val="1"/>
          <c:tx>
            <c:v>6.5</c:v>
          </c:tx>
          <c:marker>
            <c:symbol val="none"/>
          </c:marker>
          <c:cat>
            <c:numRef>
              <c:f>'Slack Treatment'!$A$2:$A$201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'Slack Treatment'!$I$2:$I$201</c:f>
              <c:numCache>
                <c:formatCode>0.000</c:formatCode>
                <c:ptCount val="200"/>
                <c:pt idx="0">
                  <c:v>0.50990573700053499</c:v>
                </c:pt>
                <c:pt idx="1">
                  <c:v>0.51869593258375302</c:v>
                </c:pt>
                <c:pt idx="2">
                  <c:v>0.52651640421354995</c:v>
                </c:pt>
                <c:pt idx="3">
                  <c:v>0.53354364649945696</c:v>
                </c:pt>
                <c:pt idx="4">
                  <c:v>0.53995948069184996</c:v>
                </c:pt>
                <c:pt idx="5">
                  <c:v>0.545929567132311</c:v>
                </c:pt>
                <c:pt idx="6">
                  <c:v>0.55159115960447602</c:v>
                </c:pt>
                <c:pt idx="7">
                  <c:v>0.55705006973108695</c:v>
                </c:pt>
                <c:pt idx="8">
                  <c:v>0.56238360326357395</c:v>
                </c:pt>
                <c:pt idx="9">
                  <c:v>0.56764598006021605</c:v>
                </c:pt>
                <c:pt idx="10">
                  <c:v>0.572873951361071</c:v>
                </c:pt>
                <c:pt idx="11">
                  <c:v>0.57809157568174296</c:v>
                </c:pt>
                <c:pt idx="12">
                  <c:v>0.58331390113899895</c:v>
                </c:pt>
                <c:pt idx="13">
                  <c:v>0.58854966085929294</c:v>
                </c:pt>
                <c:pt idx="14">
                  <c:v>0.59380319488310995</c:v>
                </c:pt>
                <c:pt idx="15">
                  <c:v>0.59907580611685096</c:v>
                </c:pt>
                <c:pt idx="16">
                  <c:v>0.60436671601459502</c:v>
                </c:pt>
                <c:pt idx="17">
                  <c:v>0.60967374106327898</c:v>
                </c:pt>
                <c:pt idx="18">
                  <c:v>0.61499377476026795</c:v>
                </c:pt>
                <c:pt idx="19">
                  <c:v>0.62032313315745902</c:v>
                </c:pt>
                <c:pt idx="20">
                  <c:v>0.62565780359845902</c:v>
                </c:pt>
                <c:pt idx="21">
                  <c:v>0.63099362382789903</c:v>
                </c:pt>
                <c:pt idx="22">
                  <c:v>0.63632641034260595</c:v>
                </c:pt>
                <c:pt idx="23">
                  <c:v>0.64165204930536301</c:v>
                </c:pt>
                <c:pt idx="24">
                  <c:v>0.64696655960323901</c:v>
                </c:pt>
                <c:pt idx="25">
                  <c:v>0.65226613507418496</c:v>
                </c:pt>
                <c:pt idx="26">
                  <c:v>0.65754717113908001</c:v>
                </c:pt>
                <c:pt idx="27">
                  <c:v>0.66280627979972695</c:v>
                </c:pt>
                <c:pt idx="28">
                  <c:v>0.66804029602902304</c:v>
                </c:pt>
                <c:pt idx="29">
                  <c:v>0.67324627788059999</c:v>
                </c:pt>
                <c:pt idx="30">
                  <c:v>0.67842150211226504</c:v>
                </c:pt>
                <c:pt idx="31">
                  <c:v>0.68356345670527796</c:v>
                </c:pt>
                <c:pt idx="32">
                  <c:v>0.68866983133900705</c:v>
                </c:pt>
                <c:pt idx="33">
                  <c:v>0.69373850662691405</c:v>
                </c:pt>
                <c:pt idx="34">
                  <c:v>0.69876754271974695</c:v>
                </c:pt>
                <c:pt idx="35">
                  <c:v>0.70375516772420399</c:v>
                </c:pt>
                <c:pt idx="36">
                  <c:v>0.70869976626146403</c:v>
                </c:pt>
                <c:pt idx="37">
                  <c:v>0.713599868393334</c:v>
                </c:pt>
                <c:pt idx="38">
                  <c:v>0.71845413906882505</c:v>
                </c:pt>
                <c:pt idx="39">
                  <c:v>0.72326136818654296</c:v>
                </c:pt>
                <c:pt idx="40">
                  <c:v>0.728020461324838</c:v>
                </c:pt>
                <c:pt idx="41">
                  <c:v>0.73273043115927905</c:v>
                </c:pt>
                <c:pt idx="42">
                  <c:v>0.73739038956346303</c:v>
                </c:pt>
                <c:pt idx="43">
                  <c:v>0.74199954037250404</c:v>
                </c:pt>
                <c:pt idx="44">
                  <c:v>0.74655717277717704</c:v>
                </c:pt>
                <c:pt idx="45">
                  <c:v>0.75106265530953698</c:v>
                </c:pt>
                <c:pt idx="46">
                  <c:v>0.75551543037668101</c:v>
                </c:pt>
                <c:pt idx="47">
                  <c:v>0.75991500929759803</c:v>
                </c:pt>
                <c:pt idx="48">
                  <c:v>0.764260967798011</c:v>
                </c:pt>
                <c:pt idx="49">
                  <c:v>0.76855294191925405</c:v>
                </c:pt>
                <c:pt idx="50">
                  <c:v>0.77279062429925705</c:v>
                </c:pt>
                <c:pt idx="51">
                  <c:v>0.77697376078625602</c:v>
                </c:pt>
                <c:pt idx="52">
                  <c:v>0.78110214734871297</c:v>
                </c:pt>
                <c:pt idx="53">
                  <c:v>0.78517562724796996</c:v>
                </c:pt>
                <c:pt idx="54">
                  <c:v>0.78919408844318095</c:v>
                </c:pt>
                <c:pt idx="55">
                  <c:v>0.79315746120111397</c:v>
                </c:pt>
                <c:pt idx="56">
                  <c:v>0.79706571588622899</c:v>
                </c:pt>
                <c:pt idx="57">
                  <c:v>0.80091886090921105</c:v>
                </c:pt>
                <c:pt idx="58">
                  <c:v>0.80471694081461997</c:v>
                </c:pt>
                <c:pt idx="59">
                  <c:v>0.80846003449065695</c:v>
                </c:pt>
                <c:pt idx="60">
                  <c:v>0.81214825348618502</c:v>
                </c:pt>
                <c:pt idx="61">
                  <c:v>0.81578174042206497</c:v>
                </c:pt>
                <c:pt idx="62">
                  <c:v>0.81936066748554703</c:v>
                </c:pt>
                <c:pt idx="63">
                  <c:v>0.82288523499808297</c:v>
                </c:pt>
                <c:pt idx="64">
                  <c:v>0.82635567004820398</c:v>
                </c:pt>
                <c:pt idx="65">
                  <c:v>0.82977222518240201</c:v>
                </c:pt>
                <c:pt idx="66">
                  <c:v>0.83313517714791396</c:v>
                </c:pt>
                <c:pt idx="67">
                  <c:v>0.836444825682369</c:v>
                </c:pt>
                <c:pt idx="68">
                  <c:v>0.83970149234590596</c:v>
                </c:pt>
                <c:pt idx="69">
                  <c:v>0.84290551939220104</c:v>
                </c:pt>
                <c:pt idx="70">
                  <c:v>0.84605726867537701</c:v>
                </c:pt>
                <c:pt idx="71">
                  <c:v>0.84915712059026904</c:v>
                </c:pt>
                <c:pt idx="72">
                  <c:v>0.85220547304403105</c:v>
                </c:pt>
                <c:pt idx="73">
                  <c:v>0.85520274045732902</c:v>
                </c:pt>
                <c:pt idx="74">
                  <c:v>0.85814935279378401</c:v>
                </c:pt>
                <c:pt idx="75">
                  <c:v>0.861045754616521</c:v>
                </c:pt>
                <c:pt idx="76">
                  <c:v>0.86389240417091795</c:v>
                </c:pt>
                <c:pt idx="77">
                  <c:v>0.86668977249280998</c:v>
                </c:pt>
                <c:pt idx="78">
                  <c:v>0.86943834254160102</c:v>
                </c:pt>
                <c:pt idx="79">
                  <c:v>0.87213860835774304</c:v>
                </c:pt>
                <c:pt idx="80">
                  <c:v>0.87479107424427005</c:v>
                </c:pt>
                <c:pt idx="81">
                  <c:v>0.87739625397200904</c:v>
                </c:pt>
                <c:pt idx="82">
                  <c:v>0.879954670008254</c:v>
                </c:pt>
                <c:pt idx="83">
                  <c:v>0.882466852768646</c:v>
                </c:pt>
                <c:pt idx="84">
                  <c:v>0.88493333989207201</c:v>
                </c:pt>
                <c:pt idx="85">
                  <c:v>0.88735467553840697</c:v>
                </c:pt>
                <c:pt idx="86">
                  <c:v>0.88973140970889497</c:v>
                </c:pt>
                <c:pt idx="87">
                  <c:v>0.89206409758902006</c:v>
                </c:pt>
                <c:pt idx="88">
                  <c:v>0.894353298913659</c:v>
                </c:pt>
                <c:pt idx="89">
                  <c:v>0.89659957735434903</c:v>
                </c:pt>
                <c:pt idx="90">
                  <c:v>0.898803499928442</c:v>
                </c:pt>
                <c:pt idx="91">
                  <c:v>0.90096563642993399</c:v>
                </c:pt>
                <c:pt idx="92">
                  <c:v>0.90308655888174105</c:v>
                </c:pt>
                <c:pt idx="93">
                  <c:v>0.90516684100915901</c:v>
                </c:pt>
                <c:pt idx="94">
                  <c:v>0.90720705773424104</c:v>
                </c:pt>
                <c:pt idx="95">
                  <c:v>0.90920778469080099</c:v>
                </c:pt>
                <c:pt idx="96">
                  <c:v>0.91116959775973305</c:v>
                </c:pt>
                <c:pt idx="97">
                  <c:v>0.91309307262433004</c:v>
                </c:pt>
                <c:pt idx="98">
                  <c:v>0.91497878434526603</c:v>
                </c:pt>
                <c:pt idx="99">
                  <c:v>0.91682730695485903</c:v>
                </c:pt>
                <c:pt idx="100">
                  <c:v>0.91863921307028495</c:v>
                </c:pt>
                <c:pt idx="101">
                  <c:v>0.92041507352532503</c:v>
                </c:pt>
                <c:pt idx="102">
                  <c:v>0.92215545702026702</c:v>
                </c:pt>
                <c:pt idx="103">
                  <c:v>0.92386092978955303</c:v>
                </c:pt>
                <c:pt idx="104">
                  <c:v>0.92553205528676197</c:v>
                </c:pt>
                <c:pt idx="105">
                  <c:v>0.927169393886485</c:v>
                </c:pt>
                <c:pt idx="106">
                  <c:v>0.92877350260269198</c:v>
                </c:pt>
                <c:pt idx="107">
                  <c:v>0.93034493482312297</c:v>
                </c:pt>
                <c:pt idx="108">
                  <c:v>0.93188424005929404</c:v>
                </c:pt>
                <c:pt idx="109">
                  <c:v>0.93339196371163702</c:v>
                </c:pt>
                <c:pt idx="110">
                  <c:v>0.93486864684937099</c:v>
                </c:pt>
                <c:pt idx="111">
                  <c:v>0.93631482600461802</c:v>
                </c:pt>
                <c:pt idx="112">
                  <c:v>0.937731032980339</c:v>
                </c:pt>
                <c:pt idx="113">
                  <c:v>0.93911779467164502</c:v>
                </c:pt>
                <c:pt idx="114">
                  <c:v>0.94047563290001901</c:v>
                </c:pt>
                <c:pt idx="115">
                  <c:v>0.94180506426003097</c:v>
                </c:pt>
                <c:pt idx="116">
                  <c:v>0.94310659997809898</c:v>
                </c:pt>
                <c:pt idx="117">
                  <c:v>0.94438074578284803</c:v>
                </c:pt>
                <c:pt idx="118">
                  <c:v>0.94562800178667095</c:v>
                </c:pt>
                <c:pt idx="119">
                  <c:v>0.94684886237802801</c:v>
                </c:pt>
                <c:pt idx="120">
                  <c:v>0.94804381612410804</c:v>
                </c:pt>
                <c:pt idx="121">
                  <c:v>0.94921334568340299</c:v>
                </c:pt>
                <c:pt idx="122">
                  <c:v>0.95035792772782401</c:v>
                </c:pt>
                <c:pt idx="123">
                  <c:v>0.95147803287394705</c:v>
                </c:pt>
                <c:pt idx="124">
                  <c:v>0.95257412562299304</c:v>
                </c:pt>
                <c:pt idx="125">
                  <c:v>0.95364666430918898</c:v>
                </c:pt>
                <c:pt idx="126">
                  <c:v>0.95469610105610903</c:v>
                </c:pt>
                <c:pt idx="127">
                  <c:v>0.95572288174064601</c:v>
                </c:pt>
                <c:pt idx="128">
                  <c:v>0.95672744596426595</c:v>
                </c:pt>
                <c:pt idx="129">
                  <c:v>0.95771022703119701</c:v>
                </c:pt>
                <c:pt idx="130">
                  <c:v>0.95867165193319603</c:v>
                </c:pt>
                <c:pt idx="131">
                  <c:v>0.95961214134059802</c:v>
                </c:pt>
                <c:pt idx="132">
                  <c:v>0.960532109599324</c:v>
                </c:pt>
                <c:pt idx="133">
                  <c:v>0.961431964733511</c:v>
                </c:pt>
                <c:pt idx="134">
                  <c:v>0.96231210845350801</c:v>
                </c:pt>
                <c:pt idx="135">
                  <c:v>0.96317293616890898</c:v>
                </c:pt>
                <c:pt idx="136">
                  <c:v>0.96401483700638502</c:v>
                </c:pt>
                <c:pt idx="137">
                  <c:v>0.96483819383199398</c:v>
                </c:pt>
                <c:pt idx="138">
                  <c:v>0.96564338327775301</c:v>
                </c:pt>
                <c:pt idx="139">
                  <c:v>0.96643077577219805</c:v>
                </c:pt>
                <c:pt idx="140">
                  <c:v>0.96720073557467701</c:v>
                </c:pt>
                <c:pt idx="141">
                  <c:v>0.96795362081317404</c:v>
                </c:pt>
                <c:pt idx="142">
                  <c:v>0.96868978352540402</c:v>
                </c:pt>
                <c:pt idx="143">
                  <c:v>0.96940956890737595</c:v>
                </c:pt>
                <c:pt idx="144">
                  <c:v>0.97011331855857497</c:v>
                </c:pt>
                <c:pt idx="145">
                  <c:v>0.97080136571053</c:v>
                </c:pt>
                <c:pt idx="146">
                  <c:v>0.97147403850913205</c:v>
                </c:pt>
                <c:pt idx="147">
                  <c:v>0.97213165925745204</c:v>
                </c:pt>
                <c:pt idx="148">
                  <c:v>0.97277454447226297</c:v>
                </c:pt>
                <c:pt idx="149">
                  <c:v>0.97340300494249399</c:v>
                </c:pt>
                <c:pt idx="150">
                  <c:v>0.97401734578945798</c:v>
                </c:pt>
                <c:pt idx="151">
                  <c:v>0.97461786652868498</c:v>
                </c:pt>
                <c:pt idx="152">
                  <c:v>0.97520486113322602</c:v>
                </c:pt>
                <c:pt idx="153">
                  <c:v>0.97577861809826705</c:v>
                </c:pt>
                <c:pt idx="154">
                  <c:v>0.976339420506946</c:v>
                </c:pt>
                <c:pt idx="155">
                  <c:v>0.97688754609721096</c:v>
                </c:pt>
                <c:pt idx="156">
                  <c:v>0.97742326732962204</c:v>
                </c:pt>
                <c:pt idx="157">
                  <c:v>0.97794685145596505</c:v>
                </c:pt>
                <c:pt idx="158">
                  <c:v>0.97845856058857505</c:v>
                </c:pt>
                <c:pt idx="159">
                  <c:v>0.97895865177025698</c:v>
                </c:pt>
                <c:pt idx="160">
                  <c:v>0.97944737704470997</c:v>
                </c:pt>
                <c:pt idx="161">
                  <c:v>0.97992498352735002</c:v>
                </c:pt>
                <c:pt idx="162">
                  <c:v>0.98039171347645604</c:v>
                </c:pt>
                <c:pt idx="163">
                  <c:v>0.980847804364535</c:v>
                </c:pt>
                <c:pt idx="164">
                  <c:v>0.98129348894985002</c:v>
                </c:pt>
                <c:pt idx="165">
                  <c:v>0.98172899534800795</c:v>
                </c:pt>
                <c:pt idx="166">
                  <c:v>0.98215454710355499</c:v>
                </c:pt>
                <c:pt idx="167">
                  <c:v>0.98257036326150504</c:v>
                </c:pt>
                <c:pt idx="168">
                  <c:v>0.98297665843874105</c:v>
                </c:pt>
                <c:pt idx="169">
                  <c:v>0.983373642895218</c:v>
                </c:pt>
                <c:pt idx="170">
                  <c:v>0.98376152260493499</c:v>
                </c:pt>
                <c:pt idx="171">
                  <c:v>0.98414049932659298</c:v>
                </c:pt>
                <c:pt idx="172">
                  <c:v>0.98451077067391402</c:v>
                </c:pt>
                <c:pt idx="173">
                  <c:v>0.98487253018556997</c:v>
                </c:pt>
                <c:pt idx="174">
                  <c:v>0.98522596739466595</c:v>
                </c:pt>
                <c:pt idx="175">
                  <c:v>0.98557126789775995</c:v>
                </c:pt>
                <c:pt idx="176">
                  <c:v>0.98590861342335501</c:v>
                </c:pt>
                <c:pt idx="177">
                  <c:v>0.98623818189985701</c:v>
                </c:pt>
                <c:pt idx="178">
                  <c:v>0.98656014752294996</c:v>
                </c:pt>
                <c:pt idx="179">
                  <c:v>0.98687468082235896</c:v>
                </c:pt>
                <c:pt idx="180">
                  <c:v>0.98718194872798004</c:v>
                </c:pt>
                <c:pt idx="181">
                  <c:v>0.98748211463535596</c:v>
                </c:pt>
                <c:pt idx="182">
                  <c:v>0.98777533847046195</c:v>
                </c:pt>
                <c:pt idx="183">
                  <c:v>0.98806177675379303</c:v>
                </c:pt>
                <c:pt idx="184">
                  <c:v>0.98834158266372996</c:v>
                </c:pt>
                <c:pt idx="185">
                  <c:v>0.98861490609916702</c:v>
                </c:pt>
                <c:pt idx="186">
                  <c:v>0.98888189374138402</c:v>
                </c:pt>
                <c:pt idx="187">
                  <c:v>0.98914268911515901</c:v>
                </c:pt>
                <c:pt idx="188">
                  <c:v>0.98939743264909397</c:v>
                </c:pt>
                <c:pt idx="189">
                  <c:v>0.98964626173515902</c:v>
                </c:pt>
                <c:pt idx="190">
                  <c:v>0.98988931078744002</c:v>
                </c:pt>
                <c:pt idx="191">
                  <c:v>0.99012671130007601</c:v>
                </c:pt>
                <c:pt idx="192">
                  <c:v>0.99035859190438802</c:v>
                </c:pt>
                <c:pt idx="193">
                  <c:v>0.99058507842519605</c:v>
                </c:pt>
                <c:pt idx="194">
                  <c:v>0.99080629393631203</c:v>
                </c:pt>
                <c:pt idx="195">
                  <c:v>0.99102235881521095</c:v>
                </c:pt>
                <c:pt idx="196">
                  <c:v>0.991233390796872</c:v>
                </c:pt>
                <c:pt idx="197">
                  <c:v>0.991439505026811</c:v>
                </c:pt>
                <c:pt idx="198">
                  <c:v>0.99164081411326299</c:v>
                </c:pt>
                <c:pt idx="199">
                  <c:v>0.99183742817855902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'Slack Treatment'!$F$1</c:f>
              <c:strCache>
                <c:ptCount val="1"/>
                <c:pt idx="0">
                  <c:v>4.5</c:v>
                </c:pt>
              </c:strCache>
            </c:strRef>
          </c:tx>
          <c:marker>
            <c:symbol val="none"/>
          </c:marker>
          <c:val>
            <c:numRef>
              <c:f>'Slack Treatment'!$F$2:$F$201</c:f>
              <c:numCache>
                <c:formatCode>0.000</c:formatCode>
                <c:ptCount val="200"/>
                <c:pt idx="0">
                  <c:v>0.48768390902762898</c:v>
                </c:pt>
                <c:pt idx="1">
                  <c:v>0.47376131364941698</c:v>
                </c:pt>
                <c:pt idx="2">
                  <c:v>0.45838537247556099</c:v>
                </c:pt>
                <c:pt idx="3">
                  <c:v>0.44183422411509699</c:v>
                </c:pt>
                <c:pt idx="4">
                  <c:v>0.424452952718814</c:v>
                </c:pt>
                <c:pt idx="5">
                  <c:v>0.40659103071012398</c:v>
                </c:pt>
                <c:pt idx="6">
                  <c:v>0.38855710242070801</c:v>
                </c:pt>
                <c:pt idx="7">
                  <c:v>0.37059809730771498</c:v>
                </c:pt>
                <c:pt idx="8">
                  <c:v>0.35289761118296997</c:v>
                </c:pt>
                <c:pt idx="9">
                  <c:v>0.33558466962335498</c:v>
                </c:pt>
                <c:pt idx="10">
                  <c:v>0.31874577495902501</c:v>
                </c:pt>
                <c:pt idx="11">
                  <c:v>0.30243629190135501</c:v>
                </c:pt>
                <c:pt idx="12">
                  <c:v>0.28668965541540697</c:v>
                </c:pt>
                <c:pt idx="13">
                  <c:v>0.27152421090407802</c:v>
                </c:pt>
                <c:pt idx="14">
                  <c:v>0.25694803999883398</c:v>
                </c:pt>
                <c:pt idx="15">
                  <c:v>0.242962254180974</c:v>
                </c:pt>
                <c:pt idx="16">
                  <c:v>0.22956319421910601</c:v>
                </c:pt>
                <c:pt idx="17">
                  <c:v>0.21674387883628701</c:v>
                </c:pt>
                <c:pt idx="18">
                  <c:v>0.20449495262303999</c:v>
                </c:pt>
                <c:pt idx="19">
                  <c:v>0.19280530746656899</c:v>
                </c:pt>
                <c:pt idx="20">
                  <c:v>0.18166249551600999</c:v>
                </c:pt>
                <c:pt idx="21">
                  <c:v>0.17105301185927499</c:v>
                </c:pt>
                <c:pt idx="22">
                  <c:v>0.160962497650534</c:v>
                </c:pt>
                <c:pt idx="23">
                  <c:v>0.15137589589092099</c:v>
                </c:pt>
                <c:pt idx="24">
                  <c:v>0.142277579730893</c:v>
                </c:pt>
                <c:pt idx="25">
                  <c:v>0.13365146507874001</c:v>
                </c:pt>
                <c:pt idx="26">
                  <c:v>0.12548111409662799</c:v>
                </c:pt>
                <c:pt idx="27">
                  <c:v>0.117749832898249</c:v>
                </c:pt>
                <c:pt idx="28">
                  <c:v>0.11044076478371399</c:v>
                </c:pt>
                <c:pt idx="29">
                  <c:v>0.103536979216895</c:v>
                </c:pt>
                <c:pt idx="30">
                  <c:v>9.7021556168650699E-2</c:v>
                </c:pt>
                <c:pt idx="31">
                  <c:v>9.0877665213335498E-2</c:v>
                </c:pt>
                <c:pt idx="32">
                  <c:v>8.5088638739545697E-2</c:v>
                </c:pt>
                <c:pt idx="33">
                  <c:v>7.9638038728103197E-2</c:v>
                </c:pt>
                <c:pt idx="34">
                  <c:v>7.4509716701341502E-2</c:v>
                </c:pt>
                <c:pt idx="35">
                  <c:v>6.96878666195756E-2</c:v>
                </c:pt>
                <c:pt idx="36">
                  <c:v>6.5157070669702694E-2</c:v>
                </c:pt>
                <c:pt idx="37">
                  <c:v>6.0902338043635103E-2</c:v>
                </c:pt>
                <c:pt idx="38">
                  <c:v>5.6909136933758202E-2</c:v>
                </c:pt>
                <c:pt idx="39">
                  <c:v>5.3163420076283698E-2</c:v>
                </c:pt>
                <c:pt idx="40">
                  <c:v>4.9651644251418298E-2</c:v>
                </c:pt>
                <c:pt idx="41">
                  <c:v>4.6360784203522701E-2</c:v>
                </c:pt>
                <c:pt idx="42">
                  <c:v>4.3278341477647801E-2</c:v>
                </c:pt>
                <c:pt idx="43">
                  <c:v>4.0392348684128603E-2</c:v>
                </c:pt>
                <c:pt idx="44">
                  <c:v>3.7691369703475801E-2</c:v>
                </c:pt>
                <c:pt idx="45">
                  <c:v>3.5164496332647899E-2</c:v>
                </c:pt>
                <c:pt idx="46">
                  <c:v>3.2801341853709802E-2</c:v>
                </c:pt>
                <c:pt idx="47">
                  <c:v>3.0592031979279899E-2</c:v>
                </c:pt>
                <c:pt idx="48">
                  <c:v>2.8527193598128799E-2</c:v>
                </c:pt>
                <c:pt idx="49">
                  <c:v>2.65979417105618E-2</c:v>
                </c:pt>
                <c:pt idx="50">
                  <c:v>2.47958649081782E-2</c:v>
                </c:pt>
                <c:pt idx="51">
                  <c:v>2.3113009717387702E-2</c:v>
                </c:pt>
                <c:pt idx="52">
                  <c:v>2.15418640915312E-2</c:v>
                </c:pt>
                <c:pt idx="53">
                  <c:v>2.0075340303229099E-2</c:v>
                </c:pt>
                <c:pt idx="54">
                  <c:v>1.8706757457145E-2</c:v>
                </c:pt>
                <c:pt idx="55">
                  <c:v>1.7429823813968799E-2</c:v>
                </c:pt>
                <c:pt idx="56">
                  <c:v>1.62386190893146E-2</c:v>
                </c:pt>
                <c:pt idx="57">
                  <c:v>1.5127576866437901E-2</c:v>
                </c:pt>
                <c:pt idx="58">
                  <c:v>1.40914672392322E-2</c:v>
                </c:pt>
                <c:pt idx="59">
                  <c:v>1.31253797818159E-2</c:v>
                </c:pt>
                <c:pt idx="60">
                  <c:v>1.2224706923056E-2</c:v>
                </c:pt>
                <c:pt idx="61">
                  <c:v>1.1385127788504999E-2</c:v>
                </c:pt>
                <c:pt idx="62">
                  <c:v>1.06025925582868E-2</c:v>
                </c:pt>
                <c:pt idx="63">
                  <c:v>9.8733073773173106E-3</c:v>
                </c:pt>
                <c:pt idx="64">
                  <c:v>9.1937198437444696E-3</c:v>
                </c:pt>
                <c:pt idx="65">
                  <c:v>8.5605050924637792E-3</c:v>
                </c:pt>
                <c:pt idx="66">
                  <c:v>7.9705524828834803E-3</c:v>
                </c:pt>
                <c:pt idx="67">
                  <c:v>7.42095289362676E-3</c:v>
                </c:pt>
                <c:pt idx="68">
                  <c:v>6.9089866214296801E-3</c:v>
                </c:pt>
                <c:pt idx="69">
                  <c:v>6.4321118770103904E-3</c:v>
                </c:pt>
                <c:pt idx="70">
                  <c:v>5.9879538670192601E-3</c:v>
                </c:pt>
                <c:pt idx="71">
                  <c:v>5.5742944482385101E-3</c:v>
                </c:pt>
                <c:pt idx="72">
                  <c:v>5.1890623378793898E-3</c:v>
                </c:pt>
                <c:pt idx="73">
                  <c:v>4.8303238620464404E-3</c:v>
                </c:pt>
                <c:pt idx="74">
                  <c:v>4.4962742231201497E-3</c:v>
                </c:pt>
                <c:pt idx="75">
                  <c:v>4.18522926588695E-3</c:v>
                </c:pt>
                <c:pt idx="76">
                  <c:v>3.8956177216569999E-3</c:v>
                </c:pt>
                <c:pt idx="77">
                  <c:v>3.6259739093017799E-3</c:v>
                </c:pt>
                <c:pt idx="78">
                  <c:v>3.3749308720717099E-3</c:v>
                </c:pt>
                <c:pt idx="79">
                  <c:v>3.1412139291723002E-3</c:v>
                </c:pt>
                <c:pt idx="80">
                  <c:v>2.92363462135791E-3</c:v>
                </c:pt>
                <c:pt idx="81">
                  <c:v>2.72108503020764E-3</c:v>
                </c:pt>
                <c:pt idx="82">
                  <c:v>2.5325324512550599E-3</c:v>
                </c:pt>
                <c:pt idx="83">
                  <c:v>2.35701440173057E-3</c:v>
                </c:pt>
                <c:pt idx="84">
                  <c:v>2.1936339443202799E-3</c:v>
                </c:pt>
                <c:pt idx="85">
                  <c:v>2.0415553090338502E-3</c:v>
                </c:pt>
                <c:pt idx="86">
                  <c:v>1.8999997959914001E-3</c:v>
                </c:pt>
                <c:pt idx="87">
                  <c:v>1.7682419426750401E-3</c:v>
                </c:pt>
                <c:pt idx="88">
                  <c:v>1.6456059399339799E-3</c:v>
                </c:pt>
                <c:pt idx="89">
                  <c:v>1.5314622817742801E-3</c:v>
                </c:pt>
                <c:pt idx="90">
                  <c:v>1.4252246347022E-3</c:v>
                </c:pt>
                <c:pt idx="91">
                  <c:v>1.3263469131138701E-3</c:v>
                </c:pt>
                <c:pt idx="92">
                  <c:v>1.23432054793313E-3</c:v>
                </c:pt>
                <c:pt idx="93">
                  <c:v>1.1486719363886201E-3</c:v>
                </c:pt>
                <c:pt idx="94">
                  <c:v>1.06896006148899E-3</c:v>
                </c:pt>
                <c:pt idx="95">
                  <c:v>9.9477427039861206E-4</c:v>
                </c:pt>
                <c:pt idx="96">
                  <c:v>9.25732201535762E-4</c:v>
                </c:pt>
                <c:pt idx="97">
                  <c:v>8.6147785080793705E-4</c:v>
                </c:pt>
                <c:pt idx="98">
                  <c:v>8.0167976796611997E-4</c:v>
                </c:pt>
                <c:pt idx="99">
                  <c:v>7.4602937460041801E-4</c:v>
                </c:pt>
                <c:pt idx="100">
                  <c:v>6.9423939581407903E-4</c:v>
                </c:pt>
                <c:pt idx="101">
                  <c:v>6.4604239810080503E-4</c:v>
                </c:pt>
                <c:pt idx="102">
                  <c:v>6.0118942641414804E-4</c:v>
                </c:pt>
                <c:pt idx="103">
                  <c:v>5.5944873385563201E-4</c:v>
                </c:pt>
                <c:pt idx="104">
                  <c:v>5.2060459782270402E-4</c:v>
                </c:pt>
                <c:pt idx="105">
                  <c:v>4.8445621684896101E-4</c:v>
                </c:pt>
                <c:pt idx="106">
                  <c:v>4.5081668273787501E-4</c:v>
                </c:pt>
                <c:pt idx="107">
                  <c:v>4.1951202293866201E-4</c:v>
                </c:pt>
                <c:pt idx="108">
                  <c:v>3.9038030844010599E-4</c:v>
                </c:pt>
                <c:pt idx="109">
                  <c:v>3.63270822765433E-4</c:v>
                </c:pt>
                <c:pt idx="110">
                  <c:v>3.3804328794030902E-4</c:v>
                </c:pt>
                <c:pt idx="111">
                  <c:v>3.1456714357719102E-4</c:v>
                </c:pt>
                <c:pt idx="112">
                  <c:v>2.9272087547371599E-4</c:v>
                </c:pt>
                <c:pt idx="113">
                  <c:v>2.7239139036123002E-4</c:v>
                </c:pt>
                <c:pt idx="114">
                  <c:v>2.5347343366334302E-4</c:v>
                </c:pt>
                <c:pt idx="115">
                  <c:v>2.3586904733352299E-4</c:v>
                </c:pt>
                <c:pt idx="116">
                  <c:v>2.1948706503682199E-4</c:v>
                </c:pt>
                <c:pt idx="117">
                  <c:v>2.0424264212426699E-4</c:v>
                </c:pt>
                <c:pt idx="118">
                  <c:v>1.9005681801992301E-4</c:v>
                </c:pt>
                <c:pt idx="119">
                  <c:v>1.7685610880100599E-4</c:v>
                </c:pt>
                <c:pt idx="120">
                  <c:v>1.64572127901359E-4</c:v>
                </c:pt>
                <c:pt idx="121">
                  <c:v>1.53141233008685E-4</c:v>
                </c:pt>
                <c:pt idx="122">
                  <c:v>1.4250419735668899E-4</c:v>
                </c:pt>
                <c:pt idx="123">
                  <c:v>1.3260590373551901E-4</c:v>
                </c:pt>
                <c:pt idx="124">
                  <c:v>1.2339505965790499E-4</c:v>
                </c:pt>
                <c:pt idx="125">
                  <c:v>1.14823932224907E-4</c:v>
                </c:pt>
                <c:pt idx="126">
                  <c:v>1.06848101334454E-4</c:v>
                </c:pt>
                <c:pt idx="127">
                  <c:v>9.9426229968603506E-5</c:v>
                </c:pt>
                <c:pt idx="128">
                  <c:v>9.2519850381854004E-5</c:v>
                </c:pt>
                <c:pt idx="129">
                  <c:v>8.6093165093532694E-5</c:v>
                </c:pt>
                <c:pt idx="130">
                  <c:v>8.0112861662404495E-5</c:v>
                </c:pt>
                <c:pt idx="131">
                  <c:v>7.4547940291785599E-5</c:v>
                </c:pt>
                <c:pt idx="132">
                  <c:v>6.9369553378796704E-5</c:v>
                </c:pt>
                <c:pt idx="133">
                  <c:v>6.4550856182291199E-5</c:v>
                </c:pt>
                <c:pt idx="134">
                  <c:v>6.0066867840753603E-5</c:v>
                </c:pt>
                <c:pt idx="135">
                  <c:v>5.5894342024409903E-5</c:v>
                </c:pt>
                <c:pt idx="136">
                  <c:v>5.2011646555014301E-5</c:v>
                </c:pt>
                <c:pt idx="137">
                  <c:v>4.8398651372779797E-5</c:v>
                </c:pt>
                <c:pt idx="138">
                  <c:v>4.5036624272651999E-5</c:v>
                </c:pt>
                <c:pt idx="139">
                  <c:v>4.1908133872021703E-5</c:v>
                </c:pt>
                <c:pt idx="140">
                  <c:v>3.8996959309061798E-5</c:v>
                </c:pt>
                <c:pt idx="141">
                  <c:v>3.6288006205483598E-5</c:v>
                </c:pt>
                <c:pt idx="142">
                  <c:v>3.3767228459712598E-5</c:v>
                </c:pt>
                <c:pt idx="143">
                  <c:v>3.1422026514386002E-5</c:v>
                </c:pt>
                <c:pt idx="144">
                  <c:v>2.92392951185542E-5</c:v>
                </c:pt>
                <c:pt idx="145">
                  <c:v>2.7208187551745199E-5</c:v>
                </c:pt>
                <c:pt idx="146">
                  <c:v>2.5318171790606399E-5</c:v>
                </c:pt>
                <c:pt idx="147">
                  <c:v>2.3559447308061999E-5</c:v>
                </c:pt>
                <c:pt idx="148">
                  <c:v>2.1922894277561299E-5</c:v>
                </c:pt>
                <c:pt idx="149">
                  <c:v>2.04000263033002E-5</c:v>
                </c:pt>
                <c:pt idx="150">
                  <c:v>1.89829464318339E-5</c:v>
                </c:pt>
                <c:pt idx="151">
                  <c:v>1.76643062174449E-5</c:v>
                </c:pt>
                <c:pt idx="152">
                  <c:v>1.64372676294111E-5</c:v>
                </c:pt>
                <c:pt idx="153">
                  <c:v>1.52954676039808E-5</c:v>
                </c:pt>
                <c:pt idx="154">
                  <c:v>1.42329850575455E-5</c:v>
                </c:pt>
                <c:pt idx="155">
                  <c:v>1.32443101902094E-5</c:v>
                </c:pt>
                <c:pt idx="156">
                  <c:v>1.23243159208052E-5</c:v>
                </c:pt>
                <c:pt idx="157">
                  <c:v>1.14682313054138E-5</c:v>
                </c:pt>
                <c:pt idx="158">
                  <c:v>1.06716168017225E-5</c:v>
                </c:pt>
                <c:pt idx="159">
                  <c:v>9.9303412510883492E-6</c:v>
                </c:pt>
                <c:pt idx="160">
                  <c:v>9.2405604590688908E-6</c:v>
                </c:pt>
                <c:pt idx="161">
                  <c:v>8.5986972634515002E-6</c:v>
                </c:pt>
                <c:pt idx="162">
                  <c:v>8.0014229865156308E-6</c:v>
                </c:pt>
                <c:pt idx="163">
                  <c:v>7.4456401754172299E-6</c:v>
                </c:pt>
                <c:pt idx="164">
                  <c:v>6.9284665412682099E-6</c:v>
                </c:pt>
                <c:pt idx="165">
                  <c:v>6.4472200136731502E-6</c:v>
                </c:pt>
                <c:pt idx="166">
                  <c:v>5.9994048332767898E-6</c:v>
                </c:pt>
                <c:pt idx="167">
                  <c:v>5.5826986102416201E-6</c:v>
                </c:pt>
                <c:pt idx="168">
                  <c:v>5.1949402815828399E-6</c:v>
                </c:pt>
                <c:pt idx="169">
                  <c:v>4.8341189049396797E-6</c:v>
                </c:pt>
                <c:pt idx="170">
                  <c:v>4.4983632306996202E-6</c:v>
                </c:pt>
                <c:pt idx="171">
                  <c:v>4.1859319984212399E-6</c:v>
                </c:pt>
                <c:pt idx="172">
                  <c:v>3.8952049072546796E-6</c:v>
                </c:pt>
                <c:pt idx="173">
                  <c:v>3.6246742135516799E-6</c:v>
                </c:pt>
                <c:pt idx="174">
                  <c:v>3.3729369121062099E-6</c:v>
                </c:pt>
                <c:pt idx="175">
                  <c:v>3.13868746049216E-6</c:v>
                </c:pt>
                <c:pt idx="176">
                  <c:v>2.9207110087775698E-6</c:v>
                </c:pt>
                <c:pt idx="177">
                  <c:v>2.7178770995160501E-6</c:v>
                </c:pt>
                <c:pt idx="178">
                  <c:v>2.52913380535087E-6</c:v>
                </c:pt>
                <c:pt idx="179">
                  <c:v>2.3535022738380799E-6</c:v>
                </c:pt>
                <c:pt idx="180">
                  <c:v>2.19007165120387E-6</c:v>
                </c:pt>
                <c:pt idx="181">
                  <c:v>2.0379943587163399E-6</c:v>
                </c:pt>
                <c:pt idx="182">
                  <c:v>1.89648169717959E-6</c:v>
                </c:pt>
                <c:pt idx="183">
                  <c:v>1.7647997567587399E-6</c:v>
                </c:pt>
                <c:pt idx="184">
                  <c:v>1.64226561092812E-6</c:v>
                </c:pt>
                <c:pt idx="185">
                  <c:v>1.5282437748069399E-6</c:v>
                </c:pt>
                <c:pt idx="186">
                  <c:v>1.4221429095172801E-6</c:v>
                </c:pt>
                <c:pt idx="187">
                  <c:v>1.3234127554764E-6</c:v>
                </c:pt>
                <c:pt idx="188">
                  <c:v>1.23154127871987E-6</c:v>
                </c:pt>
                <c:pt idx="189">
                  <c:v>1.1460520154587501E-6</c:v>
                </c:pt>
                <c:pt idx="190">
                  <c:v>1.0665016010999599E-6</c:v>
                </c:pt>
                <c:pt idx="191">
                  <c:v>9.9247747091742799E-7</c:v>
                </c:pt>
                <c:pt idx="192">
                  <c:v>9.2359572044940399E-7</c:v>
                </c:pt>
                <c:pt idx="193">
                  <c:v>8.59499114527331E-7</c:v>
                </c:pt>
                <c:pt idx="194">
                  <c:v>7.9985523461153596E-7</c:v>
                </c:pt>
                <c:pt idx="195">
                  <c:v>7.4435475482595295E-7</c:v>
                </c:pt>
                <c:pt idx="196">
                  <c:v>6.9270983775221095E-7</c:v>
                </c:pt>
                <c:pt idx="197">
                  <c:v>6.4465264166346703E-7</c:v>
                </c:pt>
                <c:pt idx="198">
                  <c:v>5.9993393145718404E-7</c:v>
                </c:pt>
                <c:pt idx="199">
                  <c:v>5.5832178608307504E-7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'Slack Treatment'!$J$1</c:f>
              <c:strCache>
                <c:ptCount val="1"/>
                <c:pt idx="0">
                  <c:v>7.5</c:v>
                </c:pt>
              </c:strCache>
            </c:strRef>
          </c:tx>
          <c:marker>
            <c:symbol val="none"/>
          </c:marker>
          <c:val>
            <c:numRef>
              <c:f>'Slack Treatment'!$J$2:$J$201</c:f>
              <c:numCache>
                <c:formatCode>0.000</c:formatCode>
                <c:ptCount val="200"/>
                <c:pt idx="0">
                  <c:v>0.52100746703935596</c:v>
                </c:pt>
                <c:pt idx="1">
                  <c:v>0.54109547084055098</c:v>
                </c:pt>
                <c:pt idx="2">
                  <c:v>0.56037154033202197</c:v>
                </c:pt>
                <c:pt idx="3">
                  <c:v>0.57894042913413701</c:v>
                </c:pt>
                <c:pt idx="4">
                  <c:v>0.59689140356520598</c:v>
                </c:pt>
                <c:pt idx="5">
                  <c:v>0.61429310873550402</c:v>
                </c:pt>
                <c:pt idx="6">
                  <c:v>0.63119418159516205</c:v>
                </c:pt>
                <c:pt idx="7">
                  <c:v>0.64762673907308299</c:v>
                </c:pt>
                <c:pt idx="8">
                  <c:v>0.66361045923074702</c:v>
                </c:pt>
                <c:pt idx="9">
                  <c:v>0.67915612246389201</c:v>
                </c:pt>
                <c:pt idx="10">
                  <c:v>0.69426832295608398</c:v>
                </c:pt>
                <c:pt idx="11">
                  <c:v>0.70894745741640597</c:v>
                </c:pt>
                <c:pt idx="12">
                  <c:v>0.72319119119853603</c:v>
                </c:pt>
                <c:pt idx="13">
                  <c:v>0.73699557054875897</c:v>
                </c:pt>
                <c:pt idx="14">
                  <c:v>0.75035589237757006</c:v>
                </c:pt>
                <c:pt idx="15">
                  <c:v>0.76326739640191299</c:v>
                </c:pt>
                <c:pt idx="16">
                  <c:v>0.77572581530641305</c:v>
                </c:pt>
                <c:pt idx="17">
                  <c:v>0.78772780310411905</c:v>
                </c:pt>
                <c:pt idx="18">
                  <c:v>0.79927125501384</c:v>
                </c:pt>
                <c:pt idx="19">
                  <c:v>0.81035552992043203</c:v>
                </c:pt>
                <c:pt idx="20">
                  <c:v>0.820981586302165</c:v>
                </c:pt>
                <c:pt idx="21">
                  <c:v>0.83115204296214995</c:v>
                </c:pt>
                <c:pt idx="22">
                  <c:v>0.84087117627430696</c:v>
                </c:pt>
                <c:pt idx="23">
                  <c:v>0.85014486565825398</c:v>
                </c:pt>
                <c:pt idx="24">
                  <c:v>0.858980498572815</c:v>
                </c:pt>
                <c:pt idx="25">
                  <c:v>0.86738684552023604</c:v>
                </c:pt>
                <c:pt idx="26">
                  <c:v>0.87537391448387203</c:v>
                </c:pt>
                <c:pt idx="27">
                  <c:v>0.88295279299114404</c:v>
                </c:pt>
                <c:pt idx="28">
                  <c:v>0.89013548469956205</c:v>
                </c:pt>
                <c:pt idx="29">
                  <c:v>0.89693474612608404</c:v>
                </c:pt>
                <c:pt idx="30">
                  <c:v>0.90336392793715004</c:v>
                </c:pt>
                <c:pt idx="31">
                  <c:v>0.90943682412638405</c:v>
                </c:pt>
                <c:pt idx="32">
                  <c:v>0.91516753145048302</c:v>
                </c:pt>
                <c:pt idx="33">
                  <c:v>0.92057032067912303</c:v>
                </c:pt>
                <c:pt idx="34">
                  <c:v>0.92565952053988698</c:v>
                </c:pt>
                <c:pt idx="35">
                  <c:v>0.93044941469587905</c:v>
                </c:pt>
                <c:pt idx="36">
                  <c:v>0.93495415166917994</c:v>
                </c:pt>
                <c:pt idx="37">
                  <c:v>0.93918766730306502</c:v>
                </c:pt>
                <c:pt idx="38">
                  <c:v>0.94316361912466695</c:v>
                </c:pt>
                <c:pt idx="39">
                  <c:v>0.94689533181264796</c:v>
                </c:pt>
                <c:pt idx="40">
                  <c:v>0.95039575287770905</c:v>
                </c:pt>
                <c:pt idx="41">
                  <c:v>0.95367741761493396</c:v>
                </c:pt>
                <c:pt idx="42">
                  <c:v>0.95675242237535896</c:v>
                </c:pt>
                <c:pt idx="43">
                  <c:v>0.95963240522037796</c:v>
                </c:pt>
                <c:pt idx="44">
                  <c:v>0.96232853305920896</c:v>
                </c:pt>
                <c:pt idx="45">
                  <c:v>0.96485149442013196</c:v>
                </c:pt>
                <c:pt idx="46">
                  <c:v>0.96721149706572795</c:v>
                </c:pt>
                <c:pt idx="47">
                  <c:v>0.96941826972684297</c:v>
                </c:pt>
                <c:pt idx="48">
                  <c:v>0.97148106729649897</c:v>
                </c:pt>
                <c:pt idx="49">
                  <c:v>0.97340867889110205</c:v>
                </c:pt>
                <c:pt idx="50">
                  <c:v>0.97520943825057405</c:v>
                </c:pt>
                <c:pt idx="51">
                  <c:v>0.97689123601014205</c:v>
                </c:pt>
                <c:pt idx="52">
                  <c:v>0.97846153343376596</c:v>
                </c:pt>
                <c:pt idx="53">
                  <c:v>0.97992737725222301</c:v>
                </c:pt>
                <c:pt idx="54">
                  <c:v>0.98129541529729103</c:v>
                </c:pt>
                <c:pt idx="55">
                  <c:v>0.98257191266746802</c:v>
                </c:pt>
                <c:pt idx="56">
                  <c:v>0.98376276820014597</c:v>
                </c:pt>
                <c:pt idx="57">
                  <c:v>0.98487353106047004</c:v>
                </c:pt>
                <c:pt idx="58">
                  <c:v>0.98590941728830905</c:v>
                </c:pt>
                <c:pt idx="59">
                  <c:v>0.98687532617240203</c:v>
                </c:pt>
                <c:pt idx="60">
                  <c:v>0.98777585634476395</c:v>
                </c:pt>
                <c:pt idx="61">
                  <c:v>0.98861532150952502</c:v>
                </c:pt>
                <c:pt idx="62">
                  <c:v>0.98939776573849203</c:v>
                </c:pt>
                <c:pt idx="63">
                  <c:v>0.99012697828141005</c:v>
                </c:pt>
                <c:pt idx="64">
                  <c:v>0.99080650785230495</c:v>
                </c:pt>
                <c:pt idx="65">
                  <c:v>0.99143967636463504</c:v>
                </c:pt>
                <c:pt idx="66">
                  <c:v>0.99202959209767805</c:v>
                </c:pt>
                <c:pt idx="67">
                  <c:v>0.99257916228458898</c:v>
                </c:pt>
                <c:pt idx="68">
                  <c:v>0.99309110511934495</c:v>
                </c:pt>
                <c:pt idx="69">
                  <c:v>0.9935679611853</c:v>
                </c:pt>
                <c:pt idx="70">
                  <c:v>0.994012104312614</c:v>
                </c:pt>
                <c:pt idx="71">
                  <c:v>0.99442575187546101</c:v>
                </c:pt>
                <c:pt idx="72">
                  <c:v>0.99481097454279399</c:v>
                </c:pt>
                <c:pt idx="73">
                  <c:v>0.99516970549871397</c:v>
                </c:pt>
                <c:pt idx="74">
                  <c:v>0.99550374915012696</c:v>
                </c:pt>
                <c:pt idx="75">
                  <c:v>0.99581478934066203</c:v>
                </c:pt>
                <c:pt idx="76">
                  <c:v>0.99610439709058796</c:v>
                </c:pt>
                <c:pt idx="77">
                  <c:v>0.99637403788302004</c:v>
                </c:pt>
                <c:pt idx="78">
                  <c:v>0.99662507851691096</c:v>
                </c:pt>
                <c:pt idx="79">
                  <c:v>0.99685879354733398</c:v>
                </c:pt>
                <c:pt idx="80">
                  <c:v>0.997076371333388</c:v>
                </c:pt>
                <c:pt idx="81">
                  <c:v>0.99727891971373805</c:v>
                </c:pt>
                <c:pt idx="82">
                  <c:v>0.99746747132933899</c:v>
                </c:pt>
                <c:pt idx="83">
                  <c:v>0.99764298861239997</c:v>
                </c:pt>
                <c:pt idx="84">
                  <c:v>0.99780636845998705</c:v>
                </c:pt>
                <c:pt idx="85">
                  <c:v>0.99795844661005795</c:v>
                </c:pt>
                <c:pt idx="86">
                  <c:v>0.99810000173700297</c:v>
                </c:pt>
                <c:pt idx="87">
                  <c:v>0.99823175928305796</c:v>
                </c:pt>
                <c:pt idx="88">
                  <c:v>0.99835439504123702</c:v>
                </c:pt>
                <c:pt idx="89">
                  <c:v>0.99846853850469897</c:v>
                </c:pt>
                <c:pt idx="90">
                  <c:v>0.99857477599672795</c:v>
                </c:pt>
                <c:pt idx="91">
                  <c:v>0.99867365359480997</c:v>
                </c:pt>
                <c:pt idx="92">
                  <c:v>0.99876567986156395</c:v>
                </c:pt>
                <c:pt idx="93">
                  <c:v>0.99885132839462698</c:v>
                </c:pt>
                <c:pt idx="94">
                  <c:v>0.99893104020690704</c:v>
                </c:pt>
                <c:pt idx="95">
                  <c:v>0.99900522594799601</c:v>
                </c:pt>
                <c:pt idx="96">
                  <c:v>0.99907426797689403</c:v>
                </c:pt>
                <c:pt idx="97">
                  <c:v>0.99913852229564304</c:v>
                </c:pt>
                <c:pt idx="98">
                  <c:v>0.99919832035286205</c:v>
                </c:pt>
                <c:pt idx="99">
                  <c:v>0.99925397072566302</c:v>
                </c:pt>
                <c:pt idx="100">
                  <c:v>0.99930576068791299</c:v>
                </c:pt>
                <c:pt idx="101">
                  <c:v>0.99935395767229995</c:v>
                </c:pt>
                <c:pt idx="102">
                  <c:v>0.999398810633218</c:v>
                </c:pt>
                <c:pt idx="103">
                  <c:v>0.99944055131704801</c:v>
                </c:pt>
                <c:pt idx="104">
                  <c:v>0.99947939544598097</c:v>
                </c:pt>
                <c:pt idx="105">
                  <c:v>0.99951554382115704</c:v>
                </c:pt>
                <c:pt idx="106">
                  <c:v>0.99954918335051102</c:v>
                </c:pt>
                <c:pt idx="107">
                  <c:v>0.99958048800638599</c:v>
                </c:pt>
                <c:pt idx="108">
                  <c:v>0.99960961971762996</c:v>
                </c:pt>
                <c:pt idx="109">
                  <c:v>0.99963672920058799</c:v>
                </c:pt>
                <c:pt idx="110">
                  <c:v>0.99966195673312896</c:v>
                </c:pt>
                <c:pt idx="111">
                  <c:v>0.999685432875559</c:v>
                </c:pt>
                <c:pt idx="112">
                  <c:v>0.99970727914201196</c:v>
                </c:pt>
                <c:pt idx="113">
                  <c:v>0.99972760862570398</c:v>
                </c:pt>
                <c:pt idx="114">
                  <c:v>0.99974652658117102</c:v>
                </c:pt>
                <c:pt idx="115">
                  <c:v>0.99976413096642303</c:v>
                </c:pt>
                <c:pt idx="116">
                  <c:v>0.99978051294777004</c:v>
                </c:pt>
                <c:pt idx="117">
                  <c:v>0.99979575736983795</c:v>
                </c:pt>
                <c:pt idx="118">
                  <c:v>0.99980994319318495</c:v>
                </c:pt>
                <c:pt idx="119">
                  <c:v>0.999823143901722</c:v>
                </c:pt>
                <c:pt idx="120">
                  <c:v>0.99983542788200097</c:v>
                </c:pt>
                <c:pt idx="121">
                  <c:v>0.99984685877632695</c:v>
                </c:pt>
                <c:pt idx="122">
                  <c:v>0.999857495811459</c:v>
                </c:pt>
                <c:pt idx="123">
                  <c:v>0.99986739410459902</c:v>
                </c:pt>
                <c:pt idx="124">
                  <c:v>0.99987660494823005</c:v>
                </c:pt>
                <c:pt idx="125">
                  <c:v>0.99988517607524796</c:v>
                </c:pt>
                <c:pt idx="126">
                  <c:v>0.99989315190575001</c:v>
                </c:pt>
                <c:pt idx="127">
                  <c:v>0.99990057377675301</c:v>
                </c:pt>
                <c:pt idx="128">
                  <c:v>0.99990748015599795</c:v>
                </c:pt>
                <c:pt idx="129">
                  <c:v>0.99991390684096404</c:v>
                </c:pt>
                <c:pt idx="130">
                  <c:v>0.99991988714409197</c:v>
                </c:pt>
                <c:pt idx="131">
                  <c:v>0.99992545206517702</c:v>
                </c:pt>
                <c:pt idx="132">
                  <c:v>0.99993063045181796</c:v>
                </c:pt>
                <c:pt idx="133">
                  <c:v>0.99993544914875798</c:v>
                </c:pt>
                <c:pt idx="134">
                  <c:v>0.99993993313685703</c:v>
                </c:pt>
                <c:pt idx="135">
                  <c:v>0.99994410566244296</c:v>
                </c:pt>
                <c:pt idx="136">
                  <c:v>0.99994798835769305</c:v>
                </c:pt>
                <c:pt idx="137">
                  <c:v>0.99995160135266803</c:v>
                </c:pt>
                <c:pt idx="138">
                  <c:v>0.99995496337957002</c:v>
                </c:pt>
                <c:pt idx="139">
                  <c:v>0.99995809186978302</c:v>
                </c:pt>
                <c:pt idx="140">
                  <c:v>0.99996100304416802</c:v>
                </c:pt>
                <c:pt idx="141">
                  <c:v>0.99996371199710199</c:v>
                </c:pt>
                <c:pt idx="142">
                  <c:v>0.99996623277468599</c:v>
                </c:pt>
                <c:pt idx="143">
                  <c:v>0.99996857797944805</c:v>
                </c:pt>
                <c:pt idx="144">
                  <c:v>0.99997076071055302</c:v>
                </c:pt>
                <c:pt idx="145">
                  <c:v>0.99997279181784304</c:v>
                </c:pt>
                <c:pt idx="146">
                  <c:v>0.99997468183334104</c:v>
                </c:pt>
                <c:pt idx="147">
                  <c:v>0.99997644055757295</c:v>
                </c:pt>
                <c:pt idx="148">
                  <c:v>0.99997807711036502</c:v>
                </c:pt>
                <c:pt idx="149">
                  <c:v>0.99997959997811203</c:v>
                </c:pt>
                <c:pt idx="150">
                  <c:v>0.99998101705776699</c:v>
                </c:pt>
                <c:pt idx="151">
                  <c:v>0.99998233569777595</c:v>
                </c:pt>
                <c:pt idx="152">
                  <c:v>0.99998356273616795</c:v>
                </c:pt>
                <c:pt idx="153">
                  <c:v>0.99998470453600696</c:v>
                </c:pt>
                <c:pt idx="154">
                  <c:v>0.99998576701837605</c:v>
                </c:pt>
                <c:pt idx="155">
                  <c:v>0.99998675569307505</c:v>
                </c:pt>
                <c:pt idx="156">
                  <c:v>0.99998767568718405</c:v>
                </c:pt>
                <c:pt idx="157">
                  <c:v>0.99998853177164604</c:v>
                </c:pt>
                <c:pt idx="158">
                  <c:v>0.99998932838600396</c:v>
                </c:pt>
                <c:pt idx="159">
                  <c:v>0.99999006966141701</c:v>
                </c:pt>
                <c:pt idx="160">
                  <c:v>0.99999075944207705</c:v>
                </c:pt>
                <c:pt idx="161">
                  <c:v>0.99999140130514796</c:v>
                </c:pt>
                <c:pt idx="162">
                  <c:v>0.99999199857930499</c:v>
                </c:pt>
                <c:pt idx="163">
                  <c:v>0.99999255436200296</c:v>
                </c:pt>
                <c:pt idx="164">
                  <c:v>0.99999307153552996</c:v>
                </c:pt>
                <c:pt idx="165">
                  <c:v>0.99999355278195501</c:v>
                </c:pt>
                <c:pt idx="166">
                  <c:v>0.99999400059703802</c:v>
                </c:pt>
                <c:pt idx="167">
                  <c:v>0.99999441730316796</c:v>
                </c:pt>
                <c:pt idx="168">
                  <c:v>0.99999480506140803</c:v>
                </c:pt>
                <c:pt idx="169">
                  <c:v>0.99999516588270099</c:v>
                </c:pt>
                <c:pt idx="170">
                  <c:v>0.99999550163829498</c:v>
                </c:pt>
                <c:pt idx="171">
                  <c:v>0.99999581406945204</c:v>
                </c:pt>
                <c:pt idx="172">
                  <c:v>0.99999610479647105</c:v>
                </c:pt>
                <c:pt idx="173">
                  <c:v>0.99999637532709595</c:v>
                </c:pt>
                <c:pt idx="174">
                  <c:v>0.99999662706433201</c:v>
                </c:pt>
                <c:pt idx="175">
                  <c:v>0.99999686131372201</c:v>
                </c:pt>
                <c:pt idx="176">
                  <c:v>0.99999707929011405</c:v>
                </c:pt>
                <c:pt idx="177">
                  <c:v>0.99999728212396699</c:v>
                </c:pt>
                <c:pt idx="178">
                  <c:v>0.99999747086720803</c:v>
                </c:pt>
                <c:pt idx="179">
                  <c:v>0.99999764649868905</c:v>
                </c:pt>
                <c:pt idx="180">
                  <c:v>0.99999780992926401</c:v>
                </c:pt>
                <c:pt idx="181">
                  <c:v>0.99999796200651003</c:v>
                </c:pt>
                <c:pt idx="182">
                  <c:v>0.99999810351912799</c:v>
                </c:pt>
                <c:pt idx="183">
                  <c:v>0.99999823520102704</c:v>
                </c:pt>
                <c:pt idx="184">
                  <c:v>0.99999835773513401</c:v>
                </c:pt>
                <c:pt idx="185">
                  <c:v>0.99999847175693302</c:v>
                </c:pt>
                <c:pt idx="186">
                  <c:v>0.99999857785776303</c:v>
                </c:pt>
                <c:pt idx="187">
                  <c:v>0.999998676587883</c:v>
                </c:pt>
                <c:pt idx="188">
                  <c:v>0.999998768459328</c:v>
                </c:pt>
                <c:pt idx="189">
                  <c:v>0.99999885394856003</c:v>
                </c:pt>
                <c:pt idx="190">
                  <c:v>0.99999893349894597</c:v>
                </c:pt>
                <c:pt idx="191">
                  <c:v>0.99999900752304904</c:v>
                </c:pt>
                <c:pt idx="192">
                  <c:v>0.99999907640477304</c:v>
                </c:pt>
                <c:pt idx="193">
                  <c:v>0.99999914050135397</c:v>
                </c:pt>
                <c:pt idx="194">
                  <c:v>0.99999920014521004</c:v>
                </c:pt>
                <c:pt idx="195">
                  <c:v>0.99999925564566805</c:v>
                </c:pt>
                <c:pt idx="196">
                  <c:v>0.99999930729056297</c:v>
                </c:pt>
                <c:pt idx="197">
                  <c:v>0.99999935534773898</c:v>
                </c:pt>
                <c:pt idx="198">
                  <c:v>0.99999940006642996</c:v>
                </c:pt>
                <c:pt idx="199">
                  <c:v>0.99999944167855803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436480"/>
        <c:axId val="84438016"/>
      </c:lineChart>
      <c:catAx>
        <c:axId val="8443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4438016"/>
        <c:crosses val="autoZero"/>
        <c:auto val="1"/>
        <c:lblAlgn val="ctr"/>
        <c:lblOffset val="100"/>
        <c:noMultiLvlLbl val="0"/>
      </c:catAx>
      <c:valAx>
        <c:axId val="84438016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84436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'Original Can Correct Errors'!$F$1</c:f>
              <c:strCache>
                <c:ptCount val="1"/>
                <c:pt idx="0">
                  <c:v>4.5</c:v>
                </c:pt>
              </c:strCache>
            </c:strRef>
          </c:tx>
          <c:marker>
            <c:symbol val="none"/>
          </c:marker>
          <c:cat>
            <c:numRef>
              <c:f>'Original Can Correct Errors'!$A$2:$A$201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'Original Can Correct Errors'!$F$2:$F$201</c:f>
              <c:numCache>
                <c:formatCode>0.000</c:formatCode>
                <c:ptCount val="200"/>
                <c:pt idx="0">
                  <c:v>0.49243263126901898</c:v>
                </c:pt>
                <c:pt idx="1">
                  <c:v>0.48216887455894702</c:v>
                </c:pt>
                <c:pt idx="2">
                  <c:v>0.46930178321920202</c:v>
                </c:pt>
                <c:pt idx="3">
                  <c:v>0.45417266489156399</c:v>
                </c:pt>
                <c:pt idx="4">
                  <c:v>0.43729515027437399</c:v>
                </c:pt>
                <c:pt idx="5">
                  <c:v>0.41922883179538301</c:v>
                </c:pt>
                <c:pt idx="6">
                  <c:v>0.40047272371265102</c:v>
                </c:pt>
                <c:pt idx="7">
                  <c:v>0.38141586596736599</c:v>
                </c:pt>
                <c:pt idx="8">
                  <c:v>0.36233665038874302</c:v>
                </c:pt>
                <c:pt idx="9">
                  <c:v>0.34342535361829701</c:v>
                </c:pt>
                <c:pt idx="10">
                  <c:v>0.32481053160242801</c:v>
                </c:pt>
                <c:pt idx="11">
                  <c:v>0.30658074421572701</c:v>
                </c:pt>
                <c:pt idx="12">
                  <c:v>0.28879979349800999</c:v>
                </c:pt>
                <c:pt idx="13">
                  <c:v>0.271516390114864</c:v>
                </c:pt>
                <c:pt idx="14">
                  <c:v>0.25476988185912702</c:v>
                </c:pt>
                <c:pt idx="15">
                  <c:v>0.23859331342756401</c:v>
                </c:pt>
                <c:pt idx="16">
                  <c:v>0.223014911217915</c:v>
                </c:pt>
                <c:pt idx="17">
                  <c:v>0.20805858850546899</c:v>
                </c:pt>
                <c:pt idx="18">
                  <c:v>0.19374399621893801</c:v>
                </c:pt>
                <c:pt idx="19">
                  <c:v>0.180086328396768</c:v>
                </c:pt>
                <c:pt idx="20">
                  <c:v>0.16709611065232099</c:v>
                </c:pt>
                <c:pt idx="21">
                  <c:v>0.15477905007324899</c:v>
                </c:pt>
                <c:pt idx="22">
                  <c:v>0.143135980352499</c:v>
                </c:pt>
                <c:pt idx="23">
                  <c:v>0.132162957409861</c:v>
                </c:pt>
                <c:pt idx="24">
                  <c:v>0.12185148397687</c:v>
                </c:pt>
                <c:pt idx="25">
                  <c:v>0.112188835589102</c:v>
                </c:pt>
                <c:pt idx="26">
                  <c:v>0.103158494451528</c:v>
                </c:pt>
                <c:pt idx="27">
                  <c:v>9.4740641504358E-2</c:v>
                </c:pt>
                <c:pt idx="28">
                  <c:v>8.6912689156390305E-2</c:v>
                </c:pt>
                <c:pt idx="29">
                  <c:v>7.9649828255216604E-2</c:v>
                </c:pt>
                <c:pt idx="30">
                  <c:v>7.2925567616521803E-2</c:v>
                </c:pt>
                <c:pt idx="31">
                  <c:v>6.6712248440593203E-2</c:v>
                </c:pt>
                <c:pt idx="32">
                  <c:v>6.0981520216448599E-2</c:v>
                </c:pt>
                <c:pt idx="33">
                  <c:v>5.5704768872064499E-2</c:v>
                </c:pt>
                <c:pt idx="34">
                  <c:v>5.0853491709353202E-2</c:v>
                </c:pt>
                <c:pt idx="35">
                  <c:v>4.6399616904444899E-2</c:v>
                </c:pt>
                <c:pt idx="36">
                  <c:v>4.2315767983289697E-2</c:v>
                </c:pt>
                <c:pt idx="37">
                  <c:v>3.8575475691768002E-2</c:v>
                </c:pt>
                <c:pt idx="38">
                  <c:v>3.5153341107442601E-2</c:v>
                </c:pt>
                <c:pt idx="39">
                  <c:v>3.20251547553781E-2</c:v>
                </c:pt>
                <c:pt idx="40">
                  <c:v>2.9167977434926901E-2</c:v>
                </c:pt>
                <c:pt idx="41">
                  <c:v>2.65601853333833E-2</c:v>
                </c:pt>
                <c:pt idx="42">
                  <c:v>2.4181491924880699E-2</c:v>
                </c:pt>
                <c:pt idx="43">
                  <c:v>2.2012941765858898E-2</c:v>
                </c:pt>
                <c:pt idx="44">
                  <c:v>2.0036888350798199E-2</c:v>
                </c:pt>
                <c:pt idx="45">
                  <c:v>1.8236957318968499E-2</c:v>
                </c:pt>
                <c:pt idx="46">
                  <c:v>1.65979971041402E-2</c:v>
                </c:pt>
                <c:pt idx="47">
                  <c:v>1.5106025267761201E-2</c:v>
                </c:pt>
                <c:pt idx="48">
                  <c:v>1.3748165997351E-2</c:v>
                </c:pt>
                <c:pt idx="49">
                  <c:v>1.2512586383126301E-2</c:v>
                </c:pt>
                <c:pt idx="50">
                  <c:v>1.13884311679375E-2</c:v>
                </c:pt>
                <c:pt idx="51">
                  <c:v>1.0365756342874E-2</c:v>
                </c:pt>
                <c:pt idx="52">
                  <c:v>9.4354662268125999E-3</c:v>
                </c:pt>
                <c:pt idx="53">
                  <c:v>8.5892499325307698E-3</c:v>
                </c:pt>
                <c:pt idx="54">
                  <c:v>7.8195217843883991E-3</c:v>
                </c:pt>
                <c:pt idx="55">
                  <c:v>7.1193633581781201E-3</c:v>
                </c:pt>
                <c:pt idx="56">
                  <c:v>6.4824706800427996E-3</c:v>
                </c:pt>
                <c:pt idx="57">
                  <c:v>5.9031026017994101E-3</c:v>
                </c:pt>
                <c:pt idx="58">
                  <c:v>5.3760335884193797E-3</c:v>
                </c:pt>
                <c:pt idx="59">
                  <c:v>4.8965097288343803E-3</c:v>
                </c:pt>
                <c:pt idx="60">
                  <c:v>4.4602072316898399E-3</c:v>
                </c:pt>
                <c:pt idx="61">
                  <c:v>4.0631955770469904E-3</c:v>
                </c:pt>
                <c:pt idx="62">
                  <c:v>3.7019020618848401E-3</c:v>
                </c:pt>
                <c:pt idx="63">
                  <c:v>3.3730799883116302E-3</c:v>
                </c:pt>
                <c:pt idx="64">
                  <c:v>3.07377933769296E-3</c:v>
                </c:pt>
                <c:pt idx="65">
                  <c:v>2.8013200392312601E-3</c:v>
                </c:pt>
                <c:pt idx="66">
                  <c:v>2.55326698531719E-3</c:v>
                </c:pt>
                <c:pt idx="67">
                  <c:v>2.3274083479275999E-3</c:v>
                </c:pt>
                <c:pt idx="68">
                  <c:v>2.1217346858855902E-3</c:v>
                </c:pt>
                <c:pt idx="69">
                  <c:v>1.93442048504951E-3</c:v>
                </c:pt>
                <c:pt idx="70">
                  <c:v>1.7638072465248999E-3</c:v>
                </c:pt>
                <c:pt idx="71">
                  <c:v>1.60838810867503E-3</c:v>
                </c:pt>
                <c:pt idx="72">
                  <c:v>1.46679396980239E-3</c:v>
                </c:pt>
                <c:pt idx="73">
                  <c:v>1.3377803953108999E-3</c:v>
                </c:pt>
                <c:pt idx="74">
                  <c:v>1.2202167027154599E-3</c:v>
                </c:pt>
                <c:pt idx="75">
                  <c:v>1.1130750833923001E-3</c:v>
                </c:pt>
                <c:pt idx="76">
                  <c:v>1.01542121565507E-3</c:v>
                </c:pt>
                <c:pt idx="77">
                  <c:v>9.2640565130313701E-4</c:v>
                </c:pt>
                <c:pt idx="78">
                  <c:v>8.4525600179528198E-4</c:v>
                </c:pt>
                <c:pt idx="79">
                  <c:v>7.7126985043400001E-4</c:v>
                </c:pt>
                <c:pt idx="80">
                  <c:v>7.0380832340022597E-4</c:v>
                </c:pt>
                <c:pt idx="81">
                  <c:v>6.4229036712059901E-4</c:v>
                </c:pt>
                <c:pt idx="82">
                  <c:v>5.8618702006225996E-4</c:v>
                </c:pt>
                <c:pt idx="83">
                  <c:v>5.3501727997500904E-4</c:v>
                </c:pt>
                <c:pt idx="84">
                  <c:v>4.8834330301823303E-4</c:v>
                </c:pt>
                <c:pt idx="85">
                  <c:v>4.4576656840486999E-4</c:v>
                </c:pt>
                <c:pt idx="86">
                  <c:v>4.0692429546975697E-4</c:v>
                </c:pt>
                <c:pt idx="87">
                  <c:v>3.7148619230373698E-4</c:v>
                </c:pt>
                <c:pt idx="88">
                  <c:v>3.3915150486751899E-4</c:v>
                </c:pt>
                <c:pt idx="89">
                  <c:v>3.0964633842268702E-4</c:v>
                </c:pt>
                <c:pt idx="90">
                  <c:v>2.8272122577207702E-4</c:v>
                </c:pt>
                <c:pt idx="91">
                  <c:v>2.5814891921030302E-4</c:v>
                </c:pt>
                <c:pt idx="92">
                  <c:v>2.3572238526860099E-4</c:v>
                </c:pt>
                <c:pt idx="93">
                  <c:v>2.1525298331676599E-4</c:v>
                </c:pt>
                <c:pt idx="94">
                  <c:v>1.9656881087658701E-4</c:v>
                </c:pt>
                <c:pt idx="95">
                  <c:v>1.7951320012310899E-4</c:v>
                </c:pt>
                <c:pt idx="96">
                  <c:v>1.6394350240594801E-4</c:v>
                </c:pt>
                <c:pt idx="97">
                  <c:v>1.49729240956403E-4</c:v>
                </c:pt>
                <c:pt idx="98">
                  <c:v>1.3675189260814401E-4</c:v>
                </c:pt>
                <c:pt idx="99">
                  <c:v>1.2490325197350599E-4</c:v>
                </c:pt>
                <c:pt idx="100">
                  <c:v>1.14084650603387E-4</c:v>
                </c:pt>
                <c:pt idx="101">
                  <c:v>1.0420610774223E-4</c:v>
                </c:pt>
                <c:pt idx="102">
                  <c:v>9.5185557736109105E-5</c:v>
                </c:pt>
                <c:pt idx="103">
                  <c:v>8.6948147058397898E-5</c:v>
                </c:pt>
                <c:pt idx="104">
                  <c:v>7.9425594575605404E-5</c:v>
                </c:pt>
                <c:pt idx="105">
                  <c:v>7.2555609271340898E-5</c:v>
                </c:pt>
                <c:pt idx="106">
                  <c:v>6.6281360185081601E-5</c:v>
                </c:pt>
                <c:pt idx="107">
                  <c:v>6.0550993810001701E-5</c:v>
                </c:pt>
                <c:pt idx="108">
                  <c:v>5.5317194635415497E-5</c:v>
                </c:pt>
                <c:pt idx="109">
                  <c:v>5.0536784918916903E-5</c:v>
                </c:pt>
                <c:pt idx="110">
                  <c:v>4.6170360135082698E-5</c:v>
                </c:pt>
                <c:pt idx="111">
                  <c:v>4.2181956875240998E-5</c:v>
                </c:pt>
                <c:pt idx="112">
                  <c:v>3.8538750269657297E-5</c:v>
                </c:pt>
                <c:pt idx="113">
                  <c:v>3.5210778272389199E-5</c:v>
                </c:pt>
                <c:pt idx="114">
                  <c:v>3.2170690392823401E-5</c:v>
                </c:pt>
                <c:pt idx="115">
                  <c:v>2.9393518678843498E-5</c:v>
                </c:pt>
                <c:pt idx="116">
                  <c:v>2.6856468956913001E-5</c:v>
                </c:pt>
                <c:pt idx="117">
                  <c:v>2.45387305160302E-5</c:v>
                </c:pt>
                <c:pt idx="118">
                  <c:v>2.2421302587330301E-5</c:v>
                </c:pt>
                <c:pt idx="119">
                  <c:v>2.0486836120643001E-5</c:v>
                </c:pt>
                <c:pt idx="120">
                  <c:v>1.8719489495019701E-5</c:v>
                </c:pt>
                <c:pt idx="121">
                  <c:v>1.7104796923440901E-5</c:v>
                </c:pt>
                <c:pt idx="122">
                  <c:v>1.56295484237717E-5</c:v>
                </c:pt>
                <c:pt idx="123">
                  <c:v>1.42816803295985E-5</c:v>
                </c:pt>
                <c:pt idx="124">
                  <c:v>1.30501754068644E-5</c:v>
                </c:pt>
                <c:pt idx="125">
                  <c:v>1.19249717260545E-5</c:v>
                </c:pt>
                <c:pt idx="126">
                  <c:v>1.08968795158574E-5</c:v>
                </c:pt>
                <c:pt idx="127">
                  <c:v>9.9577587814567998E-6</c:v>
                </c:pt>
                <c:pt idx="128">
                  <c:v>9.0994355108035902E-6</c:v>
                </c:pt>
                <c:pt idx="129">
                  <c:v>8.3151612615597503E-6</c:v>
                </c:pt>
                <c:pt idx="130">
                  <c:v>7.5985396740572796E-6</c:v>
                </c:pt>
                <c:pt idx="131">
                  <c:v>6.9437279558322099E-6</c:v>
                </c:pt>
                <c:pt idx="132">
                  <c:v>6.34538883722504E-6</c:v>
                </c:pt>
                <c:pt idx="133">
                  <c:v>5.7986467143858003E-6</c:v>
                </c:pt>
                <c:pt idx="134">
                  <c:v>5.2990476124734803E-6</c:v>
                </c:pt>
                <c:pt idx="135">
                  <c:v>4.8425226343231197E-6</c:v>
                </c:pt>
                <c:pt idx="136">
                  <c:v>4.4253545894337803E-6</c:v>
                </c:pt>
                <c:pt idx="137">
                  <c:v>4.0441475250593604E-6</c:v>
                </c:pt>
                <c:pt idx="138">
                  <c:v>3.69579890571848E-6</c:v>
                </c:pt>
                <c:pt idx="139">
                  <c:v>3.3774742097753699E-6</c:v>
                </c:pt>
                <c:pt idx="140">
                  <c:v>3.0865837321023602E-6</c:v>
                </c:pt>
                <c:pt idx="141">
                  <c:v>2.82076140037665E-6</c:v>
                </c:pt>
                <c:pt idx="142">
                  <c:v>2.5778454294631899E-6</c:v>
                </c:pt>
                <c:pt idx="143">
                  <c:v>2.3558606537381499E-6</c:v>
                </c:pt>
                <c:pt idx="144">
                  <c:v>2.1530023912416999E-6</c:v>
                </c:pt>
                <c:pt idx="145">
                  <c:v>1.9676217063489799E-6</c:v>
                </c:pt>
                <c:pt idx="146">
                  <c:v>1.79821194931132E-6</c:v>
                </c:pt>
                <c:pt idx="147">
                  <c:v>1.64339646165893E-6</c:v>
                </c:pt>
                <c:pt idx="148">
                  <c:v>1.5019173461554001E-6</c:v>
                </c:pt>
                <c:pt idx="149">
                  <c:v>1.37262520884017E-6</c:v>
                </c:pt>
                <c:pt idx="150">
                  <c:v>1.2544697887645501E-6</c:v>
                </c:pt>
                <c:pt idx="151">
                  <c:v>1.14649139838456E-6</c:v>
                </c:pt>
                <c:pt idx="152">
                  <c:v>1.0478131042891301E-6</c:v>
                </c:pt>
                <c:pt idx="153">
                  <c:v>9.5763358406545406E-7</c:v>
                </c:pt>
                <c:pt idx="154">
                  <c:v>8.7522060069307304E-7</c:v>
                </c:pt>
                <c:pt idx="155">
                  <c:v>7.9990504095583796E-7</c:v>
                </c:pt>
                <c:pt idx="156">
                  <c:v>7.3107546901472898E-7</c:v>
                </c:pt>
                <c:pt idx="157">
                  <c:v>6.6817315053082001E-7</c:v>
                </c:pt>
                <c:pt idx="158">
                  <c:v>6.1068750660263697E-7</c:v>
                </c:pt>
                <c:pt idx="159">
                  <c:v>5.5815196031956798E-7</c:v>
                </c:pt>
                <c:pt idx="160">
                  <c:v>5.1014014196182404E-7</c:v>
                </c:pt>
                <c:pt idx="161">
                  <c:v>4.6626242182422901E-7</c:v>
                </c:pt>
                <c:pt idx="162">
                  <c:v>4.2616274233190202E-7</c:v>
                </c:pt>
                <c:pt idx="163">
                  <c:v>3.89515723571822E-7</c:v>
                </c:pt>
                <c:pt idx="164">
                  <c:v>3.5602401860707502E-7</c:v>
                </c:pt>
                <c:pt idx="165">
                  <c:v>3.2541589698761998E-7</c:v>
                </c:pt>
                <c:pt idx="166">
                  <c:v>2.9744303674128702E-7</c:v>
                </c:pt>
                <c:pt idx="167">
                  <c:v>2.7187850683521901E-7</c:v>
                </c:pt>
                <c:pt idx="168">
                  <c:v>2.48514923657443E-7</c:v>
                </c:pt>
                <c:pt idx="169">
                  <c:v>2.2716276649094999E-7</c:v>
                </c:pt>
                <c:pt idx="170">
                  <c:v>2.0764883825332501E-7</c:v>
                </c:pt>
                <c:pt idx="171">
                  <c:v>1.8981485896153301E-7</c:v>
                </c:pt>
                <c:pt idx="172">
                  <c:v>1.7351618046627599E-7</c:v>
                </c:pt>
                <c:pt idx="173">
                  <c:v>1.58620611990211E-7</c:v>
                </c:pt>
                <c:pt idx="174">
                  <c:v>1.4500734690895E-7</c:v>
                </c:pt>
                <c:pt idx="175">
                  <c:v>1.3256598204004E-7</c:v>
                </c:pt>
                <c:pt idx="176">
                  <c:v>1.2119562145942601E-7</c:v>
                </c:pt>
                <c:pt idx="177">
                  <c:v>1.1080405755450699E-7</c:v>
                </c:pt>
                <c:pt idx="178">
                  <c:v>1.01307022652268E-7</c:v>
                </c:pt>
                <c:pt idx="179">
                  <c:v>9.2627505136349598E-8</c:v>
                </c:pt>
                <c:pt idx="180">
                  <c:v>8.4695124492183097E-8</c:v>
                </c:pt>
                <c:pt idx="181">
                  <c:v>7.7445560199389606E-8</c:v>
                </c:pt>
                <c:pt idx="182">
                  <c:v>7.0820029829117202E-8</c:v>
                </c:pt>
                <c:pt idx="183">
                  <c:v>6.4764812104573104E-8</c:v>
                </c:pt>
                <c:pt idx="184">
                  <c:v>5.9230811048981399E-8</c:v>
                </c:pt>
                <c:pt idx="185">
                  <c:v>5.41731576795932E-8</c:v>
                </c:pt>
                <c:pt idx="186">
                  <c:v>4.9550846011801203E-8</c:v>
                </c:pt>
                <c:pt idx="187">
                  <c:v>4.5326400416537703E-8</c:v>
                </c:pt>
                <c:pt idx="188">
                  <c:v>4.1465571629147202E-8</c:v>
                </c:pt>
                <c:pt idx="189">
                  <c:v>3.79370589408636E-8</c:v>
                </c:pt>
                <c:pt idx="190">
                  <c:v>3.4712256316920999E-8</c:v>
                </c:pt>
                <c:pt idx="191">
                  <c:v>3.1765020379831901E-8</c:v>
                </c:pt>
                <c:pt idx="192">
                  <c:v>2.9071458374062399E-8</c:v>
                </c:pt>
                <c:pt idx="193">
                  <c:v>2.6609734390721399E-8</c:v>
                </c:pt>
                <c:pt idx="194">
                  <c:v>2.4359892279263401E-8</c:v>
                </c:pt>
                <c:pt idx="195">
                  <c:v>2.2303693808759202E-8</c:v>
                </c:pt>
                <c:pt idx="196">
                  <c:v>2.04244707651791E-8</c:v>
                </c:pt>
                <c:pt idx="197">
                  <c:v>1.8706989784339301E-8</c:v>
                </c:pt>
                <c:pt idx="198">
                  <c:v>1.7137328823567499E-8</c:v>
                </c:pt>
                <c:pt idx="199">
                  <c:v>1.5702764269691799E-8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'Original Can Correct Errors'!$G$1</c:f>
              <c:strCache>
                <c:ptCount val="1"/>
                <c:pt idx="0">
                  <c:v>5.5</c:v>
                </c:pt>
              </c:strCache>
            </c:strRef>
          </c:tx>
          <c:marker>
            <c:symbol val="none"/>
          </c:marker>
          <c:cat>
            <c:numRef>
              <c:f>'Original Can Correct Errors'!$A$2:$A$201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'Original Can Correct Errors'!$G$2:$G$201</c:f>
              <c:numCache>
                <c:formatCode>0.000</c:formatCode>
                <c:ptCount val="200"/>
                <c:pt idx="0">
                  <c:v>0.50534765070800203</c:v>
                </c:pt>
                <c:pt idx="1">
                  <c:v>0.50888321037248396</c:v>
                </c:pt>
                <c:pt idx="2">
                  <c:v>0.51069457007121799</c:v>
                </c:pt>
                <c:pt idx="3">
                  <c:v>0.51099318640978397</c:v>
                </c:pt>
                <c:pt idx="4">
                  <c:v>0.51006455514718496</c:v>
                </c:pt>
                <c:pt idx="5">
                  <c:v>0.50819806080724805</c:v>
                </c:pt>
                <c:pt idx="6">
                  <c:v>0.50563380927788604</c:v>
                </c:pt>
                <c:pt idx="7">
                  <c:v>0.502542834348088</c:v>
                </c:pt>
                <c:pt idx="8">
                  <c:v>0.49903280772859998</c:v>
                </c:pt>
                <c:pt idx="9">
                  <c:v>0.49516428110367899</c:v>
                </c:pt>
                <c:pt idx="10">
                  <c:v>0.49096725204863101</c:v>
                </c:pt>
                <c:pt idx="11">
                  <c:v>0.486454100380312</c:v>
                </c:pt>
                <c:pt idx="12">
                  <c:v>0.48162844187102699</c:v>
                </c:pt>
                <c:pt idx="13">
                  <c:v>0.47649068771557801</c:v>
                </c:pt>
                <c:pt idx="14">
                  <c:v>0.47104138047399502</c:v>
                </c:pt>
                <c:pt idx="15">
                  <c:v>0.46528300504320702</c:v>
                </c:pt>
                <c:pt idx="16">
                  <c:v>0.45922092510655999</c:v>
                </c:pt>
                <c:pt idx="17">
                  <c:v>0.45286370423911898</c:v>
                </c:pt>
                <c:pt idx="18">
                  <c:v>0.44622313454387602</c:v>
                </c:pt>
                <c:pt idx="19">
                  <c:v>0.439314017603678</c:v>
                </c:pt>
                <c:pt idx="20">
                  <c:v>0.43215385585703198</c:v>
                </c:pt>
                <c:pt idx="21">
                  <c:v>0.42476248141360201</c:v>
                </c:pt>
                <c:pt idx="22">
                  <c:v>0.41716162187261902</c:v>
                </c:pt>
                <c:pt idx="23">
                  <c:v>0.40937448358795198</c:v>
                </c:pt>
                <c:pt idx="24">
                  <c:v>0.40142533902170602</c:v>
                </c:pt>
                <c:pt idx="25">
                  <c:v>0.39333910018149099</c:v>
                </c:pt>
                <c:pt idx="26">
                  <c:v>0.38514094511736802</c:v>
                </c:pt>
                <c:pt idx="27">
                  <c:v>0.37685595847389802</c:v>
                </c:pt>
                <c:pt idx="28">
                  <c:v>0.36850880884953202</c:v>
                </c:pt>
                <c:pt idx="29">
                  <c:v>0.36012346367061598</c:v>
                </c:pt>
                <c:pt idx="30">
                  <c:v>0.35172294391991399</c:v>
                </c:pt>
                <c:pt idx="31">
                  <c:v>0.34332911982685699</c:v>
                </c:pt>
                <c:pt idx="32">
                  <c:v>0.33496254745977699</c:v>
                </c:pt>
                <c:pt idx="33">
                  <c:v>0.326642345095702</c:v>
                </c:pt>
                <c:pt idx="34">
                  <c:v>0.31838610731668998</c:v>
                </c:pt>
                <c:pt idx="35">
                  <c:v>0.31020985402111301</c:v>
                </c:pt>
                <c:pt idx="36">
                  <c:v>0.30212801096059799</c:v>
                </c:pt>
                <c:pt idx="37">
                  <c:v>0.29415341802276501</c:v>
                </c:pt>
                <c:pt idx="38">
                  <c:v>0.28629736126979699</c:v>
                </c:pt>
                <c:pt idx="39">
                  <c:v>0.27856962469702701</c:v>
                </c:pt>
                <c:pt idx="40">
                  <c:v>0.27097856064682102</c:v>
                </c:pt>
                <c:pt idx="41">
                  <c:v>0.263531157642374</c:v>
                </c:pt>
                <c:pt idx="42">
                  <c:v>0.25623314662168201</c:v>
                </c:pt>
                <c:pt idx="43">
                  <c:v>0.249089082409687</c:v>
                </c:pt>
                <c:pt idx="44">
                  <c:v>0.24210244346703999</c:v>
                </c:pt>
                <c:pt idx="45">
                  <c:v>0.235275731916508</c:v>
                </c:pt>
                <c:pt idx="46">
                  <c:v>0.22861055778800399</c:v>
                </c:pt>
                <c:pt idx="47">
                  <c:v>0.22210775001927599</c:v>
                </c:pt>
                <c:pt idx="48">
                  <c:v>0.215767433256108</c:v>
                </c:pt>
                <c:pt idx="49">
                  <c:v>0.20958911526833701</c:v>
                </c:pt>
                <c:pt idx="50">
                  <c:v>0.20357176845326599</c:v>
                </c:pt>
                <c:pt idx="51">
                  <c:v>0.1977138919793</c:v>
                </c:pt>
                <c:pt idx="52">
                  <c:v>0.19201359582114599</c:v>
                </c:pt>
                <c:pt idx="53">
                  <c:v>0.18646865039306099</c:v>
                </c:pt>
                <c:pt idx="54">
                  <c:v>0.18107654777476001</c:v>
                </c:pt>
                <c:pt idx="55">
                  <c:v>0.17583453993708301</c:v>
                </c:pt>
                <c:pt idx="56">
                  <c:v>0.17073970111449099</c:v>
                </c:pt>
                <c:pt idx="57">
                  <c:v>0.16578895501297</c:v>
                </c:pt>
                <c:pt idx="58">
                  <c:v>0.16097911281381599</c:v>
                </c:pt>
                <c:pt idx="59">
                  <c:v>0.15630690648640799</c:v>
                </c:pt>
                <c:pt idx="60">
                  <c:v>0.15176900407452101</c:v>
                </c:pt>
                <c:pt idx="61">
                  <c:v>0.14736205023447399</c:v>
                </c:pt>
                <c:pt idx="62">
                  <c:v>0.14308267410893499</c:v>
                </c:pt>
                <c:pt idx="63">
                  <c:v>0.138927509382471</c:v>
                </c:pt>
                <c:pt idx="64">
                  <c:v>0.13489320867941301</c:v>
                </c:pt>
                <c:pt idx="65">
                  <c:v>0.13097645830228399</c:v>
                </c:pt>
                <c:pt idx="66">
                  <c:v>0.127173977590325</c:v>
                </c:pt>
                <c:pt idx="67">
                  <c:v>0.12348254373076099</c:v>
                </c:pt>
                <c:pt idx="68">
                  <c:v>0.119898987254066</c:v>
                </c:pt>
                <c:pt idx="69">
                  <c:v>0.11642020033757899</c:v>
                </c:pt>
                <c:pt idx="70">
                  <c:v>0.113043141039454</c:v>
                </c:pt>
                <c:pt idx="71">
                  <c:v>0.109764836515735</c:v>
                </c:pt>
                <c:pt idx="72">
                  <c:v>0.10658238792897901</c:v>
                </c:pt>
                <c:pt idx="73">
                  <c:v>0.10349296158516599</c:v>
                </c:pt>
                <c:pt idx="74">
                  <c:v>0.10049380588135</c:v>
                </c:pt>
                <c:pt idx="75">
                  <c:v>9.7582240841063497E-2</c:v>
                </c:pt>
                <c:pt idx="76">
                  <c:v>9.4755660855326898E-2</c:v>
                </c:pt>
                <c:pt idx="77">
                  <c:v>9.2011534264672803E-2</c:v>
                </c:pt>
                <c:pt idx="78">
                  <c:v>8.9347402626702196E-2</c:v>
                </c:pt>
                <c:pt idx="79">
                  <c:v>8.6760879725756995E-2</c:v>
                </c:pt>
                <c:pt idx="80">
                  <c:v>8.4249650373503904E-2</c:v>
                </c:pt>
                <c:pt idx="81">
                  <c:v>8.1811471624558194E-2</c:v>
                </c:pt>
                <c:pt idx="82">
                  <c:v>7.9444160810041201E-2</c:v>
                </c:pt>
                <c:pt idx="83">
                  <c:v>7.71456098692931E-2</c:v>
                </c:pt>
                <c:pt idx="84">
                  <c:v>7.4913772901730999E-2</c:v>
                </c:pt>
                <c:pt idx="85">
                  <c:v>7.2746667182693195E-2</c:v>
                </c:pt>
                <c:pt idx="86">
                  <c:v>7.06423714102795E-2</c:v>
                </c:pt>
                <c:pt idx="87">
                  <c:v>6.8599023936097306E-2</c:v>
                </c:pt>
                <c:pt idx="88">
                  <c:v>6.6614820993203705E-2</c:v>
                </c:pt>
                <c:pt idx="89">
                  <c:v>6.4688014932258106E-2</c:v>
                </c:pt>
                <c:pt idx="90">
                  <c:v>6.2816912474960199E-2</c:v>
                </c:pt>
                <c:pt idx="91">
                  <c:v>6.0999872992144398E-2</c:v>
                </c:pt>
                <c:pt idx="92">
                  <c:v>5.9235306812470301E-2</c:v>
                </c:pt>
                <c:pt idx="93">
                  <c:v>5.75216735664099E-2</c:v>
                </c:pt>
                <c:pt idx="94">
                  <c:v>5.5857480569163398E-2</c:v>
                </c:pt>
                <c:pt idx="95">
                  <c:v>5.42412812452586E-2</c:v>
                </c:pt>
                <c:pt idx="96">
                  <c:v>5.2671676130948503E-2</c:v>
                </c:pt>
                <c:pt idx="97">
                  <c:v>5.11473011700865E-2</c:v>
                </c:pt>
                <c:pt idx="98">
                  <c:v>4.9666841725684703E-2</c:v>
                </c:pt>
                <c:pt idx="99">
                  <c:v>4.82290207954401E-2</c:v>
                </c:pt>
                <c:pt idx="100">
                  <c:v>4.6832600283692898E-2</c:v>
                </c:pt>
                <c:pt idx="101">
                  <c:v>4.5476379698641198E-2</c:v>
                </c:pt>
                <c:pt idx="102">
                  <c:v>4.4159194894828301E-2</c:v>
                </c:pt>
                <c:pt idx="103">
                  <c:v>4.2879916860105498E-2</c:v>
                </c:pt>
                <c:pt idx="104">
                  <c:v>4.1637450546132403E-2</c:v>
                </c:pt>
                <c:pt idx="105">
                  <c:v>4.0430733741371502E-2</c:v>
                </c:pt>
                <c:pt idx="106">
                  <c:v>3.92587359853988E-2</c:v>
                </c:pt>
                <c:pt idx="107">
                  <c:v>3.8120457523324103E-2</c:v>
                </c:pt>
                <c:pt idx="108">
                  <c:v>3.7014928299041398E-2</c:v>
                </c:pt>
                <c:pt idx="109">
                  <c:v>3.5941206985995601E-2</c:v>
                </c:pt>
                <c:pt idx="110">
                  <c:v>3.4898380054159198E-2</c:v>
                </c:pt>
                <c:pt idx="111">
                  <c:v>3.3885560871892803E-2</c:v>
                </c:pt>
                <c:pt idx="112">
                  <c:v>3.2901888841366099E-2</c:v>
                </c:pt>
                <c:pt idx="113">
                  <c:v>3.1946528566251797E-2</c:v>
                </c:pt>
                <c:pt idx="114">
                  <c:v>3.1018669050401099E-2</c:v>
                </c:pt>
                <c:pt idx="115">
                  <c:v>3.0117522926265999E-2</c:v>
                </c:pt>
                <c:pt idx="116">
                  <c:v>2.92423257118356E-2</c:v>
                </c:pt>
                <c:pt idx="117">
                  <c:v>2.8392335094916999E-2</c:v>
                </c:pt>
                <c:pt idx="118">
                  <c:v>2.75668302436008E-2</c:v>
                </c:pt>
                <c:pt idx="119">
                  <c:v>2.6765111141823301E-2</c:v>
                </c:pt>
                <c:pt idx="120">
                  <c:v>2.5986497948937901E-2</c:v>
                </c:pt>
                <c:pt idx="121">
                  <c:v>2.52303303822944E-2</c:v>
                </c:pt>
                <c:pt idx="122">
                  <c:v>2.4495967121816401E-2</c:v>
                </c:pt>
                <c:pt idx="123">
                  <c:v>2.3782785235658299E-2</c:v>
                </c:pt>
                <c:pt idx="124">
                  <c:v>2.30901796260208E-2</c:v>
                </c:pt>
                <c:pt idx="125">
                  <c:v>2.2417562494269499E-2</c:v>
                </c:pt>
                <c:pt idx="126">
                  <c:v>2.1764362824533499E-2</c:v>
                </c:pt>
                <c:pt idx="127">
                  <c:v>2.11300284190299E-2</c:v>
                </c:pt>
                <c:pt idx="128">
                  <c:v>2.0514015244274101E-2</c:v>
                </c:pt>
                <c:pt idx="129">
                  <c:v>1.9915802278439601E-2</c:v>
                </c:pt>
                <c:pt idx="130">
                  <c:v>1.9334880815373601E-2</c:v>
                </c:pt>
                <c:pt idx="131">
                  <c:v>1.8770756600547899E-2</c:v>
                </c:pt>
                <c:pt idx="132">
                  <c:v>1.8222949410231198E-2</c:v>
                </c:pt>
                <c:pt idx="133">
                  <c:v>1.7690992644360099E-2</c:v>
                </c:pt>
                <c:pt idx="134">
                  <c:v>1.71744329325457E-2</c:v>
                </c:pt>
                <c:pt idx="135">
                  <c:v>1.6672829752687E-2</c:v>
                </c:pt>
                <c:pt idx="136">
                  <c:v>1.61857550616917E-2</c:v>
                </c:pt>
                <c:pt idx="137">
                  <c:v>1.57127929378191E-2</c:v>
                </c:pt>
                <c:pt idx="138">
                  <c:v>1.5253539234195101E-2</c:v>
                </c:pt>
                <c:pt idx="139">
                  <c:v>1.48076012430674E-2</c:v>
                </c:pt>
                <c:pt idx="140">
                  <c:v>1.4374597370385E-2</c:v>
                </c:pt>
                <c:pt idx="141">
                  <c:v>1.39541568203158E-2</c:v>
                </c:pt>
                <c:pt idx="142">
                  <c:v>1.35459192893304E-2</c:v>
                </c:pt>
                <c:pt idx="143">
                  <c:v>1.31495346694955E-2</c:v>
                </c:pt>
                <c:pt idx="144">
                  <c:v>1.2764662760644399E-2</c:v>
                </c:pt>
                <c:pt idx="145">
                  <c:v>1.2390972991101101E-2</c:v>
                </c:pt>
                <c:pt idx="146">
                  <c:v>1.2028144146655999E-2</c:v>
                </c:pt>
                <c:pt idx="147">
                  <c:v>1.16758641075012E-2</c:v>
                </c:pt>
                <c:pt idx="148">
                  <c:v>1.13338295928489E-2</c:v>
                </c:pt>
                <c:pt idx="149">
                  <c:v>1.10017459129686E-2</c:v>
                </c:pt>
                <c:pt idx="150">
                  <c:v>1.06793267283941E-2</c:v>
                </c:pt>
                <c:pt idx="151">
                  <c:v>1.0366293816055E-2</c:v>
                </c:pt>
                <c:pt idx="152">
                  <c:v>1.00623768421078E-2</c:v>
                </c:pt>
                <c:pt idx="153">
                  <c:v>9.7673131412466894E-3</c:v>
                </c:pt>
                <c:pt idx="154">
                  <c:v>9.4808475022801503E-3</c:v>
                </c:pt>
                <c:pt idx="155">
                  <c:v>9.2027319597787604E-3</c:v>
                </c:pt>
                <c:pt idx="156">
                  <c:v>8.9327255915970794E-3</c:v>
                </c:pt>
                <c:pt idx="157">
                  <c:v>8.6705943220897006E-3</c:v>
                </c:pt>
                <c:pt idx="158">
                  <c:v>8.4161107308411906E-3</c:v>
                </c:pt>
                <c:pt idx="159">
                  <c:v>8.1690538667439205E-3</c:v>
                </c:pt>
                <c:pt idx="160">
                  <c:v>7.9292090672592203E-3</c:v>
                </c:pt>
                <c:pt idx="161">
                  <c:v>7.6963677827064101E-3</c:v>
                </c:pt>
                <c:pt idx="162">
                  <c:v>7.47032740543051E-3</c:v>
                </c:pt>
                <c:pt idx="163">
                  <c:v>7.2508911037029201E-3</c:v>
                </c:pt>
                <c:pt idx="164">
                  <c:v>7.0378676602175097E-3</c:v>
                </c:pt>
                <c:pt idx="165">
                  <c:v>6.8310713150480998E-3</c:v>
                </c:pt>
                <c:pt idx="166">
                  <c:v>6.6303216129365503E-3</c:v>
                </c:pt>
                <c:pt idx="167">
                  <c:v>6.4354432547911698E-3</c:v>
                </c:pt>
                <c:pt idx="168">
                  <c:v>6.2462659532712796E-3</c:v>
                </c:pt>
                <c:pt idx="169">
                  <c:v>6.0626242923452599E-3</c:v>
                </c:pt>
                <c:pt idx="170">
                  <c:v>5.88435759070839E-3</c:v>
                </c:pt>
                <c:pt idx="171">
                  <c:v>5.71130976895271E-3</c:v>
                </c:pt>
                <c:pt idx="172">
                  <c:v>5.5433292203865697E-3</c:v>
                </c:pt>
                <c:pt idx="173">
                  <c:v>5.3802686853977001E-3</c:v>
                </c:pt>
                <c:pt idx="174">
                  <c:v>5.2219851292683497E-3</c:v>
                </c:pt>
                <c:pt idx="175">
                  <c:v>5.0683396233428E-3</c:v>
                </c:pt>
                <c:pt idx="176">
                  <c:v>4.9191972294561704E-3</c:v>
                </c:pt>
                <c:pt idx="177">
                  <c:v>4.7744268875383102E-3</c:v>
                </c:pt>
                <c:pt idx="178">
                  <c:v>4.6339013063026301E-3</c:v>
                </c:pt>
                <c:pt idx="179">
                  <c:v>4.4974968569385203E-3</c:v>
                </c:pt>
                <c:pt idx="180">
                  <c:v>4.3650934697252904E-3</c:v>
                </c:pt>
                <c:pt idx="181">
                  <c:v>4.2365745334887904E-3</c:v>
                </c:pt>
                <c:pt idx="182">
                  <c:v>4.1118267978238398E-3</c:v>
                </c:pt>
                <c:pt idx="183">
                  <c:v>3.9907402780079504E-3</c:v>
                </c:pt>
                <c:pt idx="184">
                  <c:v>3.8732081625346198E-3</c:v>
                </c:pt>
                <c:pt idx="185">
                  <c:v>3.75912672319543E-3</c:v>
                </c:pt>
                <c:pt idx="186">
                  <c:v>3.64839522764129E-3</c:v>
                </c:pt>
                <c:pt idx="187">
                  <c:v>3.5409158543595002E-3</c:v>
                </c:pt>
                <c:pt idx="188">
                  <c:v>3.4365936099988001E-3</c:v>
                </c:pt>
                <c:pt idx="189">
                  <c:v>3.3353362489803601E-3</c:v>
                </c:pt>
                <c:pt idx="190">
                  <c:v>3.23705419533483E-3</c:v>
                </c:pt>
                <c:pt idx="191">
                  <c:v>3.1416604667038502E-3</c:v>
                </c:pt>
                <c:pt idx="192">
                  <c:v>3.0490706004501402E-3</c:v>
                </c:pt>
                <c:pt idx="193">
                  <c:v>2.95920258181706E-3</c:v>
                </c:pt>
                <c:pt idx="194">
                  <c:v>2.87197677408541E-3</c:v>
                </c:pt>
                <c:pt idx="195">
                  <c:v>2.7873158506722799E-3</c:v>
                </c:pt>
                <c:pt idx="196">
                  <c:v>2.7051447291197199E-3</c:v>
                </c:pt>
                <c:pt idx="197">
                  <c:v>2.62539050692442E-3</c:v>
                </c:pt>
                <c:pt idx="198">
                  <c:v>2.5479823991559E-3</c:v>
                </c:pt>
                <c:pt idx="199">
                  <c:v>2.4728516778177701E-3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'Original Can Correct Errors'!$H$1</c:f>
              <c:strCache>
                <c:ptCount val="1"/>
                <c:pt idx="0">
                  <c:v>6.5</c:v>
                </c:pt>
              </c:strCache>
            </c:strRef>
          </c:tx>
          <c:marker>
            <c:symbol val="none"/>
          </c:marker>
          <c:cat>
            <c:numRef>
              <c:f>'Original Can Correct Errors'!$A$2:$A$201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'Original Can Correct Errors'!$H$2:$H$201</c:f>
              <c:numCache>
                <c:formatCode>0.000</c:formatCode>
                <c:ptCount val="200"/>
                <c:pt idx="0">
                  <c:v>0.51825553746374498</c:v>
                </c:pt>
                <c:pt idx="1">
                  <c:v>0.53554690990134701</c:v>
                </c:pt>
                <c:pt idx="2">
                  <c:v>0.55194121817585895</c:v>
                </c:pt>
                <c:pt idx="3">
                  <c:v>0.56753104546244004</c:v>
                </c:pt>
                <c:pt idx="4">
                  <c:v>0.58240990712589202</c:v>
                </c:pt>
                <c:pt idx="5">
                  <c:v>0.59665102786253399</c:v>
                </c:pt>
                <c:pt idx="6">
                  <c:v>0.61029875559485902</c:v>
                </c:pt>
                <c:pt idx="7">
                  <c:v>0.62337206617988095</c:v>
                </c:pt>
                <c:pt idx="8">
                  <c:v>0.63587370109255203</c:v>
                </c:pt>
                <c:pt idx="9">
                  <c:v>0.64779928036409895</c:v>
                </c:pt>
                <c:pt idx="10">
                  <c:v>0.65914389745911695</c:v>
                </c:pt>
                <c:pt idx="11">
                  <c:v>0.66990599554772901</c:v>
                </c:pt>
                <c:pt idx="12">
                  <c:v>0.680089170505634</c:v>
                </c:pt>
                <c:pt idx="13">
                  <c:v>0.68970260967061803</c:v>
                </c:pt>
                <c:pt idx="14">
                  <c:v>0.69876079523692602</c:v>
                </c:pt>
                <c:pt idx="15">
                  <c:v>0.70728278465584205</c:v>
                </c:pt>
                <c:pt idx="16">
                  <c:v>0.71529137467706405</c:v>
                </c:pt>
                <c:pt idx="17">
                  <c:v>0.72281220937183199</c:v>
                </c:pt>
                <c:pt idx="18">
                  <c:v>0.72987297876882296</c:v>
                </c:pt>
                <c:pt idx="19">
                  <c:v>0.73650267108823297</c:v>
                </c:pt>
                <c:pt idx="20">
                  <c:v>0.74273094663970496</c:v>
                </c:pt>
                <c:pt idx="21">
                  <c:v>0.74858761350145697</c:v>
                </c:pt>
                <c:pt idx="22">
                  <c:v>0.754102173502742</c:v>
                </c:pt>
                <c:pt idx="23">
                  <c:v>0.75930347327431602</c:v>
                </c:pt>
                <c:pt idx="24">
                  <c:v>0.76421942847302904</c:v>
                </c:pt>
                <c:pt idx="25">
                  <c:v>0.76887679047122504</c:v>
                </c:pt>
                <c:pt idx="26">
                  <c:v>0.77330098940678405</c:v>
                </c:pt>
                <c:pt idx="27">
                  <c:v>0.77751601216905497</c:v>
                </c:pt>
                <c:pt idx="28">
                  <c:v>0.78154432142548202</c:v>
                </c:pt>
                <c:pt idx="29">
                  <c:v>0.785406807546561</c:v>
                </c:pt>
                <c:pt idx="30">
                  <c:v>0.78912276828483496</c:v>
                </c:pt>
                <c:pt idx="31">
                  <c:v>0.79270991178206596</c:v>
                </c:pt>
                <c:pt idx="32">
                  <c:v>0.796184379069793</c:v>
                </c:pt>
                <c:pt idx="33">
                  <c:v>0.79956078271106701</c:v>
                </c:pt>
                <c:pt idx="34">
                  <c:v>0.80285225862698695</c:v>
                </c:pt>
                <c:pt idx="35">
                  <c:v>0.80607052848108995</c:v>
                </c:pt>
                <c:pt idx="36">
                  <c:v>0.80922597027585197</c:v>
                </c:pt>
                <c:pt idx="37">
                  <c:v>0.812327695062942</c:v>
                </c:pt>
                <c:pt idx="38">
                  <c:v>0.81538362789360996</c:v>
                </c:pt>
                <c:pt idx="39">
                  <c:v>0.81840059134526</c:v>
                </c:pt>
                <c:pt idx="40">
                  <c:v>0.82138439205841995</c:v>
                </c:pt>
                <c:pt idx="41">
                  <c:v>0.82433989744233305</c:v>
                </c:pt>
                <c:pt idx="42">
                  <c:v>0.82727113083014803</c:v>
                </c:pt>
                <c:pt idx="43">
                  <c:v>0.83018134440580305</c:v>
                </c:pt>
                <c:pt idx="44">
                  <c:v>0.83307309943901697</c:v>
                </c:pt>
                <c:pt idx="45">
                  <c:v>0.83594834276700802</c:v>
                </c:pt>
                <c:pt idx="46">
                  <c:v>0.83880847000360104</c:v>
                </c:pt>
                <c:pt idx="47">
                  <c:v>0.84165440356534404</c:v>
                </c:pt>
                <c:pt idx="48">
                  <c:v>0.84448664671818696</c:v>
                </c:pt>
                <c:pt idx="49">
                  <c:v>0.84730534304990701</c:v>
                </c:pt>
                <c:pt idx="50">
                  <c:v>0.85011033097597399</c:v>
                </c:pt>
                <c:pt idx="51">
                  <c:v>0.85290118525714598</c:v>
                </c:pt>
                <c:pt idx="52">
                  <c:v>0.85567727146654404</c:v>
                </c:pt>
                <c:pt idx="53">
                  <c:v>0.85843777842373004</c:v>
                </c:pt>
                <c:pt idx="54">
                  <c:v>0.86118175739519698</c:v>
                </c:pt>
                <c:pt idx="55">
                  <c:v>0.86390814696166496</c:v>
                </c:pt>
                <c:pt idx="56">
                  <c:v>0.866615811991026</c:v>
                </c:pt>
                <c:pt idx="57">
                  <c:v>0.86930356112261098</c:v>
                </c:pt>
                <c:pt idx="58">
                  <c:v>0.87197017047322101</c:v>
                </c:pt>
                <c:pt idx="59">
                  <c:v>0.87461440412565805</c:v>
                </c:pt>
                <c:pt idx="60">
                  <c:v>0.877235024131782</c:v>
                </c:pt>
                <c:pt idx="61">
                  <c:v>0.879830814302206</c:v>
                </c:pt>
                <c:pt idx="62">
                  <c:v>0.88240058529117704</c:v>
                </c:pt>
                <c:pt idx="63">
                  <c:v>0.88494318624971302</c:v>
                </c:pt>
                <c:pt idx="64">
                  <c:v>0.88745751300084297</c:v>
                </c:pt>
                <c:pt idx="65">
                  <c:v>0.88994251595664098</c:v>
                </c:pt>
                <c:pt idx="66">
                  <c:v>0.89239720007650902</c:v>
                </c:pt>
                <c:pt idx="67">
                  <c:v>0.89482063709084303</c:v>
                </c:pt>
                <c:pt idx="68">
                  <c:v>0.89721196284442695</c:v>
                </c:pt>
                <c:pt idx="69">
                  <c:v>0.89957038078346097</c:v>
                </c:pt>
                <c:pt idx="70">
                  <c:v>0.90189516317221496</c:v>
                </c:pt>
                <c:pt idx="71">
                  <c:v>0.90418565160226805</c:v>
                </c:pt>
                <c:pt idx="72">
                  <c:v>0.90644125789329899</c:v>
                </c:pt>
                <c:pt idx="73">
                  <c:v>0.90866145936031295</c:v>
                </c:pt>
                <c:pt idx="74">
                  <c:v>0.910845804099776</c:v>
                </c:pt>
                <c:pt idx="75">
                  <c:v>0.91299390519835599</c:v>
                </c:pt>
                <c:pt idx="76">
                  <c:v>0.91510544011930794</c:v>
                </c:pt>
                <c:pt idx="77">
                  <c:v>0.91718014871268905</c:v>
                </c:pt>
                <c:pt idx="78">
                  <c:v>0.91921783102385402</c:v>
                </c:pt>
                <c:pt idx="79">
                  <c:v>0.92121834494386701</c:v>
                </c:pt>
                <c:pt idx="80">
                  <c:v>0.92318160374015001</c:v>
                </c:pt>
                <c:pt idx="81">
                  <c:v>0.92510757413003597</c:v>
                </c:pt>
                <c:pt idx="82">
                  <c:v>0.92699627107910398</c:v>
                </c:pt>
                <c:pt idx="83">
                  <c:v>0.92884775915663698</c:v>
                </c:pt>
                <c:pt idx="84">
                  <c:v>0.93066214713209405</c:v>
                </c:pt>
                <c:pt idx="85">
                  <c:v>0.93243958604003596</c:v>
                </c:pt>
                <c:pt idx="86">
                  <c:v>0.93418026656028896</c:v>
                </c:pt>
                <c:pt idx="87">
                  <c:v>0.93588441643676201</c:v>
                </c:pt>
                <c:pt idx="88">
                  <c:v>0.93755229794635897</c:v>
                </c:pt>
                <c:pt idx="89">
                  <c:v>0.93918420542741399</c:v>
                </c:pt>
                <c:pt idx="90">
                  <c:v>0.94078046287541806</c:v>
                </c:pt>
                <c:pt idx="91">
                  <c:v>0.94234142161226497</c:v>
                </c:pt>
                <c:pt idx="92">
                  <c:v>0.94386745803394001</c:v>
                </c:pt>
                <c:pt idx="93">
                  <c:v>0.94535897144039505</c:v>
                </c:pt>
                <c:pt idx="94">
                  <c:v>0.94681638195031204</c:v>
                </c:pt>
                <c:pt idx="95">
                  <c:v>0.94824012850261497</c:v>
                </c:pt>
                <c:pt idx="96">
                  <c:v>0.94963066705100796</c:v>
                </c:pt>
                <c:pt idx="97">
                  <c:v>0.95098846829291495</c:v>
                </c:pt>
                <c:pt idx="98">
                  <c:v>0.95231401665194404</c:v>
                </c:pt>
                <c:pt idx="99">
                  <c:v>0.95360780812107604</c:v>
                </c:pt>
                <c:pt idx="100">
                  <c:v>0.95487034883755195</c:v>
                </c:pt>
                <c:pt idx="101">
                  <c:v>0.95610215360658402</c:v>
                </c:pt>
                <c:pt idx="102">
                  <c:v>0.95730374450802902</c:v>
                </c:pt>
                <c:pt idx="103">
                  <c:v>0.95847564958404796</c:v>
                </c:pt>
                <c:pt idx="104">
                  <c:v>0.95961840160552403</c:v>
                </c:pt>
                <c:pt idx="105">
                  <c:v>0.96073253691487404</c:v>
                </c:pt>
                <c:pt idx="106">
                  <c:v>0.96181859434277095</c:v>
                </c:pt>
                <c:pt idx="107">
                  <c:v>0.96287711419618605</c:v>
                </c:pt>
                <c:pt idx="108">
                  <c:v>0.96390863731507903</c:v>
                </c:pt>
                <c:pt idx="109">
                  <c:v>0.96491370419508005</c:v>
                </c:pt>
                <c:pt idx="110">
                  <c:v>0.96589285417340398</c:v>
                </c:pt>
                <c:pt idx="111">
                  <c:v>0.96684662467530003</c:v>
                </c:pt>
                <c:pt idx="112">
                  <c:v>0.96777555051831299</c:v>
                </c:pt>
                <c:pt idx="113">
                  <c:v>0.96868016327167805</c:v>
                </c:pt>
                <c:pt idx="114">
                  <c:v>0.96956099066819901</c:v>
                </c:pt>
                <c:pt idx="115">
                  <c:v>0.97041855606599303</c:v>
                </c:pt>
                <c:pt idx="116">
                  <c:v>0.97125337795757405</c:v>
                </c:pt>
                <c:pt idx="117">
                  <c:v>0.972065969523768</c:v>
                </c:pt>
                <c:pt idx="118">
                  <c:v>0.97285683823004798</c:v>
                </c:pt>
                <c:pt idx="119">
                  <c:v>0.97362648546293096</c:v>
                </c:pt>
                <c:pt idx="120">
                  <c:v>0.97437540620416996</c:v>
                </c:pt>
                <c:pt idx="121">
                  <c:v>0.97510408874052601</c:v>
                </c:pt>
                <c:pt idx="122">
                  <c:v>0.97581301440701096</c:v>
                </c:pt>
                <c:pt idx="123">
                  <c:v>0.97650265736156305</c:v>
                </c:pt>
                <c:pt idx="124">
                  <c:v>0.97717348438917295</c:v>
                </c:pt>
                <c:pt idx="125">
                  <c:v>0.977825954733609</c:v>
                </c:pt>
                <c:pt idx="126">
                  <c:v>0.978460519954926</c:v>
                </c:pt>
                <c:pt idx="127">
                  <c:v>0.979077623602157</c:v>
                </c:pt>
                <c:pt idx="128">
                  <c:v>0.979677701955594</c:v>
                </c:pt>
                <c:pt idx="129">
                  <c:v>0.980261182690221</c:v>
                </c:pt>
                <c:pt idx="130">
                  <c:v>0.98082848566340897</c:v>
                </c:pt>
                <c:pt idx="131">
                  <c:v>0.98138002266565405</c:v>
                </c:pt>
                <c:pt idx="132">
                  <c:v>0.98191619739937996</c:v>
                </c:pt>
                <c:pt idx="133">
                  <c:v>0.982437405473083</c:v>
                </c:pt>
                <c:pt idx="134">
                  <c:v>0.98294403440961298</c:v>
                </c:pt>
                <c:pt idx="135">
                  <c:v>0.98343646366745496</c:v>
                </c:pt>
                <c:pt idx="136">
                  <c:v>0.98391506467393797</c:v>
                </c:pt>
                <c:pt idx="137">
                  <c:v>0.98438020086934597</c:v>
                </c:pt>
                <c:pt idx="138">
                  <c:v>0.984832227760993</c:v>
                </c:pt>
                <c:pt idx="139">
                  <c:v>0.98527149298633998</c:v>
                </c:pt>
                <c:pt idx="140">
                  <c:v>0.98569833638433102</c:v>
                </c:pt>
                <c:pt idx="141">
                  <c:v>0.98611309007413805</c:v>
                </c:pt>
                <c:pt idx="142">
                  <c:v>0.98651607854057999</c:v>
                </c:pt>
                <c:pt idx="143">
                  <c:v>0.98690761872551303</c:v>
                </c:pt>
                <c:pt idx="144">
                  <c:v>0.98728802012454098</c:v>
                </c:pt>
                <c:pt idx="145">
                  <c:v>0.98765758488844502</c:v>
                </c:pt>
                <c:pt idx="146">
                  <c:v>0.98801660792874302</c:v>
                </c:pt>
                <c:pt idx="147">
                  <c:v>0.98836537702687399</c:v>
                </c:pt>
                <c:pt idx="148">
                  <c:v>0.98870417294649704</c:v>
                </c:pt>
                <c:pt idx="149">
                  <c:v>0.98903326954844895</c:v>
                </c:pt>
                <c:pt idx="150">
                  <c:v>0.98935293390793599</c:v>
                </c:pt>
                <c:pt idx="151">
                  <c:v>0.98966342643357297</c:v>
                </c:pt>
                <c:pt idx="152">
                  <c:v>0.98996500098788198</c:v>
                </c:pt>
                <c:pt idx="153">
                  <c:v>0.99025790500894195</c:v>
                </c:pt>
                <c:pt idx="154">
                  <c:v>0.99054237963285097</c:v>
                </c:pt>
                <c:pt idx="155">
                  <c:v>0.990818659816734</c:v>
                </c:pt>
                <c:pt idx="156">
                  <c:v>0.99108697446201499</c:v>
                </c:pt>
                <c:pt idx="157">
                  <c:v>0.99134754653772506</c:v>
                </c:pt>
                <c:pt idx="158">
                  <c:v>0.99160059320361804</c:v>
                </c:pt>
                <c:pt idx="159">
                  <c:v>0.99184632593288902</c:v>
                </c:pt>
                <c:pt idx="160">
                  <c:v>0.99208495063431601</c:v>
                </c:pt>
                <c:pt idx="161">
                  <c:v>0.99231666777365202</c:v>
                </c:pt>
                <c:pt idx="162">
                  <c:v>0.99254167249411696</c:v>
                </c:pt>
                <c:pt idx="163">
                  <c:v>0.992760154735853</c:v>
                </c:pt>
                <c:pt idx="164">
                  <c:v>0.99297229935421705</c:v>
                </c:pt>
                <c:pt idx="165">
                  <c:v>0.99317828623679705</c:v>
                </c:pt>
                <c:pt idx="166">
                  <c:v>0.99337829041906101</c:v>
                </c:pt>
                <c:pt idx="167">
                  <c:v>0.993572482198537</c:v>
                </c:pt>
                <c:pt idx="168">
                  <c:v>0.99376102724746695</c:v>
                </c:pt>
                <c:pt idx="169">
                  <c:v>0.99394408672383905</c:v>
                </c:pt>
                <c:pt idx="170">
                  <c:v>0.994121817380757</c:v>
                </c:pt>
                <c:pt idx="171">
                  <c:v>0.99429437167409995</c:v>
                </c:pt>
                <c:pt idx="172">
                  <c:v>0.994461897868407</c:v>
                </c:pt>
                <c:pt idx="173">
                  <c:v>0.99462454014097101</c:v>
                </c:pt>
                <c:pt idx="174">
                  <c:v>0.99478243868410299</c:v>
                </c:pt>
                <c:pt idx="175">
                  <c:v>0.99493572980554001</c:v>
                </c:pt>
                <c:pt idx="176">
                  <c:v>0.99508454602698804</c:v>
                </c:pt>
                <c:pt idx="177">
                  <c:v>0.99522901618076698</c:v>
                </c:pt>
                <c:pt idx="178">
                  <c:v>0.99536926550457905</c:v>
                </c:pt>
                <c:pt idx="179">
                  <c:v>0.99550541573436302</c:v>
                </c:pt>
                <c:pt idx="180">
                  <c:v>0.99563758519525702</c:v>
                </c:pt>
                <c:pt idx="181">
                  <c:v>0.99576588889066298</c:v>
                </c:pt>
                <c:pt idx="182">
                  <c:v>0.99589043858941995</c:v>
                </c:pt>
                <c:pt idx="183">
                  <c:v>0.99601134291109605</c:v>
                </c:pt>
                <c:pt idx="184">
                  <c:v>0.99612870740941095</c:v>
                </c:pt>
                <c:pt idx="185">
                  <c:v>0.99624263465380103</c:v>
                </c:pt>
                <c:pt idx="186">
                  <c:v>0.99635322430914797</c:v>
                </c:pt>
                <c:pt idx="187">
                  <c:v>0.99646057321368198</c:v>
                </c:pt>
                <c:pt idx="188">
                  <c:v>0.99656477545508604</c:v>
                </c:pt>
                <c:pt idx="189">
                  <c:v>0.99666592244482199</c:v>
                </c:pt>
                <c:pt idx="190">
                  <c:v>0.99676410299069496</c:v>
                </c:pt>
                <c:pt idx="191">
                  <c:v>0.99685940336768597</c:v>
                </c:pt>
                <c:pt idx="192">
                  <c:v>0.99695190738708195</c:v>
                </c:pt>
                <c:pt idx="193">
                  <c:v>0.99704169646391605</c:v>
                </c:pt>
                <c:pt idx="194">
                  <c:v>0.99712884968275795</c:v>
                </c:pt>
                <c:pt idx="195">
                  <c:v>0.99721344386187405</c:v>
                </c:pt>
                <c:pt idx="196">
                  <c:v>0.99729555361579003</c:v>
                </c:pt>
                <c:pt idx="197">
                  <c:v>0.99737525141628303</c:v>
                </c:pt>
                <c:pt idx="198">
                  <c:v>0.99745260765182497</c:v>
                </c:pt>
                <c:pt idx="199">
                  <c:v>0.99752769068552105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'Original Can Correct Errors'!$I$1</c:f>
              <c:strCache>
                <c:ptCount val="1"/>
                <c:pt idx="0">
                  <c:v>7.5</c:v>
                </c:pt>
              </c:strCache>
            </c:strRef>
          </c:tx>
          <c:marker>
            <c:symbol val="none"/>
          </c:marker>
          <c:val>
            <c:numRef>
              <c:f>'Original Can Correct Errors'!$I$2:$I$201</c:f>
              <c:numCache>
                <c:formatCode>0.000</c:formatCode>
                <c:ptCount val="200"/>
                <c:pt idx="0">
                  <c:v>0.51002083983109003</c:v>
                </c:pt>
                <c:pt idx="1">
                  <c:v>0.52016750068907203</c:v>
                </c:pt>
                <c:pt idx="2">
                  <c:v>0.53055789729279501</c:v>
                </c:pt>
                <c:pt idx="3">
                  <c:v>0.54128145002368899</c:v>
                </c:pt>
                <c:pt idx="4">
                  <c:v>0.55238461653357995</c:v>
                </c:pt>
                <c:pt idx="5">
                  <c:v>0.56387025482273501</c:v>
                </c:pt>
                <c:pt idx="6">
                  <c:v>0.57570806605394098</c:v>
                </c:pt>
                <c:pt idx="7">
                  <c:v>0.58784825438087496</c:v>
                </c:pt>
                <c:pt idx="8">
                  <c:v>0.60023259204033697</c:v>
                </c:pt>
                <c:pt idx="9">
                  <c:v>0.61280130545167699</c:v>
                </c:pt>
                <c:pt idx="10">
                  <c:v>0.62549664213232603</c:v>
                </c:pt>
                <c:pt idx="11">
                  <c:v>0.63826438589817702</c:v>
                </c:pt>
                <c:pt idx="12">
                  <c:v>0.65105431456683704</c:v>
                </c:pt>
                <c:pt idx="13">
                  <c:v>0.66382021554066795</c:v>
                </c:pt>
                <c:pt idx="14">
                  <c:v>0.67651967510760702</c:v>
                </c:pt>
                <c:pt idx="15">
                  <c:v>0.68911387208556496</c:v>
                </c:pt>
                <c:pt idx="16">
                  <c:v>0.70156733785121905</c:v>
                </c:pt>
                <c:pt idx="17">
                  <c:v>0.71384779613274896</c:v>
                </c:pt>
                <c:pt idx="18">
                  <c:v>0.72592599459007601</c:v>
                </c:pt>
                <c:pt idx="19">
                  <c:v>0.73777560840447398</c:v>
                </c:pt>
                <c:pt idx="20">
                  <c:v>0.74937314253423204</c:v>
                </c:pt>
                <c:pt idx="21">
                  <c:v>0.76069784827728404</c:v>
                </c:pt>
                <c:pt idx="22">
                  <c:v>0.77173167181878499</c:v>
                </c:pt>
                <c:pt idx="23">
                  <c:v>0.78245917929685704</c:v>
                </c:pt>
                <c:pt idx="24">
                  <c:v>0.79286747692555604</c:v>
                </c:pt>
                <c:pt idx="25">
                  <c:v>0.80294614219907201</c:v>
                </c:pt>
                <c:pt idx="26">
                  <c:v>0.81268711921973202</c:v>
                </c:pt>
                <c:pt idx="27">
                  <c:v>0.82208461144318101</c:v>
                </c:pt>
                <c:pt idx="28">
                  <c:v>0.83113495838871698</c:v>
                </c:pt>
                <c:pt idx="29">
                  <c:v>0.83983649973642804</c:v>
                </c:pt>
                <c:pt idx="30">
                  <c:v>0.84818942879431602</c:v>
                </c:pt>
                <c:pt idx="31">
                  <c:v>0.856195637830242</c:v>
                </c:pt>
                <c:pt idx="32">
                  <c:v>0.86385855802786005</c:v>
                </c:pt>
                <c:pt idx="33">
                  <c:v>0.87118299688349699</c:v>
                </c:pt>
                <c:pt idx="34">
                  <c:v>0.87817497575757997</c:v>
                </c:pt>
                <c:pt idx="35">
                  <c:v>0.88484157007383502</c:v>
                </c:pt>
                <c:pt idx="36">
                  <c:v>0.89119075436151396</c:v>
                </c:pt>
                <c:pt idx="37">
                  <c:v>0.89723125399358195</c:v>
                </c:pt>
                <c:pt idx="38">
                  <c:v>0.90297240511362797</c:v>
                </c:pt>
                <c:pt idx="39">
                  <c:v>0.908424023886507</c:v>
                </c:pt>
                <c:pt idx="40">
                  <c:v>0.91359628440879004</c:v>
                </c:pt>
                <c:pt idx="41">
                  <c:v>0.91849961466809804</c:v>
                </c:pt>
                <c:pt idx="42">
                  <c:v>0.92314458808822897</c:v>
                </c:pt>
                <c:pt idx="43">
                  <c:v>0.92754184139064899</c:v>
                </c:pt>
                <c:pt idx="44">
                  <c:v>0.93170199504187001</c:v>
                </c:pt>
                <c:pt idx="45">
                  <c:v>0.93563558414909598</c:v>
                </c:pt>
                <c:pt idx="46">
                  <c:v>0.93935300564104995</c:v>
                </c:pt>
                <c:pt idx="47">
                  <c:v>0.94286446073724905</c:v>
                </c:pt>
                <c:pt idx="48">
                  <c:v>0.94617991977849203</c:v>
                </c:pt>
                <c:pt idx="49">
                  <c:v>0.94930908744070597</c:v>
                </c:pt>
                <c:pt idx="50">
                  <c:v>0.95226137518713705</c:v>
                </c:pt>
                <c:pt idx="51">
                  <c:v>0.95504588558044801</c:v>
                </c:pt>
                <c:pt idx="52">
                  <c:v>0.95767139032525905</c:v>
                </c:pt>
                <c:pt idx="53">
                  <c:v>0.96014632513702503</c:v>
                </c:pt>
                <c:pt idx="54">
                  <c:v>0.96247878147878096</c:v>
                </c:pt>
                <c:pt idx="55">
                  <c:v>0.96467650875713995</c:v>
                </c:pt>
                <c:pt idx="56">
                  <c:v>0.96674690803621899</c:v>
                </c:pt>
                <c:pt idx="57">
                  <c:v>0.96869704013329305</c:v>
                </c:pt>
                <c:pt idx="58">
                  <c:v>0.97053362974242596</c:v>
                </c:pt>
                <c:pt idx="59">
                  <c:v>0.97226307155765002</c:v>
                </c:pt>
                <c:pt idx="60">
                  <c:v>0.97389144276527295</c:v>
                </c:pt>
                <c:pt idx="61">
                  <c:v>0.97542450637631894</c:v>
                </c:pt>
                <c:pt idx="62">
                  <c:v>0.97686772587113402</c:v>
                </c:pt>
                <c:pt idx="63">
                  <c:v>0.97822627503579496</c:v>
                </c:pt>
                <c:pt idx="64">
                  <c:v>0.97950504929895099</c:v>
                </c:pt>
                <c:pt idx="65">
                  <c:v>0.98070867647469395</c:v>
                </c:pt>
                <c:pt idx="66">
                  <c:v>0.98184153178775102</c:v>
                </c:pt>
                <c:pt idx="67">
                  <c:v>0.98290774429490901</c:v>
                </c:pt>
                <c:pt idx="68">
                  <c:v>0.98391121196740905</c:v>
                </c:pt>
                <c:pt idx="69">
                  <c:v>0.98485561207772898</c:v>
                </c:pt>
                <c:pt idx="70">
                  <c:v>0.985744412252336</c:v>
                </c:pt>
                <c:pt idx="71">
                  <c:v>0.98658088121966403</c:v>
                </c:pt>
                <c:pt idx="72">
                  <c:v>0.98736809852673002</c:v>
                </c:pt>
                <c:pt idx="73">
                  <c:v>0.98810896740653398</c:v>
                </c:pt>
                <c:pt idx="74">
                  <c:v>0.98880622008592201</c:v>
                </c:pt>
                <c:pt idx="75">
                  <c:v>0.98946243001713396</c:v>
                </c:pt>
                <c:pt idx="76">
                  <c:v>0.99008001996891604</c:v>
                </c:pt>
                <c:pt idx="77">
                  <c:v>0.99066127047859198</c:v>
                </c:pt>
                <c:pt idx="78">
                  <c:v>0.99120832790370705</c:v>
                </c:pt>
                <c:pt idx="79">
                  <c:v>0.99172321207921299</c:v>
                </c:pt>
                <c:pt idx="80">
                  <c:v>0.99220782358860704</c:v>
                </c:pt>
                <c:pt idx="81">
                  <c:v>0.99266395009192299</c:v>
                </c:pt>
                <c:pt idx="82">
                  <c:v>0.99309327516948598</c:v>
                </c:pt>
                <c:pt idx="83">
                  <c:v>0.99349738096499396</c:v>
                </c:pt>
                <c:pt idx="84">
                  <c:v>0.993877756434832</c:v>
                </c:pt>
                <c:pt idx="85">
                  <c:v>0.99423580225174601</c:v>
                </c:pt>
                <c:pt idx="86">
                  <c:v>0.99457283601390301</c:v>
                </c:pt>
                <c:pt idx="87">
                  <c:v>0.99489009715862697</c:v>
                </c:pt>
                <c:pt idx="88">
                  <c:v>0.99518875159498699</c:v>
                </c:pt>
                <c:pt idx="89">
                  <c:v>0.99546989606917902</c:v>
                </c:pt>
                <c:pt idx="90">
                  <c:v>0.99573456227638002</c:v>
                </c:pt>
                <c:pt idx="91">
                  <c:v>0.99598372073234698</c:v>
                </c:pt>
                <c:pt idx="92">
                  <c:v>0.99621828441762905</c:v>
                </c:pt>
                <c:pt idx="93">
                  <c:v>0.99643911220681203</c:v>
                </c:pt>
                <c:pt idx="94">
                  <c:v>0.99664701209469797</c:v>
                </c:pt>
                <c:pt idx="95">
                  <c:v>0.99684274423083696</c:v>
                </c:pt>
                <c:pt idx="96">
                  <c:v>0.997027023363807</c:v>
                </c:pt>
                <c:pt idx="97">
                  <c:v>0.997200523182599</c:v>
                </c:pt>
                <c:pt idx="98">
                  <c:v>0.99736387632137302</c:v>
                </c:pt>
                <c:pt idx="99">
                  <c:v>0.99751767843220895</c:v>
                </c:pt>
                <c:pt idx="100">
                  <c:v>0.99766248998374296</c:v>
                </c:pt>
                <c:pt idx="101">
                  <c:v>0.99779883835708805</c:v>
                </c:pt>
                <c:pt idx="102">
                  <c:v>0.99792721981593302</c:v>
                </c:pt>
                <c:pt idx="103">
                  <c:v>0.99804810135833899</c:v>
                </c:pt>
                <c:pt idx="104">
                  <c:v>0.99816192245731294</c:v>
                </c:pt>
                <c:pt idx="105">
                  <c:v>0.99826909669684605</c:v>
                </c:pt>
                <c:pt idx="106">
                  <c:v>0.99837001330971598</c:v>
                </c:pt>
                <c:pt idx="107">
                  <c:v>0.99846503862298897</c:v>
                </c:pt>
                <c:pt idx="108">
                  <c:v>0.99855451741677204</c:v>
                </c:pt>
                <c:pt idx="109">
                  <c:v>0.99863877420150604</c:v>
                </c:pt>
                <c:pt idx="110">
                  <c:v>0.99871811441868796</c:v>
                </c:pt>
                <c:pt idx="111">
                  <c:v>0.99879282556969895</c:v>
                </c:pt>
                <c:pt idx="112">
                  <c:v>0.99886317827706295</c:v>
                </c:pt>
                <c:pt idx="113">
                  <c:v>0.99892942728224798</c:v>
                </c:pt>
                <c:pt idx="114">
                  <c:v>0.99899181238385004</c:v>
                </c:pt>
                <c:pt idx="115">
                  <c:v>0.99905055931976405</c:v>
                </c:pt>
                <c:pt idx="116">
                  <c:v>0.99910588059674299</c:v>
                </c:pt>
                <c:pt idx="117">
                  <c:v>0.99915797627050895</c:v>
                </c:pt>
                <c:pt idx="118">
                  <c:v>0.99920703467942296</c:v>
                </c:pt>
                <c:pt idx="119">
                  <c:v>0.99925323313450998</c:v>
                </c:pt>
                <c:pt idx="120">
                  <c:v>0.99929673856846402</c:v>
                </c:pt>
                <c:pt idx="121">
                  <c:v>0.999337708146121</c:v>
                </c:pt>
                <c:pt idx="122">
                  <c:v>0.99937628983870996</c:v>
                </c:pt>
                <c:pt idx="123">
                  <c:v>0.99941262296405697</c:v>
                </c:pt>
                <c:pt idx="124">
                  <c:v>0.999446838694797</c:v>
                </c:pt>
                <c:pt idx="125">
                  <c:v>0.99947906053650903</c:v>
                </c:pt>
                <c:pt idx="126">
                  <c:v>0.999509404777568</c:v>
                </c:pt>
                <c:pt idx="127">
                  <c:v>0.99953798059876298</c:v>
                </c:pt>
                <c:pt idx="128">
                  <c:v>0.99956489173077301</c:v>
                </c:pt>
                <c:pt idx="129">
                  <c:v>0.99959023493309496</c:v>
                </c:pt>
                <c:pt idx="130">
                  <c:v>0.99961410161553699</c:v>
                </c:pt>
                <c:pt idx="131">
                  <c:v>0.99963657785164495</c:v>
                </c:pt>
                <c:pt idx="132">
                  <c:v>0.99965774469106905</c:v>
                </c:pt>
                <c:pt idx="133">
                  <c:v>0.99967767845353905</c:v>
                </c:pt>
                <c:pt idx="134">
                  <c:v>0.99969645100556603</c:v>
                </c:pt>
                <c:pt idx="135">
                  <c:v>0.99971413002086895</c:v>
                </c:pt>
                <c:pt idx="136">
                  <c:v>0.99973077922550502</c:v>
                </c:pt>
                <c:pt idx="137">
                  <c:v>0.999746458628614</c:v>
                </c:pt>
                <c:pt idx="138">
                  <c:v>0.99976122473961404</c:v>
                </c:pt>
                <c:pt idx="139">
                  <c:v>0.999775130772659</c:v>
                </c:pt>
                <c:pt idx="140">
                  <c:v>0.99978822683911495</c:v>
                </c:pt>
                <c:pt idx="141">
                  <c:v>0.99980056012874896</c:v>
                </c:pt>
                <c:pt idx="142">
                  <c:v>0.99981217508030995</c:v>
                </c:pt>
                <c:pt idx="143">
                  <c:v>0.99982311354211295</c:v>
                </c:pt>
                <c:pt idx="144">
                  <c:v>0.99983341492323297</c:v>
                </c:pt>
                <c:pt idx="145">
                  <c:v>0.99984311633584499</c:v>
                </c:pt>
                <c:pt idx="146">
                  <c:v>0.99985225272923905</c:v>
                </c:pt>
                <c:pt idx="147">
                  <c:v>0.99986085701599903</c:v>
                </c:pt>
                <c:pt idx="148">
                  <c:v>0.99986896019080196</c:v>
                </c:pt>
                <c:pt idx="149">
                  <c:v>0.99987659144228203</c:v>
                </c:pt>
                <c:pt idx="150">
                  <c:v>0.99988377825834396</c:v>
                </c:pt>
                <c:pt idx="151">
                  <c:v>0.99989054652533904</c:v>
                </c:pt>
                <c:pt idx="152">
                  <c:v>0.99989692062143698</c:v>
                </c:pt>
                <c:pt idx="153">
                  <c:v>0.999902923504559</c:v>
                </c:pt>
                <c:pt idx="154">
                  <c:v>0.99990857679515799</c:v>
                </c:pt>
                <c:pt idx="155">
                  <c:v>0.99991390085418796</c:v>
                </c:pt>
                <c:pt idx="156">
                  <c:v>0.99991891485650697</c:v>
                </c:pt>
                <c:pt idx="157">
                  <c:v>0.99992363686000696</c:v>
                </c:pt>
                <c:pt idx="158">
                  <c:v>0.99992808387070398</c:v>
                </c:pt>
                <c:pt idx="159">
                  <c:v>0.999932271904036</c:v>
                </c:pt>
                <c:pt idx="160">
                  <c:v>0.99993621604258298</c:v>
                </c:pt>
                <c:pt idx="161">
                  <c:v>0.99993993049042196</c:v>
                </c:pt>
                <c:pt idx="162">
                  <c:v>0.99994342862431096</c:v>
                </c:pt>
                <c:pt idx="163">
                  <c:v>0.99994672304189203</c:v>
                </c:pt>
                <c:pt idx="164">
                  <c:v>0.99994982560708001</c:v>
                </c:pt>
                <c:pt idx="165">
                  <c:v>0.99995274749280705</c:v>
                </c:pt>
                <c:pt idx="166">
                  <c:v>0.99995549922127802</c:v>
                </c:pt>
                <c:pt idx="167">
                  <c:v>0.99995809070187502</c:v>
                </c:pt>
                <c:pt idx="168">
                  <c:v>0.99996053126685402</c:v>
                </c:pt>
                <c:pt idx="169">
                  <c:v>0.99996282970496597</c:v>
                </c:pt>
                <c:pt idx="170">
                  <c:v>0.99996499429311403</c:v>
                </c:pt>
                <c:pt idx="171">
                  <c:v>0.99996703282616295</c:v>
                </c:pt>
                <c:pt idx="172">
                  <c:v>0.99996895264502195</c:v>
                </c:pt>
                <c:pt idx="173">
                  <c:v>0.99997076066308099</c:v>
                </c:pt>
                <c:pt idx="174">
                  <c:v>0.99997246339111301</c:v>
                </c:pt>
                <c:pt idx="175">
                  <c:v>0.999974066960721</c:v>
                </c:pt>
                <c:pt idx="176">
                  <c:v>0.99997557714642404</c:v>
                </c:pt>
                <c:pt idx="177">
                  <c:v>0.99997699938645501</c:v>
                </c:pt>
                <c:pt idx="178">
                  <c:v>0.99997833880234299</c:v>
                </c:pt>
                <c:pt idx="179">
                  <c:v>0.99997960021735899</c:v>
                </c:pt>
                <c:pt idx="180">
                  <c:v>0.99998078817388703</c:v>
                </c:pt>
                <c:pt idx="181">
                  <c:v>0.99998190694978295</c:v>
                </c:pt>
                <c:pt idx="182">
                  <c:v>0.999982960573779</c:v>
                </c:pt>
                <c:pt idx="183">
                  <c:v>0.99998395283999197</c:v>
                </c:pt>
                <c:pt idx="184">
                  <c:v>0.99998488732158597</c:v>
                </c:pt>
                <c:pt idx="185">
                  <c:v>0.99998576738364497</c:v>
                </c:pt>
                <c:pt idx="186">
                  <c:v>0.99998659619528396</c:v>
                </c:pt>
                <c:pt idx="187">
                  <c:v>0.99998737674106397</c:v>
                </c:pt>
                <c:pt idx="188">
                  <c:v>0.99998811183174197</c:v>
                </c:pt>
                <c:pt idx="189">
                  <c:v>0.99998880411438995</c:v>
                </c:pt>
                <c:pt idx="190">
                  <c:v>0.99998945608192802</c:v>
                </c:pt>
                <c:pt idx="191">
                  <c:v>0.99999007008210095</c:v>
                </c:pt>
                <c:pt idx="192">
                  <c:v>0.99999064832593498</c:v>
                </c:pt>
                <c:pt idx="193">
                  <c:v>0.99999119289569505</c:v>
                </c:pt>
                <c:pt idx="194">
                  <c:v>0.99999170575238805</c:v>
                </c:pt>
                <c:pt idx="195">
                  <c:v>0.99999218874282103</c:v>
                </c:pt>
                <c:pt idx="196">
                  <c:v>0.99999264360625195</c:v>
                </c:pt>
                <c:pt idx="197">
                  <c:v>0.99999307198065701</c:v>
                </c:pt>
                <c:pt idx="198">
                  <c:v>0.99999347540862105</c:v>
                </c:pt>
                <c:pt idx="199">
                  <c:v>0.99999385534289897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1520"/>
        <c:axId val="70103040"/>
      </c:lineChart>
      <c:catAx>
        <c:axId val="5001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0103040"/>
        <c:crosses val="autoZero"/>
        <c:auto val="1"/>
        <c:lblAlgn val="ctr"/>
        <c:lblOffset val="100"/>
        <c:noMultiLvlLbl val="0"/>
      </c:catAx>
      <c:valAx>
        <c:axId val="7010304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50011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 mistakes in tails'!$F$1</c:f>
              <c:strCache>
                <c:ptCount val="1"/>
                <c:pt idx="0">
                  <c:v>4.5</c:v>
                </c:pt>
              </c:strCache>
            </c:strRef>
          </c:tx>
          <c:marker>
            <c:symbol val="none"/>
          </c:marker>
          <c:cat>
            <c:numRef>
              <c:f>'No mistakes in tails'!$A$2:$A$201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'No mistakes in tails'!$F$2:$F$201</c:f>
              <c:numCache>
                <c:formatCode>0.000</c:formatCode>
                <c:ptCount val="200"/>
                <c:pt idx="0">
                  <c:v>0.45374565892824198</c:v>
                </c:pt>
                <c:pt idx="1">
                  <c:v>0.40801771174615997</c:v>
                </c:pt>
                <c:pt idx="2">
                  <c:v>0.36359817037847803</c:v>
                </c:pt>
                <c:pt idx="3">
                  <c:v>0.32119668592329398</c:v>
                </c:pt>
                <c:pt idx="4">
                  <c:v>0.28140235670456398</c:v>
                </c:pt>
                <c:pt idx="5">
                  <c:v>0.24465148361209599</c:v>
                </c:pt>
                <c:pt idx="6">
                  <c:v>0.21121515705678801</c:v>
                </c:pt>
                <c:pt idx="7">
                  <c:v>0.181205811510741</c:v>
                </c:pt>
                <c:pt idx="8">
                  <c:v>0.154598159014774</c:v>
                </c:pt>
                <c:pt idx="9">
                  <c:v>0.13125826706390001</c:v>
                </c:pt>
                <c:pt idx="10">
                  <c:v>0.11097489953360901</c:v>
                </c:pt>
                <c:pt idx="11">
                  <c:v>9.3488729469181006E-2</c:v>
                </c:pt>
                <c:pt idx="12">
                  <c:v>7.8516930085430994E-2</c:v>
                </c:pt>
                <c:pt idx="13">
                  <c:v>6.5772165015865899E-2</c:v>
                </c:pt>
                <c:pt idx="14">
                  <c:v>5.49761159952818E-2</c:v>
                </c:pt>
                <c:pt idx="15">
                  <c:v>4.5868274574101302E-2</c:v>
                </c:pt>
                <c:pt idx="16">
                  <c:v>3.8210960625889703E-2</c:v>
                </c:pt>
                <c:pt idx="17">
                  <c:v>3.1791533597820901E-2</c:v>
                </c:pt>
                <c:pt idx="18">
                  <c:v>2.6422644446364899E-2</c:v>
                </c:pt>
                <c:pt idx="19">
                  <c:v>2.1941212172283901E-2</c:v>
                </c:pt>
                <c:pt idx="20">
                  <c:v>1.8206643027783499E-2</c:v>
                </c:pt>
                <c:pt idx="21">
                  <c:v>1.5098664683364099E-2</c:v>
                </c:pt>
                <c:pt idx="22">
                  <c:v>1.2515029748535E-2</c:v>
                </c:pt>
                <c:pt idx="23">
                  <c:v>1.03692531216027E-2</c:v>
                </c:pt>
                <c:pt idx="24">
                  <c:v>8.5884821574732199E-3</c:v>
                </c:pt>
                <c:pt idx="25">
                  <c:v>7.1115528523458503E-3</c:v>
                </c:pt>
                <c:pt idx="26">
                  <c:v>5.8872544905583801E-3</c:v>
                </c:pt>
                <c:pt idx="27">
                  <c:v>4.8728054591041601E-3</c:v>
                </c:pt>
                <c:pt idx="28">
                  <c:v>4.0325309883356896E-3</c:v>
                </c:pt>
                <c:pt idx="29">
                  <c:v>3.3367269701198802E-3</c:v>
                </c:pt>
                <c:pt idx="30">
                  <c:v>2.7606928266160299E-3</c:v>
                </c:pt>
                <c:pt idx="31">
                  <c:v>2.2839023694121502E-3</c:v>
                </c:pt>
                <c:pt idx="32">
                  <c:v>1.8893218399683399E-3</c:v>
                </c:pt>
                <c:pt idx="33">
                  <c:v>1.5628194962130999E-3</c:v>
                </c:pt>
                <c:pt idx="34">
                  <c:v>1.2926790049295901E-3</c:v>
                </c:pt>
                <c:pt idx="35">
                  <c:v>1.0691910236004299E-3</c:v>
                </c:pt>
                <c:pt idx="36">
                  <c:v>8.8431241757056802E-4</c:v>
                </c:pt>
                <c:pt idx="37">
                  <c:v>7.3138237368952999E-4</c:v>
                </c:pt>
                <c:pt idx="38">
                  <c:v>6.0488622419968096E-4</c:v>
                </c:pt>
                <c:pt idx="39">
                  <c:v>5.0025917505018298E-4</c:v>
                </c:pt>
                <c:pt idx="40">
                  <c:v>4.13723340544726E-4</c:v>
                </c:pt>
                <c:pt idx="41">
                  <c:v>3.4215253030430099E-4</c:v>
                </c:pt>
                <c:pt idx="42">
                  <c:v>2.8296012894191098E-4</c:v>
                </c:pt>
                <c:pt idx="43">
                  <c:v>2.3400616968224401E-4</c:v>
                </c:pt>
                <c:pt idx="44">
                  <c:v>1.9352034680893899E-4</c:v>
                </c:pt>
                <c:pt idx="45">
                  <c:v>1.60038253966396E-4</c:v>
                </c:pt>
                <c:pt idx="46">
                  <c:v>1.3234859040711899E-4</c:v>
                </c:pt>
                <c:pt idx="47">
                  <c:v>1.0944945818434299E-4</c:v>
                </c:pt>
                <c:pt idx="48">
                  <c:v>9.0512191412748705E-5</c:v>
                </c:pt>
                <c:pt idx="49">
                  <c:v>7.48514239253041E-5</c:v>
                </c:pt>
                <c:pt idx="50">
                  <c:v>6.1900322418830106E-5</c:v>
                </c:pt>
                <c:pt idx="51">
                  <c:v>5.1190095732136197E-5</c:v>
                </c:pt>
                <c:pt idx="52">
                  <c:v>4.2333043362474997E-5</c:v>
                </c:pt>
                <c:pt idx="53">
                  <c:v>3.5008532863623202E-5</c:v>
                </c:pt>
                <c:pt idx="54">
                  <c:v>2.8951400721941501E-5</c:v>
                </c:pt>
                <c:pt idx="55">
                  <c:v>2.39423583106711E-5</c:v>
                </c:pt>
                <c:pt idx="56">
                  <c:v>1.9800056615755599E-5</c:v>
                </c:pt>
                <c:pt idx="57">
                  <c:v>1.6374523142643401E-5</c:v>
                </c:pt>
                <c:pt idx="58">
                  <c:v>1.3541733863202299E-5</c:v>
                </c:pt>
                <c:pt idx="59">
                  <c:v>1.1199124000187901E-5</c:v>
                </c:pt>
                <c:pt idx="60">
                  <c:v>9.2618753319578399E-6</c:v>
                </c:pt>
                <c:pt idx="61">
                  <c:v>7.6598457428881598E-6</c:v>
                </c:pt>
                <c:pt idx="62">
                  <c:v>6.3350299494726203E-6</c:v>
                </c:pt>
                <c:pt idx="63">
                  <c:v>5.23945953103559E-6</c:v>
                </c:pt>
                <c:pt idx="64">
                  <c:v>4.3334662773451596E-6</c:v>
                </c:pt>
                <c:pt idx="65">
                  <c:v>3.5842460048156499E-6</c:v>
                </c:pt>
                <c:pt idx="66">
                  <c:v>2.96467086179812E-6</c:v>
                </c:pt>
                <c:pt idx="67">
                  <c:v>2.4523071336046601E-6</c:v>
                </c:pt>
                <c:pt idx="68">
                  <c:v>2.0286029938149398E-6</c:v>
                </c:pt>
                <c:pt idx="69">
                  <c:v>1.67821679856393E-6</c:v>
                </c:pt>
                <c:pt idx="70">
                  <c:v>1.3884616070898E-6</c:v>
                </c:pt>
                <c:pt idx="71">
                  <c:v>1.1488458186602E-6</c:v>
                </c:pt>
                <c:pt idx="72">
                  <c:v>9.5069329518238301E-7</c:v>
                </c:pt>
                <c:pt idx="73">
                  <c:v>7.8682921615503998E-7</c:v>
                </c:pt>
                <c:pt idx="74">
                  <c:v>6.5132029221166097E-7</c:v>
                </c:pt>
                <c:pt idx="75">
                  <c:v>5.3925993142727602E-7</c:v>
                </c:pt>
                <c:pt idx="76">
                  <c:v>4.4659058001486597E-7</c:v>
                </c:pt>
                <c:pt idx="77">
                  <c:v>3.6995680492135798E-7</c:v>
                </c:pt>
                <c:pt idx="78">
                  <c:v>3.0658379885286402E-7</c:v>
                </c:pt>
                <c:pt idx="79">
                  <c:v>2.54176908701509E-7</c:v>
                </c:pt>
                <c:pt idx="80">
                  <c:v>2.10838549528556E-7</c:v>
                </c:pt>
                <c:pt idx="81">
                  <c:v>1.74999495734246E-7</c:v>
                </c:pt>
                <c:pt idx="82">
                  <c:v>1.4536206160230301E-7</c:v>
                </c:pt>
                <c:pt idx="83">
                  <c:v>1.2085311389089601E-7</c:v>
                </c:pt>
                <c:pt idx="84">
                  <c:v>1.00585215137479E-7</c:v>
                </c:pt>
                <c:pt idx="85">
                  <c:v>8.3824490740735197E-8</c:v>
                </c:pt>
                <c:pt idx="86">
                  <c:v>6.9964056337553398E-8</c:v>
                </c:pt>
                <c:pt idx="87">
                  <c:v>5.8502043320885899E-8</c:v>
                </c:pt>
                <c:pt idx="88">
                  <c:v>4.9023426835058097E-8</c:v>
                </c:pt>
                <c:pt idx="89">
                  <c:v>4.11849982664468E-8</c:v>
                </c:pt>
                <c:pt idx="90">
                  <c:v>3.4702938104619299E-8</c:v>
                </c:pt>
                <c:pt idx="91">
                  <c:v>2.93425392044763E-8</c:v>
                </c:pt>
                <c:pt idx="92">
                  <c:v>2.49097083427332E-8</c:v>
                </c:pt>
                <c:pt idx="93">
                  <c:v>2.1243938351565599E-8</c:v>
                </c:pt>
                <c:pt idx="94">
                  <c:v>1.82124963597434E-8</c:v>
                </c:pt>
                <c:pt idx="95">
                  <c:v>1.5705617705153101E-8</c:v>
                </c:pt>
                <c:pt idx="96">
                  <c:v>1.3632531496587499E-8</c:v>
                </c:pt>
                <c:pt idx="97">
                  <c:v>1.1918173915577901E-8</c:v>
                </c:pt>
                <c:pt idx="98">
                  <c:v>1.0500470251199101E-8</c:v>
                </c:pt>
                <c:pt idx="99">
                  <c:v>9.3280872538388093E-9</c:v>
                </c:pt>
                <c:pt idx="100">
                  <c:v>8.3585744235580598E-9</c:v>
                </c:pt>
                <c:pt idx="101">
                  <c:v>7.5568269314841192E-9</c:v>
                </c:pt>
                <c:pt idx="102">
                  <c:v>6.8938145185887096E-9</c:v>
                </c:pt>
                <c:pt idx="103">
                  <c:v>6.3455303469039103E-9</c:v>
                </c:pt>
                <c:pt idx="104">
                  <c:v>5.8921217424210096E-9</c:v>
                </c:pt>
                <c:pt idx="105">
                  <c:v>5.5171713549819201E-9</c:v>
                </c:pt>
                <c:pt idx="106">
                  <c:v>5.20710270687965E-9</c:v>
                </c:pt>
                <c:pt idx="107">
                  <c:v>4.9506886058391804E-9</c:v>
                </c:pt>
                <c:pt idx="108">
                  <c:v>4.7386446226392496E-9</c:v>
                </c:pt>
                <c:pt idx="109">
                  <c:v>4.5632929137162402E-9</c:v>
                </c:pt>
                <c:pt idx="110">
                  <c:v>4.41828421619435E-9</c:v>
                </c:pt>
                <c:pt idx="111">
                  <c:v>4.2983679491356902E-9</c:v>
                </c:pt>
                <c:pt idx="112">
                  <c:v>4.1992020966681901E-9</c:v>
                </c:pt>
                <c:pt idx="113">
                  <c:v>4.1171959891013803E-9</c:v>
                </c:pt>
                <c:pt idx="114">
                  <c:v>4.0493802893335499E-9</c:v>
                </c:pt>
                <c:pt idx="115">
                  <c:v>3.9932994769233501E-9</c:v>
                </c:pt>
                <c:pt idx="116">
                  <c:v>3.9469229368106101E-9</c:v>
                </c:pt>
                <c:pt idx="117">
                  <c:v>3.9085714333216801E-9</c:v>
                </c:pt>
                <c:pt idx="118">
                  <c:v>3.87685630717652E-9</c:v>
                </c:pt>
                <c:pt idx="119">
                  <c:v>3.8506291938981898E-9</c:v>
                </c:pt>
                <c:pt idx="120">
                  <c:v>3.8289404429923003E-9</c:v>
                </c:pt>
                <c:pt idx="121">
                  <c:v>3.8110047323075596E-9</c:v>
                </c:pt>
                <c:pt idx="122">
                  <c:v>3.7961726325171103E-9</c:v>
                </c:pt>
                <c:pt idx="123">
                  <c:v>3.7839070921067104E-9</c:v>
                </c:pt>
                <c:pt idx="124">
                  <c:v>3.7737639914207197E-9</c:v>
                </c:pt>
                <c:pt idx="125">
                  <c:v>3.7653760616529698E-9</c:v>
                </c:pt>
                <c:pt idx="126">
                  <c:v>3.7584395865092401E-9</c:v>
                </c:pt>
                <c:pt idx="127">
                  <c:v>3.7527034050256404E-9</c:v>
                </c:pt>
                <c:pt idx="128">
                  <c:v>3.7479598173487703E-9</c:v>
                </c:pt>
                <c:pt idx="129">
                  <c:v>3.7440370641875203E-9</c:v>
                </c:pt>
                <c:pt idx="130">
                  <c:v>3.7407931076271698E-9</c:v>
                </c:pt>
                <c:pt idx="131">
                  <c:v>3.7381104881166098E-9</c:v>
                </c:pt>
                <c:pt idx="132">
                  <c:v>3.73589207140709E-9</c:v>
                </c:pt>
                <c:pt idx="133">
                  <c:v>3.7340575314442997E-9</c:v>
                </c:pt>
                <c:pt idx="134">
                  <c:v>3.7325404418638599E-9</c:v>
                </c:pt>
                <c:pt idx="135">
                  <c:v>3.7312858707769801E-9</c:v>
                </c:pt>
                <c:pt idx="136">
                  <c:v>3.73024839175638E-9</c:v>
                </c:pt>
                <c:pt idx="137">
                  <c:v>3.7293904390031096E-9</c:v>
                </c:pt>
                <c:pt idx="138">
                  <c:v>3.7286809471365504E-9</c:v>
                </c:pt>
                <c:pt idx="139">
                  <c:v>3.7280942263564002E-9</c:v>
                </c:pt>
                <c:pt idx="140">
                  <c:v>3.7276090322476699E-9</c:v>
                </c:pt>
                <c:pt idx="141">
                  <c:v>3.7272077965472903E-9</c:v>
                </c:pt>
                <c:pt idx="142">
                  <c:v>3.7268759910196403E-9</c:v>
                </c:pt>
                <c:pt idx="143">
                  <c:v>3.7266016014075599E-9</c:v>
                </c:pt>
                <c:pt idx="144">
                  <c:v>3.72637469241135E-9</c:v>
                </c:pt>
                <c:pt idx="145">
                  <c:v>3.7261870479441599E-9</c:v>
                </c:pt>
                <c:pt idx="146">
                  <c:v>3.7260318736379102E-9</c:v>
                </c:pt>
                <c:pt idx="147">
                  <c:v>3.7259035508278701E-9</c:v>
                </c:pt>
                <c:pt idx="148">
                  <c:v>3.7257974331079004E-9</c:v>
                </c:pt>
                <c:pt idx="149">
                  <c:v>3.7257096780899996E-9</c:v>
                </c:pt>
                <c:pt idx="150">
                  <c:v>3.7256371082763298E-9</c:v>
                </c:pt>
                <c:pt idx="151">
                  <c:v>3.7255770960060004E-9</c:v>
                </c:pt>
                <c:pt idx="152">
                  <c:v>3.7255274683108403E-9</c:v>
                </c:pt>
                <c:pt idx="153">
                  <c:v>3.7254864282349903E-9</c:v>
                </c:pt>
                <c:pt idx="154">
                  <c:v>3.7254524897693704E-9</c:v>
                </c:pt>
                <c:pt idx="155">
                  <c:v>3.7254244240452097E-9</c:v>
                </c:pt>
                <c:pt idx="156">
                  <c:v>3.7254012148382404E-9</c:v>
                </c:pt>
                <c:pt idx="157">
                  <c:v>3.72538202177252E-9</c:v>
                </c:pt>
                <c:pt idx="158">
                  <c:v>3.72536614989149E-9</c:v>
                </c:pt>
                <c:pt idx="159">
                  <c:v>3.7253530244944999E-9</c:v>
                </c:pt>
                <c:pt idx="160">
                  <c:v>3.7253421703275501E-9</c:v>
                </c:pt>
                <c:pt idx="161">
                  <c:v>3.72533319437505E-9</c:v>
                </c:pt>
                <c:pt idx="162">
                  <c:v>3.7253257716291301E-9</c:v>
                </c:pt>
                <c:pt idx="163">
                  <c:v>3.7253196333215801E-9</c:v>
                </c:pt>
                <c:pt idx="164">
                  <c:v>3.7253145571920803E-9</c:v>
                </c:pt>
                <c:pt idx="165">
                  <c:v>3.7253103594404303E-9</c:v>
                </c:pt>
                <c:pt idx="166">
                  <c:v>3.7253068880713496E-9</c:v>
                </c:pt>
                <c:pt idx="167">
                  <c:v>3.7253040173909798E-9</c:v>
                </c:pt>
                <c:pt idx="168">
                  <c:v>3.7253016434556304E-9</c:v>
                </c:pt>
                <c:pt idx="169">
                  <c:v>3.7252996803081001E-9</c:v>
                </c:pt>
                <c:pt idx="170">
                  <c:v>3.7252980568653196E-9</c:v>
                </c:pt>
                <c:pt idx="171">
                  <c:v>3.7252967143444803E-9</c:v>
                </c:pt>
                <c:pt idx="172">
                  <c:v>3.7252956041346104E-9</c:v>
                </c:pt>
                <c:pt idx="173">
                  <c:v>3.7252946860364202E-9</c:v>
                </c:pt>
                <c:pt idx="174">
                  <c:v>3.7252939268067296E-9</c:v>
                </c:pt>
                <c:pt idx="175">
                  <c:v>3.7252932989547997E-9</c:v>
                </c:pt>
                <c:pt idx="176">
                  <c:v>3.7252927797469204E-9</c:v>
                </c:pt>
                <c:pt idx="177">
                  <c:v>3.7252923503832096E-9</c:v>
                </c:pt>
                <c:pt idx="178">
                  <c:v>3.7252919953169797E-9</c:v>
                </c:pt>
                <c:pt idx="179">
                  <c:v>3.7252917016917099E-9</c:v>
                </c:pt>
                <c:pt idx="180">
                  <c:v>3.7252914588756096E-9</c:v>
                </c:pt>
                <c:pt idx="181">
                  <c:v>3.7252912580766201E-9</c:v>
                </c:pt>
                <c:pt idx="182">
                  <c:v>3.7252910920240603E-9</c:v>
                </c:pt>
                <c:pt idx="183">
                  <c:v>3.7252909547053801E-9</c:v>
                </c:pt>
                <c:pt idx="184">
                  <c:v>3.7252908411484399E-9</c:v>
                </c:pt>
                <c:pt idx="185">
                  <c:v>3.7252907472415002E-9</c:v>
                </c:pt>
                <c:pt idx="186">
                  <c:v>3.7252906695842904E-9</c:v>
                </c:pt>
                <c:pt idx="187">
                  <c:v>3.7252906053649498E-9</c:v>
                </c:pt>
                <c:pt idx="188">
                  <c:v>3.7252905522581901E-9</c:v>
                </c:pt>
                <c:pt idx="189">
                  <c:v>3.7252905083410604E-9</c:v>
                </c:pt>
                <c:pt idx="190">
                  <c:v>3.7252904720233904E-9</c:v>
                </c:pt>
                <c:pt idx="191">
                  <c:v>3.7252904419901597E-9</c:v>
                </c:pt>
                <c:pt idx="192">
                  <c:v>3.7252904171539096E-9</c:v>
                </c:pt>
                <c:pt idx="193">
                  <c:v>3.7252903966153401E-9</c:v>
                </c:pt>
                <c:pt idx="194">
                  <c:v>3.7252903796307901E-9</c:v>
                </c:pt>
                <c:pt idx="195">
                  <c:v>3.72529036558526E-9</c:v>
                </c:pt>
                <c:pt idx="196">
                  <c:v>3.7252903539701702E-9</c:v>
                </c:pt>
                <c:pt idx="197">
                  <c:v>3.7252903443649803E-9</c:v>
                </c:pt>
                <c:pt idx="198">
                  <c:v>3.7252903364218701E-9</c:v>
                </c:pt>
                <c:pt idx="199">
                  <c:v>3.7252903298532504E-9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'No mistakes in tails'!$G$1</c:f>
              <c:strCache>
                <c:ptCount val="1"/>
                <c:pt idx="0">
                  <c:v>5.5</c:v>
                </c:pt>
              </c:strCache>
            </c:strRef>
          </c:tx>
          <c:marker>
            <c:symbol val="none"/>
          </c:marker>
          <c:cat>
            <c:numRef>
              <c:f>'No mistakes in tails'!$A$2:$A$201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'No mistakes in tails'!$G$2:$G$201</c:f>
              <c:numCache>
                <c:formatCode>0.000</c:formatCode>
                <c:ptCount val="200"/>
                <c:pt idx="0">
                  <c:v>0.466437514250852</c:v>
                </c:pt>
                <c:pt idx="1">
                  <c:v>0.433438955401865</c:v>
                </c:pt>
                <c:pt idx="2">
                  <c:v>0.40125968753343499</c:v>
                </c:pt>
                <c:pt idx="3">
                  <c:v>0.370115292934595</c:v>
                </c:pt>
                <c:pt idx="4">
                  <c:v>0.34018185629990799</c:v>
                </c:pt>
                <c:pt idx="5">
                  <c:v>0.31159878570560401</c:v>
                </c:pt>
                <c:pt idx="6">
                  <c:v>0.28447244662652499</c:v>
                </c:pt>
                <c:pt idx="7">
                  <c:v>0.25887947002813</c:v>
                </c:pt>
                <c:pt idx="8">
                  <c:v>0.23486936256277099</c:v>
                </c:pt>
                <c:pt idx="9">
                  <c:v>0.212466599257328</c:v>
                </c:pt>
                <c:pt idx="10">
                  <c:v>0.191672586460192</c:v>
                </c:pt>
                <c:pt idx="11">
                  <c:v>0.17246780963033001</c:v>
                </c:pt>
                <c:pt idx="12">
                  <c:v>0.154814325795115</c:v>
                </c:pt>
                <c:pt idx="13">
                  <c:v>0.138658576198186</c:v>
                </c:pt>
                <c:pt idx="14">
                  <c:v>0.123934398960569</c:v>
                </c:pt>
                <c:pt idx="15">
                  <c:v>0.110566076473073</c:v>
                </c:pt>
                <c:pt idx="16">
                  <c:v>9.8471258941121798E-2</c:v>
                </c:pt>
                <c:pt idx="17">
                  <c:v>8.7563638392888804E-2</c:v>
                </c:pt>
                <c:pt idx="18">
                  <c:v>7.7755289998664906E-2</c:v>
                </c:pt>
                <c:pt idx="19">
                  <c:v>6.8958638770914002E-2</c:v>
                </c:pt>
                <c:pt idx="20">
                  <c:v>6.1088043932334697E-2</c:v>
                </c:pt>
                <c:pt idx="21">
                  <c:v>5.4061018458728398E-2</c:v>
                </c:pt>
                <c:pt idx="22">
                  <c:v>4.7799117744500602E-2</c:v>
                </c:pt>
                <c:pt idx="23">
                  <c:v>4.2228540331461201E-2</c:v>
                </c:pt>
                <c:pt idx="24">
                  <c:v>3.7280486905988397E-2</c:v>
                </c:pt>
                <c:pt idx="25">
                  <c:v>3.2891322996743598E-2</c:v>
                </c:pt>
                <c:pt idx="26">
                  <c:v>2.9002587450517699E-2</c:v>
                </c:pt>
                <c:pt idx="27">
                  <c:v>2.55608839736301E-2</c:v>
                </c:pt>
                <c:pt idx="28">
                  <c:v>2.2517687639702098E-2</c:v>
                </c:pt>
                <c:pt idx="29">
                  <c:v>1.98290928535917E-2</c:v>
                </c:pt>
                <c:pt idx="30">
                  <c:v>1.7455525756951699E-2</c:v>
                </c:pt>
                <c:pt idx="31">
                  <c:v>1.5361428533419E-2</c:v>
                </c:pt>
                <c:pt idx="32">
                  <c:v>1.35149520157327E-2</c:v>
                </c:pt>
                <c:pt idx="33">
                  <c:v>1.18876350524401E-2</c:v>
                </c:pt>
                <c:pt idx="34">
                  <c:v>1.04541009003429E-2</c:v>
                </c:pt>
                <c:pt idx="35">
                  <c:v>9.1917661218126299E-3</c:v>
                </c:pt>
                <c:pt idx="36">
                  <c:v>8.0805666085816599E-3</c:v>
                </c:pt>
                <c:pt idx="37">
                  <c:v>7.1027024986850098E-3</c:v>
                </c:pt>
                <c:pt idx="38">
                  <c:v>6.24240276675464E-3</c:v>
                </c:pt>
                <c:pt idx="39">
                  <c:v>5.4857095432434997E-3</c:v>
                </c:pt>
                <c:pt idx="40">
                  <c:v>4.8202817018045598E-3</c:v>
                </c:pt>
                <c:pt idx="41">
                  <c:v>4.2352169006462399E-3</c:v>
                </c:pt>
                <c:pt idx="42">
                  <c:v>3.7208910357048098E-3</c:v>
                </c:pt>
                <c:pt idx="43">
                  <c:v>3.2688139303927301E-3</c:v>
                </c:pt>
                <c:pt idx="44">
                  <c:v>2.8715000240605599E-3</c:v>
                </c:pt>
                <c:pt idx="45">
                  <c:v>2.5223528098518998E-3</c:v>
                </c:pt>
                <c:pt idx="46">
                  <c:v>2.2155617972991399E-3</c:v>
                </c:pt>
                <c:pt idx="47">
                  <c:v>1.94601082424386E-3</c:v>
                </c:pt>
                <c:pt idx="48">
                  <c:v>1.7091966077002101E-3</c:v>
                </c:pt>
                <c:pt idx="49">
                  <c:v>1.50115649756006E-3</c:v>
                </c:pt>
                <c:pt idx="50">
                  <c:v>1.3184044757537799E-3</c:v>
                </c:pt>
                <c:pt idx="51">
                  <c:v>1.15787452316403E-3</c:v>
                </c:pt>
                <c:pt idx="52">
                  <c:v>1.0168705548196199E-3</c:v>
                </c:pt>
                <c:pt idx="53">
                  <c:v>8.9302219902920798E-4</c:v>
                </c:pt>
                <c:pt idx="54">
                  <c:v>7.84245767106061E-4</c:v>
                </c:pt>
                <c:pt idx="55">
                  <c:v>6.8870982657173101E-4</c:v>
                </c:pt>
                <c:pt idx="56">
                  <c:v>6.0480485191886902E-4</c:v>
                </c:pt>
                <c:pt idx="57">
                  <c:v>5.3111648309535104E-4</c:v>
                </c:pt>
                <c:pt idx="58">
                  <c:v>4.6640197293938397E-4</c:v>
                </c:pt>
                <c:pt idx="59">
                  <c:v>4.0956945104747799E-4</c:v>
                </c:pt>
                <c:pt idx="60">
                  <c:v>3.5965967326280599E-4</c:v>
                </c:pt>
                <c:pt idx="61">
                  <c:v>3.1582996343736098E-4</c:v>
                </c:pt>
                <c:pt idx="62">
                  <c:v>2.7734008767226701E-4</c:v>
                </c:pt>
                <c:pt idx="63">
                  <c:v>2.43539831206226E-4</c:v>
                </c:pt>
                <c:pt idx="64">
                  <c:v>2.1385807482370901E-4</c:v>
                </c:pt>
                <c:pt idx="65">
                  <c:v>1.8779319140215401E-4</c:v>
                </c:pt>
                <c:pt idx="66">
                  <c:v>1.6490460430203301E-4</c:v>
                </c:pt>
                <c:pt idx="67">
                  <c:v>1.44805367997085E-4</c:v>
                </c:pt>
                <c:pt idx="68">
                  <c:v>1.2715564789479001E-4</c:v>
                </c:pt>
                <c:pt idx="69">
                  <c:v>1.11656990938669E-4</c:v>
                </c:pt>
                <c:pt idx="70">
                  <c:v>9.80472915228463E-5</c:v>
                </c:pt>
                <c:pt idx="71">
                  <c:v>8.6096368674182204E-5</c:v>
                </c:pt>
                <c:pt idx="72">
                  <c:v>7.5602080538357801E-5</c:v>
                </c:pt>
                <c:pt idx="73">
                  <c:v>6.6386911096077703E-5</c:v>
                </c:pt>
                <c:pt idx="74">
                  <c:v>5.8294971870665699E-5</c:v>
                </c:pt>
                <c:pt idx="75">
                  <c:v>5.1189368290743301E-5</c:v>
                </c:pt>
                <c:pt idx="76">
                  <c:v>4.4949886449866798E-5</c:v>
                </c:pt>
                <c:pt idx="77">
                  <c:v>3.9470961355563698E-5</c:v>
                </c:pt>
                <c:pt idx="78">
                  <c:v>3.4659892468749302E-5</c:v>
                </c:pt>
                <c:pt idx="79">
                  <c:v>3.04352764769665E-5</c:v>
                </c:pt>
                <c:pt idx="80">
                  <c:v>2.6725630888454101E-5</c:v>
                </c:pt>
                <c:pt idx="81">
                  <c:v>2.3468185238129499E-5</c:v>
                </c:pt>
                <c:pt idx="82">
                  <c:v>2.0607819513704501E-5</c:v>
                </c:pt>
                <c:pt idx="83">
                  <c:v>1.8096131886612201E-5</c:v>
                </c:pt>
                <c:pt idx="84">
                  <c:v>1.5890620009180598E-5</c:v>
                </c:pt>
                <c:pt idx="85">
                  <c:v>1.39539620525132E-5</c:v>
                </c:pt>
                <c:pt idx="86">
                  <c:v>1.2253385340650699E-5</c:v>
                </c:pt>
                <c:pt idx="87">
                  <c:v>1.07601119137387E-5</c:v>
                </c:pt>
                <c:pt idx="88">
                  <c:v>9.4488716507753906E-6</c:v>
                </c:pt>
                <c:pt idx="89">
                  <c:v>8.2974747227118297E-6</c:v>
                </c:pt>
                <c:pt idx="90">
                  <c:v>7.2864361483619504E-6</c:v>
                </c:pt>
                <c:pt idx="91">
                  <c:v>6.3986461054675002E-6</c:v>
                </c:pt>
                <c:pt idx="92">
                  <c:v>5.6190804221819499E-6</c:v>
                </c:pt>
                <c:pt idx="93">
                  <c:v>4.9345463531269802E-6</c:v>
                </c:pt>
                <c:pt idx="94">
                  <c:v>4.3334593404662997E-6</c:v>
                </c:pt>
                <c:pt idx="95">
                  <c:v>3.80564698416685E-6</c:v>
                </c:pt>
                <c:pt idx="96">
                  <c:v>3.3421769055909401E-6</c:v>
                </c:pt>
                <c:pt idx="97">
                  <c:v>2.9352055925343298E-6</c:v>
                </c:pt>
                <c:pt idx="98">
                  <c:v>2.5778456686119701E-6</c:v>
                </c:pt>
                <c:pt idx="99">
                  <c:v>2.2640493414671899E-6</c:v>
                </c:pt>
                <c:pt idx="100">
                  <c:v>1.9885060579085499E-6</c:v>
                </c:pt>
                <c:pt idx="101">
                  <c:v>1.7465526343761001E-6</c:v>
                </c:pt>
                <c:pt idx="102">
                  <c:v>1.5340943421608099E-6</c:v>
                </c:pt>
                <c:pt idx="103">
                  <c:v>1.3475356121154701E-6</c:v>
                </c:pt>
                <c:pt idx="104">
                  <c:v>1.1837191863301901E-6</c:v>
                </c:pt>
                <c:pt idx="105">
                  <c:v>1.0398726871514801E-6</c:v>
                </c:pt>
                <c:pt idx="106">
                  <c:v>9.1356169941595703E-7</c:v>
                </c:pt>
                <c:pt idx="107">
                  <c:v>8.0264857196898902E-7</c:v>
                </c:pt>
                <c:pt idx="108">
                  <c:v>7.0525624130823203E-7</c:v>
                </c:pt>
                <c:pt idx="109">
                  <c:v>6.1973646516848597E-7</c:v>
                </c:pt>
                <c:pt idx="110">
                  <c:v>5.4464192848362499E-7</c:v>
                </c:pt>
                <c:pt idx="111">
                  <c:v>4.7870174968684902E-7</c:v>
                </c:pt>
                <c:pt idx="112">
                  <c:v>4.20799972848895E-7</c:v>
                </c:pt>
                <c:pt idx="113">
                  <c:v>3.6995668167987898E-7</c:v>
                </c:pt>
                <c:pt idx="114">
                  <c:v>3.2531141578736503E-7</c:v>
                </c:pt>
                <c:pt idx="115">
                  <c:v>2.8610860854275499E-7</c:v>
                </c:pt>
                <c:pt idx="116">
                  <c:v>2.5168480011862499E-7</c:v>
                </c:pt>
                <c:pt idx="117">
                  <c:v>2.2145740929993E-7</c:v>
                </c:pt>
                <c:pt idx="118">
                  <c:v>1.9491487405109201E-7</c:v>
                </c:pt>
                <c:pt idx="119">
                  <c:v>1.71607993983925E-7</c:v>
                </c:pt>
                <c:pt idx="120">
                  <c:v>1.5114232821128799E-7</c:v>
                </c:pt>
                <c:pt idx="121">
                  <c:v>1.33171519931804E-7</c:v>
                </c:pt>
                <c:pt idx="122">
                  <c:v>1.17391434773999E-7</c:v>
                </c:pt>
                <c:pt idx="123">
                  <c:v>1.0353501369991199E-7</c:v>
                </c:pt>
                <c:pt idx="124">
                  <c:v>9.1367753360814005E-8</c:v>
                </c:pt>
                <c:pt idx="125">
                  <c:v>8.0683737416303798E-8</c:v>
                </c:pt>
                <c:pt idx="126">
                  <c:v>7.1302151652288602E-8</c:v>
                </c:pt>
                <c:pt idx="127">
                  <c:v>6.3064223920874106E-8</c:v>
                </c:pt>
                <c:pt idx="128">
                  <c:v>5.5830537114700702E-8</c:v>
                </c:pt>
                <c:pt idx="129">
                  <c:v>4.9478669701305501E-8</c:v>
                </c:pt>
                <c:pt idx="130">
                  <c:v>4.3901123886624597E-8</c:v>
                </c:pt>
                <c:pt idx="131">
                  <c:v>3.90035063444172E-8</c:v>
                </c:pt>
                <c:pt idx="132">
                  <c:v>3.4702930722797501E-8</c:v>
                </c:pt>
                <c:pt idx="133">
                  <c:v>3.0926614892264499E-8</c:v>
                </c:pt>
                <c:pt idx="134">
                  <c:v>2.7610649195441701E-8</c:v>
                </c:pt>
                <c:pt idx="135">
                  <c:v>2.4698914852647499E-8</c:v>
                </c:pt>
                <c:pt idx="136">
                  <c:v>2.21421342186708E-8</c:v>
                </c:pt>
                <c:pt idx="137">
                  <c:v>1.9897036817495E-8</c:v>
                </c:pt>
                <c:pt idx="138">
                  <c:v>1.7925627041140799E-8</c:v>
                </c:pt>
                <c:pt idx="139">
                  <c:v>1.6194541119313001E-8</c:v>
                </c:pt>
                <c:pt idx="140">
                  <c:v>1.46744824773495E-8</c:v>
                </c:pt>
                <c:pt idx="141">
                  <c:v>1.3339725926587201E-8</c:v>
                </c:pt>
                <c:pt idx="142">
                  <c:v>1.21676822961639E-8</c:v>
                </c:pt>
                <c:pt idx="143">
                  <c:v>1.11385161381768E-8</c:v>
                </c:pt>
                <c:pt idx="144">
                  <c:v>1.0234810036314901E-8</c:v>
                </c:pt>
                <c:pt idx="145">
                  <c:v>9.4412698367931706E-9</c:v>
                </c:pt>
                <c:pt idx="146">
                  <c:v>8.7444658129744305E-9</c:v>
                </c:pt>
                <c:pt idx="147">
                  <c:v>8.1326053832010097E-9</c:v>
                </c:pt>
                <c:pt idx="148">
                  <c:v>7.5953335353561693E-9</c:v>
                </c:pt>
                <c:pt idx="149">
                  <c:v>7.1235575805797599E-9</c:v>
                </c:pt>
                <c:pt idx="150">
                  <c:v>6.7092932703043301E-9</c:v>
                </c:pt>
                <c:pt idx="151">
                  <c:v>6.3455296723252102E-9</c:v>
                </c:pt>
                <c:pt idx="152">
                  <c:v>6.0261105190938499E-9</c:v>
                </c:pt>
                <c:pt idx="153">
                  <c:v>5.7456300201945196E-9</c:v>
                </c:pt>
                <c:pt idx="154">
                  <c:v>5.4993413757559002E-9</c:v>
                </c:pt>
                <c:pt idx="155">
                  <c:v>5.28307644249476E-9</c:v>
                </c:pt>
                <c:pt idx="156">
                  <c:v>5.0931751928353198E-9</c:v>
                </c:pt>
                <c:pt idx="157">
                  <c:v>4.9264237732840903E-9</c:v>
                </c:pt>
                <c:pt idx="158">
                  <c:v>4.7800001137715502E-9</c:v>
                </c:pt>
                <c:pt idx="159">
                  <c:v>4.6514261674631302E-9</c:v>
                </c:pt>
                <c:pt idx="160">
                  <c:v>4.5385259727554901E-9</c:v>
                </c:pt>
                <c:pt idx="161">
                  <c:v>4.4393888277068803E-9</c:v>
                </c:pt>
                <c:pt idx="162">
                  <c:v>4.35233695367257E-9</c:v>
                </c:pt>
                <c:pt idx="163">
                  <c:v>4.2758971008908702E-9</c:v>
                </c:pt>
                <c:pt idx="164">
                  <c:v>4.2087756154778002E-9</c:v>
                </c:pt>
                <c:pt idx="165">
                  <c:v>4.1498365458691303E-9</c:v>
                </c:pt>
                <c:pt idx="166">
                  <c:v>4.0980824181869599E-9</c:v>
                </c:pt>
                <c:pt idx="167">
                  <c:v>4.0526373551771499E-9</c:v>
                </c:pt>
                <c:pt idx="168">
                  <c:v>4.0127322530251996E-9</c:v>
                </c:pt>
                <c:pt idx="169">
                  <c:v>3.9776917651861297E-9</c:v>
                </c:pt>
                <c:pt idx="170">
                  <c:v>3.9469228729448701E-9</c:v>
                </c:pt>
                <c:pt idx="171">
                  <c:v>3.9199048492776703E-9</c:v>
                </c:pt>
                <c:pt idx="172">
                  <c:v>3.8961804461645201E-9</c:v>
                </c:pt>
                <c:pt idx="173">
                  <c:v>3.8753481562085804E-9</c:v>
                </c:pt>
                <c:pt idx="174">
                  <c:v>3.85705541759946E-9</c:v>
                </c:pt>
                <c:pt idx="175">
                  <c:v>3.84099264742259E-9</c:v>
                </c:pt>
                <c:pt idx="176">
                  <c:v>3.8268880023354204E-9</c:v>
                </c:pt>
                <c:pt idx="177">
                  <c:v>3.8145027779411503E-9</c:v>
                </c:pt>
                <c:pt idx="178">
                  <c:v>3.8036273689997704E-9</c:v>
                </c:pt>
                <c:pt idx="179">
                  <c:v>3.7940777221078898E-9</c:v>
                </c:pt>
                <c:pt idx="180">
                  <c:v>3.7856922208130904E-9</c:v>
                </c:pt>
                <c:pt idx="181">
                  <c:v>3.7783289504470802E-9</c:v>
                </c:pt>
                <c:pt idx="182">
                  <c:v>3.7718632963881399E-9</c:v>
                </c:pt>
                <c:pt idx="183">
                  <c:v>3.7661858351064304E-9</c:v>
                </c:pt>
                <c:pt idx="184">
                  <c:v>3.76120048230044E-9</c:v>
                </c:pt>
                <c:pt idx="185">
                  <c:v>3.75682286678411E-9</c:v>
                </c:pt>
                <c:pt idx="186">
                  <c:v>3.7529789026045399E-9</c:v>
                </c:pt>
                <c:pt idx="187">
                  <c:v>3.7496035352250296E-9</c:v>
                </c:pt>
                <c:pt idx="188">
                  <c:v>3.74663964055422E-9</c:v>
                </c:pt>
                <c:pt idx="189">
                  <c:v>3.7440370581885104E-9</c:v>
                </c:pt>
                <c:pt idx="190">
                  <c:v>3.7417517425067701E-9</c:v>
                </c:pt>
                <c:pt idx="191">
                  <c:v>3.7397450172503203E-9</c:v>
                </c:pt>
                <c:pt idx="192">
                  <c:v>3.7379829209731996E-9</c:v>
                </c:pt>
                <c:pt idx="193">
                  <c:v>3.7364356322848802E-9</c:v>
                </c:pt>
                <c:pt idx="194">
                  <c:v>3.7350769651586503E-9</c:v>
                </c:pt>
                <c:pt idx="195">
                  <c:v>3.7338839257640902E-9</c:v>
                </c:pt>
                <c:pt idx="196">
                  <c:v>3.73283632332382E-9</c:v>
                </c:pt>
                <c:pt idx="197">
                  <c:v>3.7319164284084699E-9</c:v>
                </c:pt>
                <c:pt idx="198">
                  <c:v>3.7311086728871399E-9</c:v>
                </c:pt>
                <c:pt idx="199">
                  <c:v>3.7303993864552401E-9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'No mistakes in tails'!$H$1</c:f>
              <c:strCache>
                <c:ptCount val="1"/>
                <c:pt idx="0">
                  <c:v>6.5</c:v>
                </c:pt>
              </c:strCache>
            </c:strRef>
          </c:tx>
          <c:marker>
            <c:symbol val="none"/>
          </c:marker>
          <c:cat>
            <c:numRef>
              <c:f>'No mistakes in tails'!$A$2:$A$201</c:f>
              <c:numCache>
                <c:formatCode>General</c:formatCode>
                <c:ptCount val="2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</c:numCache>
            </c:numRef>
          </c:cat>
          <c:val>
            <c:numRef>
              <c:f>'No mistakes in tails'!$H$2:$H$201</c:f>
              <c:numCache>
                <c:formatCode>0.000</c:formatCode>
                <c:ptCount val="200"/>
                <c:pt idx="0">
                  <c:v>0.52912788902133201</c:v>
                </c:pt>
                <c:pt idx="1">
                  <c:v>0.55885055559384</c:v>
                </c:pt>
                <c:pt idx="2">
                  <c:v>0.58888127069535201</c:v>
                </c:pt>
                <c:pt idx="3">
                  <c:v>0.618888529422155</c:v>
                </c:pt>
                <c:pt idx="4">
                  <c:v>0.64852187204351697</c:v>
                </c:pt>
                <c:pt idx="5">
                  <c:v>0.67744041912416997</c:v>
                </c:pt>
                <c:pt idx="6">
                  <c:v>0.70533813800360501</c:v>
                </c:pt>
                <c:pt idx="7">
                  <c:v>0.73196162189837599</c:v>
                </c:pt>
                <c:pt idx="8">
                  <c:v>0.75711895086321501</c:v>
                </c:pt>
                <c:pt idx="9">
                  <c:v>0.78068060409874995</c:v>
                </c:pt>
                <c:pt idx="10">
                  <c:v>0.80257464607767504</c:v>
                </c:pt>
                <c:pt idx="11">
                  <c:v>0.822778661043714</c:v>
                </c:pt>
                <c:pt idx="12">
                  <c:v>0.84131038288682503</c:v>
                </c:pt>
                <c:pt idx="13">
                  <c:v>0.858218418987998</c:v>
                </c:pt>
                <c:pt idx="14">
                  <c:v>0.87357383346172202</c:v>
                </c:pt>
                <c:pt idx="15">
                  <c:v>0.88746294678644999</c:v>
                </c:pt>
                <c:pt idx="16">
                  <c:v>0.89998143501501005</c:v>
                </c:pt>
                <c:pt idx="17">
                  <c:v>0.911229659518215</c:v>
                </c:pt>
                <c:pt idx="18">
                  <c:v>0.92130908543179602</c:v>
                </c:pt>
                <c:pt idx="19">
                  <c:v>0.93031962212556396</c:v>
                </c:pt>
                <c:pt idx="20">
                  <c:v>0.93835772057074895</c:v>
                </c:pt>
                <c:pt idx="21">
                  <c:v>0.94551507705118798</c:v>
                </c:pt>
                <c:pt idx="22">
                  <c:v>0.95187781245787895</c:v>
                </c:pt>
                <c:pt idx="23">
                  <c:v>0.95752601716943897</c:v>
                </c:pt>
                <c:pt idx="24">
                  <c:v>0.96253357109899196</c:v>
                </c:pt>
                <c:pt idx="25">
                  <c:v>0.96696816592211199</c:v>
                </c:pt>
                <c:pt idx="26">
                  <c:v>0.97089147148562605</c:v>
                </c:pt>
                <c:pt idx="27">
                  <c:v>0.97435940096877205</c:v>
                </c:pt>
                <c:pt idx="28">
                  <c:v>0.97742243972607301</c:v>
                </c:pt>
                <c:pt idx="29">
                  <c:v>0.980126011151772</c:v>
                </c:pt>
                <c:pt idx="30">
                  <c:v>0.98251085715725694</c:v>
                </c:pt>
                <c:pt idx="31">
                  <c:v>0.98461343369005805</c:v>
                </c:pt>
                <c:pt idx="32">
                  <c:v>0.98646627329311598</c:v>
                </c:pt>
                <c:pt idx="33">
                  <c:v>0.98809835789114797</c:v>
                </c:pt>
                <c:pt idx="34">
                  <c:v>0.98953545928827802</c:v>
                </c:pt>
                <c:pt idx="35">
                  <c:v>0.99080045979984099</c:v>
                </c:pt>
                <c:pt idx="36">
                  <c:v>0.99191364909878299</c:v>
                </c:pt>
                <c:pt idx="37">
                  <c:v>0.99289299691566102</c:v>
                </c:pt>
                <c:pt idx="38">
                  <c:v>0.99375440195520703</c:v>
                </c:pt>
                <c:pt idx="39">
                  <c:v>0.99451191789067095</c:v>
                </c:pt>
                <c:pt idx="40">
                  <c:v>0.99517795762371097</c:v>
                </c:pt>
                <c:pt idx="41">
                  <c:v>0.99576347719519698</c:v>
                </c:pt>
                <c:pt idx="42">
                  <c:v>0.99627814083437904</c:v>
                </c:pt>
                <c:pt idx="43">
                  <c:v>0.99673046866654702</c:v>
                </c:pt>
                <c:pt idx="44">
                  <c:v>0.99712796858272501</c:v>
                </c:pt>
                <c:pt idx="45">
                  <c:v>0.99747725372434004</c:v>
                </c:pt>
                <c:pt idx="46">
                  <c:v>0.99778414696300799</c:v>
                </c:pt>
                <c:pt idx="47">
                  <c:v>0.99805377366911197</c:v>
                </c:pt>
                <c:pt idx="48">
                  <c:v>0.99829064396923906</c:v>
                </c:pt>
                <c:pt idx="49">
                  <c:v>0.99849872559640696</c:v>
                </c:pt>
                <c:pt idx="50">
                  <c:v>0.99868150834164204</c:v>
                </c:pt>
                <c:pt idx="51">
                  <c:v>0.99884206102312401</c:v>
                </c:pt>
                <c:pt idx="52">
                  <c:v>0.998983081801322</c:v>
                </c:pt>
                <c:pt idx="53">
                  <c:v>0.99910694258618205</c:v>
                </c:pt>
                <c:pt idx="54">
                  <c:v>0.99921572820596505</c:v>
                </c:pt>
                <c:pt idx="55">
                  <c:v>0.99931127093703398</c:v>
                </c:pt>
                <c:pt idx="56">
                  <c:v>0.99939518092957003</c:v>
                </c:pt>
                <c:pt idx="57">
                  <c:v>0.99946887300587495</c:v>
                </c:pt>
                <c:pt idx="58">
                  <c:v>0.99953359025505195</c:v>
                </c:pt>
                <c:pt idx="59">
                  <c:v>0.99959042480037097</c:v>
                </c:pt>
                <c:pt idx="60">
                  <c:v>0.99964033607293301</c:v>
                </c:pt>
                <c:pt idx="61">
                  <c:v>0.99968416688705597</c:v>
                </c:pt>
                <c:pt idx="62">
                  <c:v>0.99972265757873302</c:v>
                </c:pt>
                <c:pt idx="63">
                  <c:v>0.99975645843814998</c:v>
                </c:pt>
                <c:pt idx="64">
                  <c:v>0.99978614064022897</c:v>
                </c:pt>
                <c:pt idx="65">
                  <c:v>0.99981220585323005</c:v>
                </c:pt>
                <c:pt idx="66">
                  <c:v>0.99983509468416598</c:v>
                </c:pt>
                <c:pt idx="67">
                  <c:v>0.999855194100987</c:v>
                </c:pt>
                <c:pt idx="68">
                  <c:v>0.999872843954837</c:v>
                </c:pt>
                <c:pt idx="69">
                  <c:v>0.99988834271099103</c:v>
                </c:pt>
                <c:pt idx="70">
                  <c:v>0.99990195248407099</c:v>
                </c:pt>
                <c:pt idx="71">
                  <c:v>0.99991390346170705</c:v>
                </c:pt>
                <c:pt idx="72">
                  <c:v>0.999924397790666</c:v>
                </c:pt>
                <c:pt idx="73">
                  <c:v>0.99993361299059402</c:v>
                </c:pt>
                <c:pt idx="74">
                  <c:v>0.999941704952646</c:v>
                </c:pt>
                <c:pt idx="75">
                  <c:v>0.99994881057337104</c:v>
                </c:pt>
                <c:pt idx="76">
                  <c:v>0.99995505006813701</c:v>
                </c:pt>
                <c:pt idx="77">
                  <c:v>0.99996052900301602</c:v>
                </c:pt>
                <c:pt idx="78">
                  <c:v>0.99996534007934601</c:v>
                </c:pt>
                <c:pt idx="79">
                  <c:v>0.99996956470103304</c:v>
                </c:pt>
                <c:pt idx="80">
                  <c:v>0.99997327435100403</c:v>
                </c:pt>
                <c:pt idx="81">
                  <c:v>0.99997653180005197</c:v>
                </c:pt>
                <c:pt idx="82">
                  <c:v>0.99997939216843001</c:v>
                </c:pt>
                <c:pt idx="83">
                  <c:v>0.999981903858146</c:v>
                </c:pt>
                <c:pt idx="84">
                  <c:v>0.99998410937168203</c:v>
                </c:pt>
                <c:pt idx="85">
                  <c:v>0.99998604603096697</c:v>
                </c:pt>
                <c:pt idx="86">
                  <c:v>0.999987746608752</c:v>
                </c:pt>
                <c:pt idx="87">
                  <c:v>0.99998923988305499</c:v>
                </c:pt>
                <c:pt idx="88">
                  <c:v>0.99999055112403901</c:v>
                </c:pt>
                <c:pt idx="89">
                  <c:v>0.999991702521565</c:v>
                </c:pt>
                <c:pt idx="90">
                  <c:v>0.99999271356064001</c:v>
                </c:pt>
                <c:pt idx="91">
                  <c:v>0.99999360135110504</c:v>
                </c:pt>
                <c:pt idx="92">
                  <c:v>0.99999438091714599</c:v>
                </c:pt>
                <c:pt idx="93">
                  <c:v>0.99999506545152195</c:v>
                </c:pt>
                <c:pt idx="94">
                  <c:v>0.99999566653879701</c:v>
                </c:pt>
                <c:pt idx="95">
                  <c:v>0.99999619435137999</c:v>
                </c:pt>
                <c:pt idx="96">
                  <c:v>0.99999665782165603</c:v>
                </c:pt>
                <c:pt idx="97">
                  <c:v>0.99999706479313999</c:v>
                </c:pt>
                <c:pt idx="98">
                  <c:v>0.99999742215321397</c:v>
                </c:pt>
                <c:pt idx="99">
                  <c:v>0.99999773594967201</c:v>
                </c:pt>
                <c:pt idx="100">
                  <c:v>0.99999801149306999</c:v>
                </c:pt>
                <c:pt idx="101">
                  <c:v>0.99999825344659399</c:v>
                </c:pt>
                <c:pt idx="102">
                  <c:v>0.99999846590497599</c:v>
                </c:pt>
                <c:pt idx="103">
                  <c:v>0.99999865246378405</c:v>
                </c:pt>
                <c:pt idx="104">
                  <c:v>0.99999881628027898</c:v>
                </c:pt>
                <c:pt idx="105">
                  <c:v>0.99999896012683898</c:v>
                </c:pt>
                <c:pt idx="106">
                  <c:v>0.99999908643788105</c:v>
                </c:pt>
                <c:pt idx="107">
                  <c:v>0.99999919735105602</c:v>
                </c:pt>
                <c:pt idx="108">
                  <c:v>0.99999929474342897</c:v>
                </c:pt>
                <c:pt idx="109">
                  <c:v>0.99999938026324298</c:v>
                </c:pt>
                <c:pt idx="110">
                  <c:v>0.99999945535781298</c:v>
                </c:pt>
                <c:pt idx="111">
                  <c:v>0.99999952129802105</c:v>
                </c:pt>
                <c:pt idx="112">
                  <c:v>0.99999957919982396</c:v>
                </c:pt>
                <c:pt idx="113">
                  <c:v>0.99999963004313797</c:v>
                </c:pt>
                <c:pt idx="114">
                  <c:v>0.99999967468842499</c:v>
                </c:pt>
                <c:pt idx="115">
                  <c:v>0.99999971389124998</c:v>
                </c:pt>
                <c:pt idx="116">
                  <c:v>0.99999974831507399</c:v>
                </c:pt>
                <c:pt idx="117">
                  <c:v>0.99999977854248001</c:v>
                </c:pt>
                <c:pt idx="118">
                  <c:v>0.99999980508502695</c:v>
                </c:pt>
                <c:pt idx="119">
                  <c:v>0.99999982839191903</c:v>
                </c:pt>
                <c:pt idx="120">
                  <c:v>0.99999984885759396</c:v>
                </c:pt>
                <c:pt idx="121">
                  <c:v>0.99999986682841202</c:v>
                </c:pt>
                <c:pt idx="122">
                  <c:v>0.99999988260850503</c:v>
                </c:pt>
                <c:pt idx="123">
                  <c:v>0.99999989646493304</c:v>
                </c:pt>
                <c:pt idx="124">
                  <c:v>0.99999990863219901</c:v>
                </c:pt>
                <c:pt idx="125">
                  <c:v>0.99999991931622001</c:v>
                </c:pt>
                <c:pt idx="126">
                  <c:v>0.99999992869781096</c:v>
                </c:pt>
                <c:pt idx="127">
                  <c:v>0.99999993693574296</c:v>
                </c:pt>
                <c:pt idx="128">
                  <c:v>0.99999994416943405</c:v>
                </c:pt>
                <c:pt idx="129">
                  <c:v>0.99999995052130397</c:v>
                </c:pt>
                <c:pt idx="130">
                  <c:v>0.99999995609885295</c:v>
                </c:pt>
                <c:pt idx="131">
                  <c:v>0.99999996099647304</c:v>
                </c:pt>
                <c:pt idx="132">
                  <c:v>0.99999996529705104</c:v>
                </c:pt>
                <c:pt idx="133">
                  <c:v>0.99999996907336897</c:v>
                </c:pt>
                <c:pt idx="134">
                  <c:v>0.99999997238933702</c:v>
                </c:pt>
                <c:pt idx="135">
                  <c:v>0.99999997530107299</c:v>
                </c:pt>
                <c:pt idx="136">
                  <c:v>0.99999997785785499</c:v>
                </c:pt>
                <c:pt idx="137">
                  <c:v>0.99999998010295299</c:v>
                </c:pt>
                <c:pt idx="138">
                  <c:v>0.99999998207436402</c:v>
                </c:pt>
                <c:pt idx="139">
                  <c:v>0.99999998380545096</c:v>
                </c:pt>
                <c:pt idx="140">
                  <c:v>0.99999998532551104</c:v>
                </c:pt>
                <c:pt idx="141">
                  <c:v>0.99999998666026801</c:v>
                </c:pt>
                <c:pt idx="142">
                  <c:v>0.99999998783231203</c:v>
                </c:pt>
                <c:pt idx="143">
                  <c:v>0.99999998886147901</c:v>
                </c:pt>
                <c:pt idx="144">
                  <c:v>0.999999989765186</c:v>
                </c:pt>
                <c:pt idx="145">
                  <c:v>0.99999999055872701</c:v>
                </c:pt>
                <c:pt idx="146">
                  <c:v>0.99999999125553096</c:v>
                </c:pt>
                <c:pt idx="147">
                  <c:v>0.99999999186739197</c:v>
                </c:pt>
                <c:pt idx="148">
                  <c:v>0.99999999240466397</c:v>
                </c:pt>
                <c:pt idx="149">
                  <c:v>0.99999999287644004</c:v>
                </c:pt>
                <c:pt idx="150">
                  <c:v>0.99999999329070499</c:v>
                </c:pt>
                <c:pt idx="151">
                  <c:v>0.99999999365446901</c:v>
                </c:pt>
                <c:pt idx="152">
                  <c:v>0.99999999397388795</c:v>
                </c:pt>
                <c:pt idx="153">
                  <c:v>0.99999999425436903</c:v>
                </c:pt>
                <c:pt idx="154">
                  <c:v>0.99999999450065802</c:v>
                </c:pt>
                <c:pt idx="155">
                  <c:v>0.99999999471692302</c:v>
                </c:pt>
                <c:pt idx="156">
                  <c:v>0.99999999490682401</c:v>
                </c:pt>
                <c:pt idx="157">
                  <c:v>0.99999999507357495</c:v>
                </c:pt>
                <c:pt idx="158">
                  <c:v>0.99999999521999905</c:v>
                </c:pt>
                <c:pt idx="159">
                  <c:v>0.99999999534857298</c:v>
                </c:pt>
                <c:pt idx="160">
                  <c:v>0.999999995461474</c:v>
                </c:pt>
                <c:pt idx="161">
                  <c:v>0.99999999556061103</c:v>
                </c:pt>
                <c:pt idx="162">
                  <c:v>0.99999999564766295</c:v>
                </c:pt>
                <c:pt idx="163">
                  <c:v>0.99999999572410303</c:v>
                </c:pt>
                <c:pt idx="164">
                  <c:v>0.99999999579122401</c:v>
                </c:pt>
                <c:pt idx="165">
                  <c:v>0.99999999585016297</c:v>
                </c:pt>
                <c:pt idx="166">
                  <c:v>0.99999999590191702</c:v>
                </c:pt>
                <c:pt idx="167">
                  <c:v>0.999999995947362</c:v>
                </c:pt>
                <c:pt idx="168">
                  <c:v>0.99999999598726697</c:v>
                </c:pt>
                <c:pt idx="169">
                  <c:v>0.99999999602230805</c:v>
                </c:pt>
                <c:pt idx="170">
                  <c:v>0.99999999605307699</c:v>
                </c:pt>
                <c:pt idx="171">
                  <c:v>0.99999999608009504</c:v>
                </c:pt>
                <c:pt idx="172">
                  <c:v>0.99999999610381896</c:v>
                </c:pt>
                <c:pt idx="173">
                  <c:v>0.99999999612465196</c:v>
                </c:pt>
                <c:pt idx="174">
                  <c:v>0.99999999614294399</c:v>
                </c:pt>
                <c:pt idx="175">
                  <c:v>0.99999999615900703</c:v>
                </c:pt>
                <c:pt idx="176">
                  <c:v>0.99999999617311197</c:v>
                </c:pt>
                <c:pt idx="177">
                  <c:v>0.99999999618549695</c:v>
                </c:pt>
                <c:pt idx="178">
                  <c:v>0.99999999619637303</c:v>
                </c:pt>
                <c:pt idx="179">
                  <c:v>0.99999999620592195</c:v>
                </c:pt>
                <c:pt idx="180">
                  <c:v>0.99999999621430802</c:v>
                </c:pt>
                <c:pt idx="181">
                  <c:v>0.99999999622167102</c:v>
                </c:pt>
                <c:pt idx="182">
                  <c:v>0.99999999622813696</c:v>
                </c:pt>
                <c:pt idx="183">
                  <c:v>0.99999999623381397</c:v>
                </c:pt>
                <c:pt idx="184">
                  <c:v>0.99999999623879998</c:v>
                </c:pt>
                <c:pt idx="185">
                  <c:v>0.99999999624317704</c:v>
                </c:pt>
                <c:pt idx="186">
                  <c:v>0.99999999624702096</c:v>
                </c:pt>
                <c:pt idx="187">
                  <c:v>0.99999999625039704</c:v>
                </c:pt>
                <c:pt idx="188">
                  <c:v>0.99999999625336</c:v>
                </c:pt>
                <c:pt idx="189">
                  <c:v>0.99999999625596303</c:v>
                </c:pt>
                <c:pt idx="190">
                  <c:v>0.99999999625824798</c:v>
                </c:pt>
                <c:pt idx="191">
                  <c:v>0.99999999626025504</c:v>
                </c:pt>
                <c:pt idx="192">
                  <c:v>0.99999999626201697</c:v>
                </c:pt>
                <c:pt idx="193">
                  <c:v>0.99999999626356395</c:v>
                </c:pt>
                <c:pt idx="194">
                  <c:v>0.99999999626492297</c:v>
                </c:pt>
                <c:pt idx="195">
                  <c:v>0.99999999626611602</c:v>
                </c:pt>
                <c:pt idx="196">
                  <c:v>0.99999999626716396</c:v>
                </c:pt>
                <c:pt idx="197">
                  <c:v>0.999999996268083</c:v>
                </c:pt>
                <c:pt idx="198">
                  <c:v>0.99999999626889102</c:v>
                </c:pt>
                <c:pt idx="199">
                  <c:v>0.99999999626960101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'No mistakes in tails'!$I$1</c:f>
              <c:strCache>
                <c:ptCount val="1"/>
                <c:pt idx="0">
                  <c:v>7.5</c:v>
                </c:pt>
              </c:strCache>
            </c:strRef>
          </c:tx>
          <c:marker>
            <c:symbol val="none"/>
          </c:marker>
          <c:val>
            <c:numRef>
              <c:f>'No mistakes in tails'!$I$2:$I$201</c:f>
              <c:numCache>
                <c:formatCode>0.000</c:formatCode>
                <c:ptCount val="200"/>
                <c:pt idx="0">
                  <c:v>0.99999999627471003</c:v>
                </c:pt>
                <c:pt idx="1">
                  <c:v>0.99999999627471003</c:v>
                </c:pt>
                <c:pt idx="2">
                  <c:v>0.99999999627471003</c:v>
                </c:pt>
                <c:pt idx="3">
                  <c:v>0.99999999627471003</c:v>
                </c:pt>
                <c:pt idx="4">
                  <c:v>0.99999999627471003</c:v>
                </c:pt>
                <c:pt idx="5">
                  <c:v>0.99999999627471003</c:v>
                </c:pt>
                <c:pt idx="6">
                  <c:v>0.99999999627471003</c:v>
                </c:pt>
                <c:pt idx="7">
                  <c:v>0.99999999627471003</c:v>
                </c:pt>
                <c:pt idx="8">
                  <c:v>0.99999999627471003</c:v>
                </c:pt>
                <c:pt idx="9">
                  <c:v>0.99999999813735496</c:v>
                </c:pt>
                <c:pt idx="10">
                  <c:v>0.99999999813735496</c:v>
                </c:pt>
                <c:pt idx="11">
                  <c:v>0.99999999813735496</c:v>
                </c:pt>
                <c:pt idx="12">
                  <c:v>0.99999999813735496</c:v>
                </c:pt>
                <c:pt idx="13">
                  <c:v>0.99999999813735496</c:v>
                </c:pt>
                <c:pt idx="14">
                  <c:v>0.99999999813735496</c:v>
                </c:pt>
                <c:pt idx="15">
                  <c:v>0.99999999813735496</c:v>
                </c:pt>
                <c:pt idx="16">
                  <c:v>0.99999999813735496</c:v>
                </c:pt>
                <c:pt idx="17">
                  <c:v>0.99999999813735496</c:v>
                </c:pt>
                <c:pt idx="18">
                  <c:v>0.99999999813735496</c:v>
                </c:pt>
                <c:pt idx="19">
                  <c:v>0.99999999813735496</c:v>
                </c:pt>
                <c:pt idx="20">
                  <c:v>0.99999999813735496</c:v>
                </c:pt>
                <c:pt idx="21">
                  <c:v>0.99999999813735496</c:v>
                </c:pt>
                <c:pt idx="22">
                  <c:v>0.99999999813735496</c:v>
                </c:pt>
                <c:pt idx="23">
                  <c:v>0.99999999813735496</c:v>
                </c:pt>
                <c:pt idx="24">
                  <c:v>0.99999999813735496</c:v>
                </c:pt>
                <c:pt idx="25">
                  <c:v>0.99999999813735496</c:v>
                </c:pt>
                <c:pt idx="26">
                  <c:v>0.99999999813735496</c:v>
                </c:pt>
                <c:pt idx="27">
                  <c:v>0.99999999813735496</c:v>
                </c:pt>
                <c:pt idx="28">
                  <c:v>0.99999999813735496</c:v>
                </c:pt>
                <c:pt idx="29">
                  <c:v>0.99999999813735496</c:v>
                </c:pt>
                <c:pt idx="30">
                  <c:v>0.99999999627471003</c:v>
                </c:pt>
                <c:pt idx="31">
                  <c:v>0.99999999627471003</c:v>
                </c:pt>
                <c:pt idx="32">
                  <c:v>0.99999999627471003</c:v>
                </c:pt>
                <c:pt idx="33">
                  <c:v>0.99999999627471003</c:v>
                </c:pt>
                <c:pt idx="34">
                  <c:v>0.99999999627471003</c:v>
                </c:pt>
                <c:pt idx="35">
                  <c:v>0.99999999627471003</c:v>
                </c:pt>
                <c:pt idx="36">
                  <c:v>0.99999999627471003</c:v>
                </c:pt>
                <c:pt idx="37">
                  <c:v>0.99999999627471003</c:v>
                </c:pt>
                <c:pt idx="38">
                  <c:v>0.99999999627471003</c:v>
                </c:pt>
                <c:pt idx="39">
                  <c:v>0.99999999627471003</c:v>
                </c:pt>
                <c:pt idx="40">
                  <c:v>0.99999999627471003</c:v>
                </c:pt>
                <c:pt idx="41">
                  <c:v>0.99999999627471003</c:v>
                </c:pt>
                <c:pt idx="42">
                  <c:v>0.99999999627471003</c:v>
                </c:pt>
                <c:pt idx="43">
                  <c:v>0.99999999627471003</c:v>
                </c:pt>
                <c:pt idx="44">
                  <c:v>0.99999999627471003</c:v>
                </c:pt>
                <c:pt idx="45">
                  <c:v>0.99999999627471003</c:v>
                </c:pt>
                <c:pt idx="46">
                  <c:v>0.99999999627471003</c:v>
                </c:pt>
                <c:pt idx="47">
                  <c:v>0.99999999627471003</c:v>
                </c:pt>
                <c:pt idx="48">
                  <c:v>0.99999999627471003</c:v>
                </c:pt>
                <c:pt idx="49">
                  <c:v>0.99999999627471003</c:v>
                </c:pt>
                <c:pt idx="50">
                  <c:v>0.99999999627471003</c:v>
                </c:pt>
                <c:pt idx="51">
                  <c:v>0.99999999627471003</c:v>
                </c:pt>
                <c:pt idx="52">
                  <c:v>0.99999999627471003</c:v>
                </c:pt>
                <c:pt idx="53">
                  <c:v>0.99999999627471003</c:v>
                </c:pt>
                <c:pt idx="54">
                  <c:v>0.99999999627471003</c:v>
                </c:pt>
                <c:pt idx="55">
                  <c:v>0.99999999627471003</c:v>
                </c:pt>
                <c:pt idx="56">
                  <c:v>0.99999999627471003</c:v>
                </c:pt>
                <c:pt idx="57">
                  <c:v>0.99999999627471003</c:v>
                </c:pt>
                <c:pt idx="58">
                  <c:v>0.99999999627471003</c:v>
                </c:pt>
                <c:pt idx="59">
                  <c:v>0.99999999627471003</c:v>
                </c:pt>
                <c:pt idx="60">
                  <c:v>0.99999999627471003</c:v>
                </c:pt>
                <c:pt idx="61">
                  <c:v>0.99999999627471003</c:v>
                </c:pt>
                <c:pt idx="62">
                  <c:v>0.99999999627471003</c:v>
                </c:pt>
                <c:pt idx="63">
                  <c:v>0.99999999627471003</c:v>
                </c:pt>
                <c:pt idx="64">
                  <c:v>0.99999999627471003</c:v>
                </c:pt>
                <c:pt idx="65">
                  <c:v>0.99999999627471003</c:v>
                </c:pt>
                <c:pt idx="66">
                  <c:v>0.99999999627471003</c:v>
                </c:pt>
                <c:pt idx="67">
                  <c:v>0.99999999627471003</c:v>
                </c:pt>
                <c:pt idx="68">
                  <c:v>0.99999999627471003</c:v>
                </c:pt>
                <c:pt idx="69">
                  <c:v>0.99999999627471003</c:v>
                </c:pt>
                <c:pt idx="70">
                  <c:v>0.99999999627471003</c:v>
                </c:pt>
                <c:pt idx="71">
                  <c:v>0.99999999627471003</c:v>
                </c:pt>
                <c:pt idx="72">
                  <c:v>0.99999999627471003</c:v>
                </c:pt>
                <c:pt idx="73">
                  <c:v>0.99999999627471003</c:v>
                </c:pt>
                <c:pt idx="74">
                  <c:v>0.99999999627471003</c:v>
                </c:pt>
                <c:pt idx="75">
                  <c:v>0.99999999627471003</c:v>
                </c:pt>
                <c:pt idx="76">
                  <c:v>0.99999999627471003</c:v>
                </c:pt>
                <c:pt idx="77">
                  <c:v>0.99999999627471003</c:v>
                </c:pt>
                <c:pt idx="78">
                  <c:v>0.99999999627471003</c:v>
                </c:pt>
                <c:pt idx="79">
                  <c:v>0.99999999627471003</c:v>
                </c:pt>
                <c:pt idx="80">
                  <c:v>0.99999999627471003</c:v>
                </c:pt>
                <c:pt idx="81">
                  <c:v>0.99999999627471003</c:v>
                </c:pt>
                <c:pt idx="82">
                  <c:v>0.99999999627471003</c:v>
                </c:pt>
                <c:pt idx="83">
                  <c:v>0.99999999627471003</c:v>
                </c:pt>
                <c:pt idx="84">
                  <c:v>0.99999999627471003</c:v>
                </c:pt>
                <c:pt idx="85">
                  <c:v>0.99999999627471003</c:v>
                </c:pt>
                <c:pt idx="86">
                  <c:v>0.99999999627471003</c:v>
                </c:pt>
                <c:pt idx="87">
                  <c:v>0.99999999627471003</c:v>
                </c:pt>
                <c:pt idx="88">
                  <c:v>0.99999999627471003</c:v>
                </c:pt>
                <c:pt idx="89">
                  <c:v>0.99999999627471003</c:v>
                </c:pt>
                <c:pt idx="90">
                  <c:v>0.99999999627471003</c:v>
                </c:pt>
                <c:pt idx="91">
                  <c:v>0.99999999627471003</c:v>
                </c:pt>
                <c:pt idx="92">
                  <c:v>0.99999999627471003</c:v>
                </c:pt>
                <c:pt idx="93">
                  <c:v>0.99999999627471003</c:v>
                </c:pt>
                <c:pt idx="94">
                  <c:v>0.99999999627471003</c:v>
                </c:pt>
                <c:pt idx="95">
                  <c:v>0.99999999627471003</c:v>
                </c:pt>
                <c:pt idx="96">
                  <c:v>0.99999999627471003</c:v>
                </c:pt>
                <c:pt idx="97">
                  <c:v>0.99999999627471003</c:v>
                </c:pt>
                <c:pt idx="98">
                  <c:v>0.99999999627471003</c:v>
                </c:pt>
                <c:pt idx="99">
                  <c:v>0.99999999627471003</c:v>
                </c:pt>
                <c:pt idx="100">
                  <c:v>0.99999999627471003</c:v>
                </c:pt>
                <c:pt idx="101">
                  <c:v>0.99999999627471003</c:v>
                </c:pt>
                <c:pt idx="102">
                  <c:v>0.99999999627471003</c:v>
                </c:pt>
                <c:pt idx="103">
                  <c:v>0.99999999627471003</c:v>
                </c:pt>
                <c:pt idx="104">
                  <c:v>0.99999999627471003</c:v>
                </c:pt>
                <c:pt idx="105">
                  <c:v>0.99999999627471003</c:v>
                </c:pt>
                <c:pt idx="106">
                  <c:v>0.99999999627471003</c:v>
                </c:pt>
                <c:pt idx="107">
                  <c:v>0.99999999627471003</c:v>
                </c:pt>
                <c:pt idx="108">
                  <c:v>0.99999999627471003</c:v>
                </c:pt>
                <c:pt idx="109">
                  <c:v>0.99999999627471003</c:v>
                </c:pt>
                <c:pt idx="110">
                  <c:v>0.99999999627471003</c:v>
                </c:pt>
                <c:pt idx="111">
                  <c:v>0.99999999627471003</c:v>
                </c:pt>
                <c:pt idx="112">
                  <c:v>0.99999999627471003</c:v>
                </c:pt>
                <c:pt idx="113">
                  <c:v>0.99999999627471003</c:v>
                </c:pt>
                <c:pt idx="114">
                  <c:v>0.99999999627471003</c:v>
                </c:pt>
                <c:pt idx="115">
                  <c:v>0.99999999627471003</c:v>
                </c:pt>
                <c:pt idx="116">
                  <c:v>0.99999999627471003</c:v>
                </c:pt>
                <c:pt idx="117">
                  <c:v>0.99999999627471003</c:v>
                </c:pt>
                <c:pt idx="118">
                  <c:v>0.99999999627471003</c:v>
                </c:pt>
                <c:pt idx="119">
                  <c:v>0.99999999627471003</c:v>
                </c:pt>
                <c:pt idx="120">
                  <c:v>0.99999999627471003</c:v>
                </c:pt>
                <c:pt idx="121">
                  <c:v>0.99999999627471003</c:v>
                </c:pt>
                <c:pt idx="122">
                  <c:v>0.99999999627471003</c:v>
                </c:pt>
                <c:pt idx="123">
                  <c:v>0.99999999627471003</c:v>
                </c:pt>
                <c:pt idx="124">
                  <c:v>0.99999999627471003</c:v>
                </c:pt>
                <c:pt idx="125">
                  <c:v>0.99999999627471003</c:v>
                </c:pt>
                <c:pt idx="126">
                  <c:v>0.99999999627471003</c:v>
                </c:pt>
                <c:pt idx="127">
                  <c:v>0.99999999627471003</c:v>
                </c:pt>
                <c:pt idx="128">
                  <c:v>0.99999999627471003</c:v>
                </c:pt>
                <c:pt idx="129">
                  <c:v>0.99999999627471003</c:v>
                </c:pt>
                <c:pt idx="130">
                  <c:v>0.99999999627471003</c:v>
                </c:pt>
                <c:pt idx="131">
                  <c:v>0.99999999627471003</c:v>
                </c:pt>
                <c:pt idx="132">
                  <c:v>0.99999999627471003</c:v>
                </c:pt>
                <c:pt idx="133">
                  <c:v>0.99999999627471003</c:v>
                </c:pt>
                <c:pt idx="134">
                  <c:v>0.99999999627471003</c:v>
                </c:pt>
                <c:pt idx="135">
                  <c:v>0.99999999627471003</c:v>
                </c:pt>
                <c:pt idx="136">
                  <c:v>0.99999999627471003</c:v>
                </c:pt>
                <c:pt idx="137">
                  <c:v>0.99999999627471003</c:v>
                </c:pt>
                <c:pt idx="138">
                  <c:v>0.99999999627471003</c:v>
                </c:pt>
                <c:pt idx="139">
                  <c:v>0.99999999627471003</c:v>
                </c:pt>
                <c:pt idx="140">
                  <c:v>0.99999999627471003</c:v>
                </c:pt>
                <c:pt idx="141">
                  <c:v>0.99999999627471003</c:v>
                </c:pt>
                <c:pt idx="142">
                  <c:v>0.99999999627471003</c:v>
                </c:pt>
                <c:pt idx="143">
                  <c:v>0.99999999627471003</c:v>
                </c:pt>
                <c:pt idx="144">
                  <c:v>0.99999999627471003</c:v>
                </c:pt>
                <c:pt idx="145">
                  <c:v>0.99999999627471003</c:v>
                </c:pt>
                <c:pt idx="146">
                  <c:v>0.99999999627471003</c:v>
                </c:pt>
                <c:pt idx="147">
                  <c:v>0.99999999627471003</c:v>
                </c:pt>
                <c:pt idx="148">
                  <c:v>0.99999999627471003</c:v>
                </c:pt>
                <c:pt idx="149">
                  <c:v>0.99999999627471003</c:v>
                </c:pt>
                <c:pt idx="150">
                  <c:v>0.99999999627471003</c:v>
                </c:pt>
                <c:pt idx="151">
                  <c:v>0.99999999627471003</c:v>
                </c:pt>
                <c:pt idx="152">
                  <c:v>0.99999999627471003</c:v>
                </c:pt>
                <c:pt idx="153">
                  <c:v>0.99999999627471003</c:v>
                </c:pt>
                <c:pt idx="154">
                  <c:v>0.99999999627471003</c:v>
                </c:pt>
                <c:pt idx="155">
                  <c:v>0.99999999627471003</c:v>
                </c:pt>
                <c:pt idx="156">
                  <c:v>0.99999999627471003</c:v>
                </c:pt>
                <c:pt idx="157">
                  <c:v>0.99999999627471003</c:v>
                </c:pt>
                <c:pt idx="158">
                  <c:v>0.99999999627471003</c:v>
                </c:pt>
                <c:pt idx="159">
                  <c:v>0.99999999627471003</c:v>
                </c:pt>
                <c:pt idx="160">
                  <c:v>0.99999999627471003</c:v>
                </c:pt>
                <c:pt idx="161">
                  <c:v>0.99999999627471003</c:v>
                </c:pt>
                <c:pt idx="162">
                  <c:v>0.99999999627471003</c:v>
                </c:pt>
                <c:pt idx="163">
                  <c:v>0.99999999627471003</c:v>
                </c:pt>
                <c:pt idx="164">
                  <c:v>0.99999999627471003</c:v>
                </c:pt>
                <c:pt idx="165">
                  <c:v>0.99999999627471003</c:v>
                </c:pt>
                <c:pt idx="166">
                  <c:v>0.99999999627471003</c:v>
                </c:pt>
                <c:pt idx="167">
                  <c:v>0.99999999627471003</c:v>
                </c:pt>
                <c:pt idx="168">
                  <c:v>0.99999999627471003</c:v>
                </c:pt>
                <c:pt idx="169">
                  <c:v>0.99999999627471003</c:v>
                </c:pt>
                <c:pt idx="170">
                  <c:v>0.99999999627471003</c:v>
                </c:pt>
                <c:pt idx="171">
                  <c:v>0.99999999627471003</c:v>
                </c:pt>
                <c:pt idx="172">
                  <c:v>0.99999999627471003</c:v>
                </c:pt>
                <c:pt idx="173">
                  <c:v>0.99999999627471003</c:v>
                </c:pt>
                <c:pt idx="174">
                  <c:v>0.99999999627471003</c:v>
                </c:pt>
                <c:pt idx="175">
                  <c:v>0.99999999627471003</c:v>
                </c:pt>
                <c:pt idx="176">
                  <c:v>0.99999999627471003</c:v>
                </c:pt>
                <c:pt idx="177">
                  <c:v>0.99999999627471003</c:v>
                </c:pt>
                <c:pt idx="178">
                  <c:v>0.99999999627471003</c:v>
                </c:pt>
                <c:pt idx="179">
                  <c:v>0.99999999627471003</c:v>
                </c:pt>
                <c:pt idx="180">
                  <c:v>0.99999999627471003</c:v>
                </c:pt>
                <c:pt idx="181">
                  <c:v>0.99999999627471003</c:v>
                </c:pt>
                <c:pt idx="182">
                  <c:v>0.99999999627471003</c:v>
                </c:pt>
                <c:pt idx="183">
                  <c:v>0.99999999627471003</c:v>
                </c:pt>
                <c:pt idx="184">
                  <c:v>0.99999999627471003</c:v>
                </c:pt>
                <c:pt idx="185">
                  <c:v>0.99999999627471003</c:v>
                </c:pt>
                <c:pt idx="186">
                  <c:v>0.99999999627471003</c:v>
                </c:pt>
                <c:pt idx="187">
                  <c:v>0.99999999627471003</c:v>
                </c:pt>
                <c:pt idx="188">
                  <c:v>0.99999999627471003</c:v>
                </c:pt>
                <c:pt idx="189">
                  <c:v>0.99999999627471003</c:v>
                </c:pt>
                <c:pt idx="190">
                  <c:v>0.99999999627471003</c:v>
                </c:pt>
                <c:pt idx="191">
                  <c:v>0.99999999627471003</c:v>
                </c:pt>
                <c:pt idx="192">
                  <c:v>0.99999999627471003</c:v>
                </c:pt>
                <c:pt idx="193">
                  <c:v>0.99999999627471003</c:v>
                </c:pt>
                <c:pt idx="194">
                  <c:v>0.99999999627471003</c:v>
                </c:pt>
                <c:pt idx="195">
                  <c:v>0.99999999627471003</c:v>
                </c:pt>
                <c:pt idx="196">
                  <c:v>0.99999999627471003</c:v>
                </c:pt>
                <c:pt idx="197">
                  <c:v>0.99999999627471003</c:v>
                </c:pt>
                <c:pt idx="198">
                  <c:v>0.99999999627471003</c:v>
                </c:pt>
                <c:pt idx="199">
                  <c:v>0.99999999627471003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18016"/>
        <c:axId val="112160768"/>
      </c:lineChart>
      <c:catAx>
        <c:axId val="112118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2160768"/>
        <c:crosses val="autoZero"/>
        <c:auto val="1"/>
        <c:lblAlgn val="ctr"/>
        <c:lblOffset val="100"/>
        <c:noMultiLvlLbl val="0"/>
      </c:catAx>
      <c:valAx>
        <c:axId val="11216076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12118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466724</xdr:colOff>
      <xdr:row>32</xdr:row>
      <xdr:rowOff>171450</xdr:rowOff>
    </xdr:from>
    <xdr:to>
      <xdr:col>12</xdr:col>
      <xdr:colOff>104773</xdr:colOff>
      <xdr:row>68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361949</xdr:colOff>
      <xdr:row>1</xdr:row>
      <xdr:rowOff>95249</xdr:rowOff>
    </xdr:from>
    <xdr:to>
      <xdr:col>24</xdr:col>
      <xdr:colOff>523874</xdr:colOff>
      <xdr:row>37</xdr:row>
      <xdr:rowOff>47624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581025</xdr:colOff>
      <xdr:row>0</xdr:row>
      <xdr:rowOff>171450</xdr:rowOff>
    </xdr:from>
    <xdr:to>
      <xdr:col>26</xdr:col>
      <xdr:colOff>333375</xdr:colOff>
      <xdr:row>32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273843</xdr:colOff>
      <xdr:row>0</xdr:row>
      <xdr:rowOff>33336</xdr:rowOff>
    </xdr:from>
    <xdr:to>
      <xdr:col>23</xdr:col>
      <xdr:colOff>535782</xdr:colOff>
      <xdr:row>31</xdr:row>
      <xdr:rowOff>83344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273843</xdr:colOff>
      <xdr:row>0</xdr:row>
      <xdr:rowOff>33336</xdr:rowOff>
    </xdr:from>
    <xdr:to>
      <xdr:col>23</xdr:col>
      <xdr:colOff>535782</xdr:colOff>
      <xdr:row>31</xdr:row>
      <xdr:rowOff>83344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1010290/Documents/Projects/FarrellAndSaloner/new_cutof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F1" t="str">
            <v>1Yo</v>
          </cell>
          <cell r="G1" t="str">
            <v>2Yo</v>
          </cell>
          <cell r="H1" t="str">
            <v>1X</v>
          </cell>
          <cell r="I1" t="str">
            <v>2X</v>
          </cell>
          <cell r="J1" t="str">
            <v>1Y</v>
          </cell>
          <cell r="K1" t="str">
            <v>1Y'</v>
          </cell>
          <cell r="L1" t="str">
            <v>1Y''</v>
          </cell>
          <cell r="M1" t="str">
            <v>1Y'''</v>
          </cell>
          <cell r="N1" t="str">
            <v>1Y''''</v>
          </cell>
          <cell r="O1" t="str">
            <v>1Y*</v>
          </cell>
        </row>
        <row r="2">
          <cell r="E2">
            <v>0</v>
          </cell>
          <cell r="F2">
            <v>0</v>
          </cell>
          <cell r="G2">
            <v>2</v>
          </cell>
          <cell r="H2">
            <v>5</v>
          </cell>
          <cell r="I2">
            <v>7</v>
          </cell>
          <cell r="J2">
            <v>2.6</v>
          </cell>
          <cell r="K2">
            <v>3</v>
          </cell>
          <cell r="L2">
            <v>-1</v>
          </cell>
          <cell r="M2">
            <v>-2</v>
          </cell>
          <cell r="N2">
            <v>-3</v>
          </cell>
          <cell r="O2">
            <v>4</v>
          </cell>
        </row>
        <row r="3">
          <cell r="E3">
            <v>0.5</v>
          </cell>
          <cell r="F3">
            <v>0.5</v>
          </cell>
          <cell r="G3">
            <v>2.5</v>
          </cell>
          <cell r="H3">
            <v>5</v>
          </cell>
          <cell r="I3">
            <v>7</v>
          </cell>
          <cell r="J3">
            <v>2.9</v>
          </cell>
          <cell r="K3">
            <v>3.25</v>
          </cell>
          <cell r="L3">
            <v>-0.41611149999999997</v>
          </cell>
          <cell r="M3">
            <v>-1.3333333333333335</v>
          </cell>
          <cell r="N3">
            <v>-2.25</v>
          </cell>
          <cell r="O3">
            <v>4.1666666650000002</v>
          </cell>
        </row>
        <row r="4">
          <cell r="E4">
            <v>1</v>
          </cell>
          <cell r="F4">
            <v>1</v>
          </cell>
          <cell r="G4">
            <v>3</v>
          </cell>
          <cell r="H4">
            <v>5</v>
          </cell>
          <cell r="I4">
            <v>7</v>
          </cell>
          <cell r="J4">
            <v>3.2</v>
          </cell>
          <cell r="K4">
            <v>3.5</v>
          </cell>
          <cell r="L4">
            <v>0.16777700000000006</v>
          </cell>
          <cell r="M4">
            <v>-0.66666666666666674</v>
          </cell>
          <cell r="N4">
            <v>-1.5</v>
          </cell>
          <cell r="O4">
            <v>4.3333333300000003</v>
          </cell>
        </row>
        <row r="5">
          <cell r="E5">
            <v>1.5</v>
          </cell>
          <cell r="F5">
            <v>1.5</v>
          </cell>
          <cell r="G5">
            <v>3.5</v>
          </cell>
          <cell r="H5">
            <v>5</v>
          </cell>
          <cell r="I5">
            <v>7</v>
          </cell>
          <cell r="J5">
            <v>3.5</v>
          </cell>
          <cell r="K5">
            <v>3.75</v>
          </cell>
          <cell r="L5">
            <v>0.7516655000000001</v>
          </cell>
          <cell r="M5">
            <v>0</v>
          </cell>
          <cell r="N5">
            <v>-0.75</v>
          </cell>
          <cell r="O5">
            <v>4.4999999949999996</v>
          </cell>
        </row>
        <row r="6">
          <cell r="E6">
            <v>2</v>
          </cell>
          <cell r="F6">
            <v>2</v>
          </cell>
          <cell r="G6">
            <v>4</v>
          </cell>
          <cell r="H6">
            <v>5</v>
          </cell>
          <cell r="I6">
            <v>7</v>
          </cell>
          <cell r="J6">
            <v>3.8</v>
          </cell>
          <cell r="K6">
            <v>4</v>
          </cell>
          <cell r="L6">
            <v>1.3355540000000001</v>
          </cell>
          <cell r="M6">
            <v>0.66666666666666652</v>
          </cell>
          <cell r="N6">
            <v>0</v>
          </cell>
          <cell r="O6">
            <v>4.6666666599999997</v>
          </cell>
        </row>
        <row r="7">
          <cell r="E7">
            <v>2.5</v>
          </cell>
          <cell r="F7">
            <v>2.5</v>
          </cell>
          <cell r="G7">
            <v>4.5</v>
          </cell>
          <cell r="H7">
            <v>5</v>
          </cell>
          <cell r="I7">
            <v>7</v>
          </cell>
          <cell r="J7">
            <v>4.0999999999999996</v>
          </cell>
          <cell r="K7">
            <v>4.25</v>
          </cell>
          <cell r="L7">
            <v>1.9194425000000002</v>
          </cell>
          <cell r="M7">
            <v>1.333333333333333</v>
          </cell>
          <cell r="N7">
            <v>0.75</v>
          </cell>
          <cell r="O7">
            <v>4.8333333249999999</v>
          </cell>
        </row>
        <row r="8">
          <cell r="E8">
            <v>3</v>
          </cell>
          <cell r="F8">
            <v>3</v>
          </cell>
          <cell r="G8">
            <v>5</v>
          </cell>
          <cell r="H8">
            <v>5</v>
          </cell>
          <cell r="I8">
            <v>7</v>
          </cell>
          <cell r="J8">
            <v>4.4000000000000004</v>
          </cell>
          <cell r="K8">
            <v>4.5</v>
          </cell>
          <cell r="L8">
            <v>2.5033310000000002</v>
          </cell>
          <cell r="M8">
            <v>2</v>
          </cell>
          <cell r="N8">
            <v>1.5</v>
          </cell>
          <cell r="O8">
            <v>4.9999999900000001</v>
          </cell>
        </row>
        <row r="9">
          <cell r="E9">
            <v>3.5</v>
          </cell>
          <cell r="F9">
            <v>3.5</v>
          </cell>
          <cell r="G9">
            <v>5.5</v>
          </cell>
          <cell r="H9">
            <v>5</v>
          </cell>
          <cell r="I9">
            <v>7</v>
          </cell>
          <cell r="J9">
            <v>4.7</v>
          </cell>
          <cell r="K9">
            <v>4.75</v>
          </cell>
          <cell r="L9">
            <v>3.0872194999999998</v>
          </cell>
          <cell r="M9">
            <v>2.6666666666666661</v>
          </cell>
          <cell r="N9">
            <v>2.25</v>
          </cell>
          <cell r="O9">
            <v>5.1666666550000002</v>
          </cell>
        </row>
        <row r="10">
          <cell r="E10">
            <v>4</v>
          </cell>
          <cell r="F10">
            <v>4</v>
          </cell>
          <cell r="G10">
            <v>6</v>
          </cell>
          <cell r="H10">
            <v>5</v>
          </cell>
          <cell r="I10">
            <v>7</v>
          </cell>
          <cell r="J10">
            <v>5</v>
          </cell>
          <cell r="K10">
            <v>5</v>
          </cell>
          <cell r="L10">
            <v>3.6711080000000003</v>
          </cell>
          <cell r="M10">
            <v>3.333333333333333</v>
          </cell>
          <cell r="N10">
            <v>3</v>
          </cell>
          <cell r="O10">
            <v>5.3333333199999995</v>
          </cell>
        </row>
        <row r="11">
          <cell r="E11">
            <v>4.5</v>
          </cell>
          <cell r="F11">
            <v>4.5</v>
          </cell>
          <cell r="G11">
            <v>6.5</v>
          </cell>
          <cell r="H11">
            <v>5</v>
          </cell>
          <cell r="I11">
            <v>7</v>
          </cell>
          <cell r="J11">
            <v>5.3</v>
          </cell>
          <cell r="K11">
            <v>5.25</v>
          </cell>
          <cell r="L11">
            <v>4.2549965000000007</v>
          </cell>
          <cell r="M11">
            <v>4</v>
          </cell>
          <cell r="N11">
            <v>3.75</v>
          </cell>
          <cell r="O11">
            <v>5.4999999849999996</v>
          </cell>
        </row>
        <row r="12">
          <cell r="E12">
            <v>5</v>
          </cell>
          <cell r="F12">
            <v>5</v>
          </cell>
          <cell r="G12">
            <v>7</v>
          </cell>
          <cell r="H12">
            <v>5</v>
          </cell>
          <cell r="I12">
            <v>7</v>
          </cell>
          <cell r="J12">
            <v>5.6</v>
          </cell>
          <cell r="K12">
            <v>5.5</v>
          </cell>
          <cell r="L12">
            <v>4.8388850000000003</v>
          </cell>
          <cell r="M12">
            <v>4.6666666666666661</v>
          </cell>
          <cell r="N12">
            <v>4.5</v>
          </cell>
          <cell r="O12">
            <v>5.6666666499999998</v>
          </cell>
        </row>
        <row r="13">
          <cell r="E13">
            <v>5.5</v>
          </cell>
          <cell r="F13">
            <v>5.5</v>
          </cell>
          <cell r="G13">
            <v>7.5</v>
          </cell>
          <cell r="H13">
            <v>5</v>
          </cell>
          <cell r="I13">
            <v>7</v>
          </cell>
          <cell r="J13">
            <v>5.9</v>
          </cell>
          <cell r="K13">
            <v>5.75</v>
          </cell>
          <cell r="L13">
            <v>5.4227734999999999</v>
          </cell>
          <cell r="M13">
            <v>5.333333333333333</v>
          </cell>
          <cell r="N13">
            <v>5.25</v>
          </cell>
          <cell r="O13">
            <v>5.833333315</v>
          </cell>
        </row>
        <row r="14">
          <cell r="E14">
            <v>6</v>
          </cell>
          <cell r="F14">
            <v>6</v>
          </cell>
          <cell r="G14">
            <v>8</v>
          </cell>
          <cell r="H14">
            <v>5</v>
          </cell>
          <cell r="I14">
            <v>7</v>
          </cell>
          <cell r="J14">
            <v>6.1999999999999993</v>
          </cell>
          <cell r="K14">
            <v>6</v>
          </cell>
          <cell r="L14">
            <v>6.0066620000000004</v>
          </cell>
          <cell r="M14">
            <v>6</v>
          </cell>
          <cell r="N14">
            <v>6</v>
          </cell>
          <cell r="O14">
            <v>5.9999999800000001</v>
          </cell>
        </row>
        <row r="15">
          <cell r="E15">
            <v>6.5</v>
          </cell>
          <cell r="F15">
            <v>6.5</v>
          </cell>
          <cell r="G15">
            <v>8.5</v>
          </cell>
          <cell r="H15">
            <v>5</v>
          </cell>
          <cell r="I15">
            <v>7</v>
          </cell>
          <cell r="J15">
            <v>6.5</v>
          </cell>
          <cell r="K15">
            <v>6.25</v>
          </cell>
          <cell r="L15">
            <v>6.5905505000000009</v>
          </cell>
          <cell r="M15">
            <v>6.6666666666666661</v>
          </cell>
          <cell r="N15">
            <v>6.75</v>
          </cell>
          <cell r="O15">
            <v>6.1666666449999994</v>
          </cell>
        </row>
        <row r="16">
          <cell r="E16">
            <v>7</v>
          </cell>
          <cell r="F16">
            <v>7</v>
          </cell>
          <cell r="G16">
            <v>9</v>
          </cell>
          <cell r="H16">
            <v>5</v>
          </cell>
          <cell r="I16">
            <v>7</v>
          </cell>
          <cell r="J16">
            <v>6.8000000000000007</v>
          </cell>
          <cell r="K16">
            <v>6.5</v>
          </cell>
          <cell r="L16">
            <v>7.1744389999999996</v>
          </cell>
          <cell r="M16">
            <v>7.3333333333333321</v>
          </cell>
          <cell r="N16">
            <v>7.5</v>
          </cell>
          <cell r="O16">
            <v>6.3333333100000004</v>
          </cell>
        </row>
        <row r="17">
          <cell r="E17">
            <v>7.5</v>
          </cell>
          <cell r="F17">
            <v>7.5</v>
          </cell>
          <cell r="G17">
            <v>9.5</v>
          </cell>
          <cell r="H17">
            <v>5</v>
          </cell>
          <cell r="I17">
            <v>7</v>
          </cell>
          <cell r="J17">
            <v>7.1</v>
          </cell>
          <cell r="K17">
            <v>6.75</v>
          </cell>
          <cell r="L17">
            <v>7.7583275</v>
          </cell>
          <cell r="M17">
            <v>8</v>
          </cell>
          <cell r="N17">
            <v>8.25</v>
          </cell>
          <cell r="O17">
            <v>6.4999999749999997</v>
          </cell>
        </row>
        <row r="18">
          <cell r="E18">
            <v>8</v>
          </cell>
          <cell r="F18">
            <v>8</v>
          </cell>
          <cell r="G18">
            <v>10</v>
          </cell>
          <cell r="H18">
            <v>5</v>
          </cell>
          <cell r="I18">
            <v>7</v>
          </cell>
          <cell r="J18">
            <v>7.4</v>
          </cell>
          <cell r="K18">
            <v>7</v>
          </cell>
          <cell r="L18">
            <v>8.3422160000000005</v>
          </cell>
          <cell r="M18">
            <v>8.6666666666666661</v>
          </cell>
          <cell r="N18">
            <v>9</v>
          </cell>
          <cell r="O18">
            <v>6.6666666399999999</v>
          </cell>
        </row>
        <row r="19">
          <cell r="E19">
            <v>8.5</v>
          </cell>
          <cell r="F19">
            <v>8.5</v>
          </cell>
          <cell r="G19">
            <v>10.5</v>
          </cell>
          <cell r="H19">
            <v>5</v>
          </cell>
          <cell r="I19">
            <v>7</v>
          </cell>
          <cell r="J19">
            <v>7.6999999999999993</v>
          </cell>
          <cell r="K19">
            <v>7.25</v>
          </cell>
          <cell r="L19">
            <v>8.926104500000001</v>
          </cell>
          <cell r="M19">
            <v>9.3333333333333321</v>
          </cell>
          <cell r="N19">
            <v>9.75</v>
          </cell>
          <cell r="O19">
            <v>6.833333305</v>
          </cell>
        </row>
        <row r="20">
          <cell r="E20">
            <v>9</v>
          </cell>
          <cell r="F20">
            <v>9</v>
          </cell>
          <cell r="G20">
            <v>11</v>
          </cell>
          <cell r="H20">
            <v>5</v>
          </cell>
          <cell r="I20">
            <v>7</v>
          </cell>
          <cell r="J20">
            <v>8</v>
          </cell>
          <cell r="K20">
            <v>7.5</v>
          </cell>
          <cell r="L20">
            <v>9.5099930000000015</v>
          </cell>
          <cell r="M20">
            <v>10</v>
          </cell>
          <cell r="N20">
            <v>10.5</v>
          </cell>
          <cell r="O20">
            <v>6.9999999699999993</v>
          </cell>
        </row>
        <row r="21">
          <cell r="E21">
            <v>9.5</v>
          </cell>
          <cell r="F21">
            <v>9.5</v>
          </cell>
          <cell r="G21">
            <v>11.5</v>
          </cell>
          <cell r="H21">
            <v>5</v>
          </cell>
          <cell r="I21">
            <v>7</v>
          </cell>
          <cell r="J21">
            <v>8.3000000000000007</v>
          </cell>
          <cell r="K21">
            <v>7.75</v>
          </cell>
          <cell r="L21">
            <v>10.0938815</v>
          </cell>
          <cell r="M21">
            <v>10.666666666666666</v>
          </cell>
          <cell r="N21">
            <v>11.25</v>
          </cell>
          <cell r="O21">
            <v>7.1666666350000003</v>
          </cell>
        </row>
        <row r="22">
          <cell r="E22">
            <v>10</v>
          </cell>
          <cell r="F22">
            <v>10</v>
          </cell>
          <cell r="G22">
            <v>12</v>
          </cell>
          <cell r="H22">
            <v>5</v>
          </cell>
          <cell r="I22">
            <v>7</v>
          </cell>
          <cell r="J22">
            <v>8.6</v>
          </cell>
          <cell r="K22">
            <v>8</v>
          </cell>
          <cell r="L22">
            <v>10.677770000000001</v>
          </cell>
          <cell r="M22">
            <v>11.333333333333332</v>
          </cell>
          <cell r="N22">
            <v>12</v>
          </cell>
          <cell r="O22">
            <v>7.3333332999999996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61"/>
  <sheetViews>
    <sheetView topLeftCell="A40" workbookViewId="0">
      <selection activeCell="C13" sqref="C13"/>
    </sheetView>
  </sheetViews>
  <sheetFormatPr defaultRowHeight="15" x14ac:dyDescent="0.25"/>
  <cols>
    <col min="2" max="2" width="19.42578125" customWidth="1"/>
    <col min="10" max="10" width="18.42578125" customWidth="1"/>
    <col min="11" max="11" width="14.28515625" customWidth="1"/>
  </cols>
  <sheetData>
    <row r="2" spans="2:12" x14ac:dyDescent="0.25">
      <c r="B2" t="s">
        <v>7</v>
      </c>
    </row>
    <row r="3" spans="2:12" x14ac:dyDescent="0.25">
      <c r="B3" t="s">
        <v>8</v>
      </c>
    </row>
    <row r="5" spans="2:12" x14ac:dyDescent="0.25">
      <c r="B5" t="s">
        <v>11</v>
      </c>
    </row>
    <row r="6" spans="2:12" x14ac:dyDescent="0.25">
      <c r="B6" t="s">
        <v>12</v>
      </c>
    </row>
    <row r="7" spans="2:12" x14ac:dyDescent="0.25">
      <c r="B7" t="s">
        <v>13</v>
      </c>
    </row>
    <row r="9" spans="2:12" x14ac:dyDescent="0.25">
      <c r="C9" s="3" t="s">
        <v>1</v>
      </c>
      <c r="D9" s="3" t="s">
        <v>2</v>
      </c>
      <c r="F9" s="3" t="s">
        <v>6</v>
      </c>
      <c r="G9" s="3"/>
      <c r="H9" s="3"/>
      <c r="I9" s="3"/>
      <c r="J9" s="3" t="s">
        <v>9</v>
      </c>
      <c r="K9" s="3" t="s">
        <v>5</v>
      </c>
      <c r="L9" s="3"/>
    </row>
    <row r="10" spans="2:12" x14ac:dyDescent="0.25">
      <c r="C10" s="3"/>
      <c r="D10" s="3"/>
      <c r="F10" s="3" t="s">
        <v>3</v>
      </c>
      <c r="G10" s="3"/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</row>
    <row r="11" spans="2:12" x14ac:dyDescent="0.25">
      <c r="B11" t="s">
        <v>9</v>
      </c>
      <c r="C11" s="3">
        <v>0</v>
      </c>
      <c r="D11" s="3">
        <v>1</v>
      </c>
      <c r="F11" s="3">
        <v>0</v>
      </c>
      <c r="G11" s="3"/>
      <c r="H11" s="3">
        <v>5</v>
      </c>
      <c r="I11" s="3">
        <v>7</v>
      </c>
      <c r="J11" s="3">
        <f>F11</f>
        <v>0</v>
      </c>
      <c r="K11" s="3">
        <f>$C$13+$D$13*F11</f>
        <v>2.4</v>
      </c>
      <c r="L11" s="3">
        <f>2+F11</f>
        <v>2</v>
      </c>
    </row>
    <row r="12" spans="2:12" x14ac:dyDescent="0.25">
      <c r="F12" s="3">
        <v>0.5</v>
      </c>
      <c r="G12" s="3"/>
      <c r="H12" s="3">
        <v>5</v>
      </c>
      <c r="I12" s="3">
        <v>7</v>
      </c>
      <c r="J12" s="3">
        <f>F12</f>
        <v>0.5</v>
      </c>
      <c r="K12" s="3">
        <f>$C$13+$D$13*F12</f>
        <v>2.6999999999999997</v>
      </c>
      <c r="L12" s="3">
        <f t="shared" ref="L12:L31" si="0">2+F12</f>
        <v>2.5</v>
      </c>
    </row>
    <row r="13" spans="2:12" x14ac:dyDescent="0.25">
      <c r="B13" t="s">
        <v>10</v>
      </c>
      <c r="C13" s="3">
        <v>2.4</v>
      </c>
      <c r="D13" s="3">
        <v>0.6</v>
      </c>
      <c r="F13" s="3">
        <v>1</v>
      </c>
      <c r="G13" s="3"/>
      <c r="H13" s="3">
        <v>5</v>
      </c>
      <c r="I13" s="3">
        <v>7</v>
      </c>
      <c r="J13" s="3">
        <f>F13</f>
        <v>1</v>
      </c>
      <c r="K13" s="3">
        <f>$C$13+$D$13*F13</f>
        <v>3</v>
      </c>
      <c r="L13" s="3">
        <f t="shared" si="0"/>
        <v>3</v>
      </c>
    </row>
    <row r="14" spans="2:12" x14ac:dyDescent="0.25">
      <c r="F14" s="3">
        <v>1.5</v>
      </c>
      <c r="G14" s="3"/>
      <c r="H14" s="3">
        <v>5</v>
      </c>
      <c r="I14" s="3">
        <v>7</v>
      </c>
      <c r="J14" s="3">
        <f>F14</f>
        <v>1.5</v>
      </c>
      <c r="K14" s="3">
        <f>$C$13+$D$13*F14</f>
        <v>3.3</v>
      </c>
      <c r="L14" s="3">
        <f t="shared" si="0"/>
        <v>3.5</v>
      </c>
    </row>
    <row r="15" spans="2:12" x14ac:dyDescent="0.25">
      <c r="F15" s="3">
        <v>2</v>
      </c>
      <c r="G15" s="3"/>
      <c r="H15" s="3">
        <v>5</v>
      </c>
      <c r="I15" s="3">
        <v>7</v>
      </c>
      <c r="J15" s="3">
        <f>F15</f>
        <v>2</v>
      </c>
      <c r="K15" s="3">
        <f>$C$13+$D$13*F15</f>
        <v>3.5999999999999996</v>
      </c>
      <c r="L15" s="3">
        <f t="shared" si="0"/>
        <v>4</v>
      </c>
    </row>
    <row r="16" spans="2:12" x14ac:dyDescent="0.25">
      <c r="F16" s="3">
        <v>2.5</v>
      </c>
      <c r="G16" s="3"/>
      <c r="H16" s="3">
        <v>5</v>
      </c>
      <c r="I16" s="3">
        <v>7</v>
      </c>
      <c r="J16" s="3">
        <f>F16</f>
        <v>2.5</v>
      </c>
      <c r="K16" s="3">
        <f>$C$13+$D$13*F16</f>
        <v>3.9</v>
      </c>
      <c r="L16" s="3">
        <f t="shared" si="0"/>
        <v>4.5</v>
      </c>
    </row>
    <row r="17" spans="6:12" x14ac:dyDescent="0.25">
      <c r="F17" s="3">
        <v>3</v>
      </c>
      <c r="G17" s="3"/>
      <c r="H17" s="3">
        <v>5</v>
      </c>
      <c r="I17" s="3">
        <v>7</v>
      </c>
      <c r="J17" s="3">
        <f>F17</f>
        <v>3</v>
      </c>
      <c r="K17" s="3">
        <f>$C$13+$D$13*F17</f>
        <v>4.1999999999999993</v>
      </c>
      <c r="L17" s="3">
        <f t="shared" si="0"/>
        <v>5</v>
      </c>
    </row>
    <row r="18" spans="6:12" x14ac:dyDescent="0.25">
      <c r="F18" s="3">
        <v>3.5</v>
      </c>
      <c r="G18" s="3"/>
      <c r="H18" s="3">
        <v>5</v>
      </c>
      <c r="I18" s="3">
        <v>7</v>
      </c>
      <c r="J18" s="3">
        <f>F18</f>
        <v>3.5</v>
      </c>
      <c r="K18" s="3">
        <f>$C$13+$D$13*F18</f>
        <v>4.5</v>
      </c>
      <c r="L18" s="3">
        <f t="shared" si="0"/>
        <v>5.5</v>
      </c>
    </row>
    <row r="19" spans="6:12" x14ac:dyDescent="0.25">
      <c r="F19" s="3">
        <v>4</v>
      </c>
      <c r="G19" s="3"/>
      <c r="H19" s="3">
        <v>5</v>
      </c>
      <c r="I19" s="3">
        <v>7</v>
      </c>
      <c r="J19" s="3">
        <f>F19</f>
        <v>4</v>
      </c>
      <c r="K19" s="3">
        <f>$C$13+$D$13*F19</f>
        <v>4.8</v>
      </c>
      <c r="L19" s="3">
        <f t="shared" si="0"/>
        <v>6</v>
      </c>
    </row>
    <row r="20" spans="6:12" x14ac:dyDescent="0.25">
      <c r="F20" s="3">
        <v>4.5</v>
      </c>
      <c r="G20" s="3"/>
      <c r="H20" s="3">
        <v>5</v>
      </c>
      <c r="I20" s="3">
        <v>7</v>
      </c>
      <c r="J20" s="3">
        <f>F20</f>
        <v>4.5</v>
      </c>
      <c r="K20" s="3">
        <f>$C$13+$D$13*F20</f>
        <v>5.0999999999999996</v>
      </c>
      <c r="L20" s="3">
        <f t="shared" si="0"/>
        <v>6.5</v>
      </c>
    </row>
    <row r="21" spans="6:12" x14ac:dyDescent="0.25">
      <c r="F21" s="3">
        <v>5</v>
      </c>
      <c r="G21" s="3"/>
      <c r="H21" s="3">
        <v>5</v>
      </c>
      <c r="I21" s="3">
        <v>7</v>
      </c>
      <c r="J21" s="3">
        <f>F21</f>
        <v>5</v>
      </c>
      <c r="K21" s="3">
        <f>$C$13+$D$13*F21</f>
        <v>5.4</v>
      </c>
      <c r="L21" s="3">
        <f t="shared" si="0"/>
        <v>7</v>
      </c>
    </row>
    <row r="22" spans="6:12" x14ac:dyDescent="0.25">
      <c r="F22" s="3">
        <v>5.5</v>
      </c>
      <c r="G22" s="3"/>
      <c r="H22" s="3">
        <v>5</v>
      </c>
      <c r="I22" s="3">
        <v>7</v>
      </c>
      <c r="J22" s="3">
        <f>F22</f>
        <v>5.5</v>
      </c>
      <c r="K22" s="3">
        <f>$C$13+$D$13*F22</f>
        <v>5.6999999999999993</v>
      </c>
      <c r="L22" s="3">
        <f t="shared" si="0"/>
        <v>7.5</v>
      </c>
    </row>
    <row r="23" spans="6:12" x14ac:dyDescent="0.25">
      <c r="F23" s="3">
        <v>6</v>
      </c>
      <c r="G23" s="3"/>
      <c r="H23" s="3">
        <v>5</v>
      </c>
      <c r="I23" s="3">
        <v>7</v>
      </c>
      <c r="J23" s="3">
        <f>F23</f>
        <v>6</v>
      </c>
      <c r="K23" s="3">
        <f>$C$13+$D$13*F23</f>
        <v>6</v>
      </c>
      <c r="L23" s="3">
        <f t="shared" si="0"/>
        <v>8</v>
      </c>
    </row>
    <row r="24" spans="6:12" x14ac:dyDescent="0.25">
      <c r="F24" s="3">
        <v>6.5</v>
      </c>
      <c r="G24" s="3"/>
      <c r="H24" s="3">
        <v>5</v>
      </c>
      <c r="I24" s="3">
        <v>7</v>
      </c>
      <c r="J24" s="3">
        <f>F24</f>
        <v>6.5</v>
      </c>
      <c r="K24" s="3">
        <f>$C$13+$D$13*F24</f>
        <v>6.3</v>
      </c>
      <c r="L24" s="3">
        <f t="shared" si="0"/>
        <v>8.5</v>
      </c>
    </row>
    <row r="25" spans="6:12" x14ac:dyDescent="0.25">
      <c r="F25" s="3">
        <v>7</v>
      </c>
      <c r="G25" s="3"/>
      <c r="H25" s="3">
        <v>5</v>
      </c>
      <c r="I25" s="3">
        <v>7</v>
      </c>
      <c r="J25" s="3">
        <f>F25</f>
        <v>7</v>
      </c>
      <c r="K25" s="3">
        <f>$C$13+$D$13*F25</f>
        <v>6.6</v>
      </c>
      <c r="L25" s="3">
        <f t="shared" si="0"/>
        <v>9</v>
      </c>
    </row>
    <row r="26" spans="6:12" x14ac:dyDescent="0.25">
      <c r="F26" s="3">
        <v>7.5</v>
      </c>
      <c r="G26" s="3"/>
      <c r="H26" s="3">
        <v>5</v>
      </c>
      <c r="I26" s="3">
        <v>7</v>
      </c>
      <c r="J26" s="3">
        <f>F26</f>
        <v>7.5</v>
      </c>
      <c r="K26" s="3">
        <f>$C$13+$D$13*F26</f>
        <v>6.9</v>
      </c>
      <c r="L26" s="3">
        <f t="shared" si="0"/>
        <v>9.5</v>
      </c>
    </row>
    <row r="27" spans="6:12" x14ac:dyDescent="0.25">
      <c r="F27" s="3">
        <v>8</v>
      </c>
      <c r="G27" s="3"/>
      <c r="H27" s="3">
        <v>5</v>
      </c>
      <c r="I27" s="3">
        <v>7</v>
      </c>
      <c r="J27" s="3">
        <f>F27</f>
        <v>8</v>
      </c>
      <c r="K27" s="3">
        <f>$C$13+$D$13*F27</f>
        <v>7.1999999999999993</v>
      </c>
      <c r="L27" s="3">
        <f t="shared" si="0"/>
        <v>10</v>
      </c>
    </row>
    <row r="28" spans="6:12" x14ac:dyDescent="0.25">
      <c r="F28" s="3">
        <v>8.5</v>
      </c>
      <c r="G28" s="3"/>
      <c r="H28" s="3">
        <v>5</v>
      </c>
      <c r="I28" s="3">
        <v>7</v>
      </c>
      <c r="J28" s="3">
        <f>F28</f>
        <v>8.5</v>
      </c>
      <c r="K28" s="3">
        <f>$C$13+$D$13*F28</f>
        <v>7.5</v>
      </c>
      <c r="L28" s="3">
        <f t="shared" si="0"/>
        <v>10.5</v>
      </c>
    </row>
    <row r="29" spans="6:12" x14ac:dyDescent="0.25">
      <c r="F29" s="3">
        <v>9</v>
      </c>
      <c r="G29" s="3"/>
      <c r="H29" s="3">
        <v>5</v>
      </c>
      <c r="I29" s="3">
        <v>7</v>
      </c>
      <c r="J29" s="3">
        <f>F29</f>
        <v>9</v>
      </c>
      <c r="K29" s="3">
        <f>$C$13+$D$13*F29</f>
        <v>7.7999999999999989</v>
      </c>
      <c r="L29" s="3">
        <f t="shared" si="0"/>
        <v>11</v>
      </c>
    </row>
    <row r="30" spans="6:12" x14ac:dyDescent="0.25">
      <c r="F30" s="3">
        <v>9.5</v>
      </c>
      <c r="G30" s="3"/>
      <c r="H30" s="3">
        <v>5</v>
      </c>
      <c r="I30" s="3">
        <v>7</v>
      </c>
      <c r="J30" s="3">
        <f>F30</f>
        <v>9.5</v>
      </c>
      <c r="K30" s="3">
        <f>$C$13+$D$13*F30</f>
        <v>8.1</v>
      </c>
      <c r="L30" s="3">
        <f t="shared" si="0"/>
        <v>11.5</v>
      </c>
    </row>
    <row r="31" spans="6:12" x14ac:dyDescent="0.25">
      <c r="F31" s="3">
        <v>10</v>
      </c>
      <c r="G31" s="3"/>
      <c r="H31" s="3">
        <v>5</v>
      </c>
      <c r="I31" s="3">
        <v>7</v>
      </c>
      <c r="J31" s="3">
        <f>F31</f>
        <v>10</v>
      </c>
      <c r="K31" s="3">
        <f>$C$13+$D$13*F31</f>
        <v>8.4</v>
      </c>
      <c r="L31" s="3">
        <f t="shared" si="0"/>
        <v>12</v>
      </c>
    </row>
    <row r="61" spans="9:9" x14ac:dyDescent="0.25">
      <c r="I61" t="s">
        <v>4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topLeftCell="J4" zoomScale="80" zoomScaleNormal="80" workbookViewId="0">
      <selection activeCell="AD37" sqref="AD37"/>
    </sheetView>
  </sheetViews>
  <sheetFormatPr defaultRowHeight="15" x14ac:dyDescent="0.25"/>
  <sheetData>
    <row r="1" spans="1:19" x14ac:dyDescent="0.25">
      <c r="A1" t="s">
        <v>0</v>
      </c>
      <c r="B1">
        <v>0.5</v>
      </c>
      <c r="C1">
        <v>1.5</v>
      </c>
      <c r="D1">
        <v>2.5</v>
      </c>
      <c r="E1">
        <v>3.5</v>
      </c>
      <c r="F1">
        <v>4.5</v>
      </c>
      <c r="G1">
        <v>5.5</v>
      </c>
      <c r="H1" s="14" t="s">
        <v>32</v>
      </c>
      <c r="I1">
        <v>6.5</v>
      </c>
      <c r="K1">
        <v>7.5</v>
      </c>
      <c r="L1">
        <v>8.5</v>
      </c>
      <c r="M1">
        <v>9.5</v>
      </c>
    </row>
    <row r="2" spans="1:19" x14ac:dyDescent="0.25">
      <c r="A2">
        <v>0.1</v>
      </c>
      <c r="B2" s="2">
        <v>0.40442898384781301</v>
      </c>
      <c r="C2" s="2">
        <v>0.42872757986482901</v>
      </c>
      <c r="D2" s="2">
        <v>0.45337473368039799</v>
      </c>
      <c r="E2" s="2">
        <v>0.47219105051256199</v>
      </c>
      <c r="F2" s="2">
        <v>0.48501370292386098</v>
      </c>
      <c r="G2" s="2">
        <v>0.49785611589198098</v>
      </c>
      <c r="H2" s="15">
        <f>1-I2</f>
        <v>0.48929864177972604</v>
      </c>
      <c r="I2" s="2">
        <v>0.51070135822027396</v>
      </c>
      <c r="J2" s="2">
        <f>1-K2</f>
        <v>0.47646751620902705</v>
      </c>
      <c r="K2" s="2">
        <v>0.52353248379097295</v>
      </c>
      <c r="L2" s="2">
        <v>0.53633262088447697</v>
      </c>
      <c r="M2" s="2">
        <v>0.54908506066691598</v>
      </c>
    </row>
    <row r="3" spans="1:19" x14ac:dyDescent="0.25">
      <c r="A3">
        <v>0.2</v>
      </c>
      <c r="B3" s="2">
        <v>0.31249614923508301</v>
      </c>
      <c r="C3" s="2">
        <v>0.35698477095341602</v>
      </c>
      <c r="D3" s="2">
        <v>0.40408439801219598</v>
      </c>
      <c r="E3" s="2">
        <v>0.441365813516926</v>
      </c>
      <c r="F3" s="2">
        <v>0.46756763657390499</v>
      </c>
      <c r="G3" s="2">
        <v>0.49394956963445202</v>
      </c>
      <c r="H3" s="15">
        <f t="shared" ref="H3:H66" si="0">1-I3</f>
        <v>0.47963476017711604</v>
      </c>
      <c r="I3" s="2">
        <v>0.52036523982288396</v>
      </c>
      <c r="J3" s="2">
        <f t="shared" ref="J3:J56" si="1">1-K3</f>
        <v>0.45333247501842699</v>
      </c>
      <c r="K3" s="2">
        <v>0.54666752498157301</v>
      </c>
      <c r="L3" s="2">
        <v>0.57271181550379102</v>
      </c>
      <c r="M3" s="2">
        <v>0.59835915870199896</v>
      </c>
    </row>
    <row r="4" spans="1:19" x14ac:dyDescent="0.25">
      <c r="A4">
        <v>0.3</v>
      </c>
      <c r="B4" s="2">
        <v>0.23088158137309001</v>
      </c>
      <c r="C4" s="2">
        <v>0.28836460929150298</v>
      </c>
      <c r="D4" s="2">
        <v>0.35357992546189099</v>
      </c>
      <c r="E4" s="2">
        <v>0.40807894829546998</v>
      </c>
      <c r="F4" s="2">
        <v>0.447925068594001</v>
      </c>
      <c r="G4" s="2">
        <v>0.488451296339734</v>
      </c>
      <c r="H4" s="15">
        <f t="shared" si="0"/>
        <v>0.47087008560497601</v>
      </c>
      <c r="I4" s="2">
        <v>0.52912991439502399</v>
      </c>
      <c r="J4" s="2">
        <f t="shared" si="1"/>
        <v>0.430574756839464</v>
      </c>
      <c r="K4" s="2">
        <v>0.569425243160536</v>
      </c>
      <c r="L4" s="2">
        <v>0.60882154583693704</v>
      </c>
      <c r="M4" s="2">
        <v>0.64684876487494403</v>
      </c>
      <c r="Q4" t="s">
        <v>24</v>
      </c>
      <c r="S4" t="s">
        <v>23</v>
      </c>
    </row>
    <row r="5" spans="1:19" x14ac:dyDescent="0.25">
      <c r="A5">
        <v>0.4</v>
      </c>
      <c r="B5" s="2">
        <v>0.163955660593642</v>
      </c>
      <c r="C5" s="2">
        <v>0.22634150350263499</v>
      </c>
      <c r="D5" s="2">
        <v>0.303838445379152</v>
      </c>
      <c r="E5" s="2">
        <v>0.373336044668649</v>
      </c>
      <c r="F5" s="2">
        <v>0.42662775978874501</v>
      </c>
      <c r="G5" s="2">
        <v>0.481679449313349</v>
      </c>
      <c r="H5" s="15">
        <f t="shared" si="0"/>
        <v>0.46282045001816896</v>
      </c>
      <c r="I5" s="2">
        <v>0.53717954998183104</v>
      </c>
      <c r="J5" s="2">
        <f t="shared" si="1"/>
        <v>0.40822658209263696</v>
      </c>
      <c r="K5" s="2">
        <v>0.59177341790736304</v>
      </c>
      <c r="L5" s="2">
        <v>0.64419294735230903</v>
      </c>
      <c r="M5" s="2">
        <v>0.69336914372909697</v>
      </c>
      <c r="Q5" t="s">
        <v>25</v>
      </c>
    </row>
    <row r="6" spans="1:19" x14ac:dyDescent="0.25">
      <c r="A6">
        <v>0.5</v>
      </c>
      <c r="B6" s="2">
        <v>0.11280615276738901</v>
      </c>
      <c r="C6" s="2">
        <v>0.17330358979709301</v>
      </c>
      <c r="D6" s="2">
        <v>0.25685248746779399</v>
      </c>
      <c r="E6" s="2">
        <v>0.338335548464053</v>
      </c>
      <c r="F6" s="2">
        <v>0.40434913954712598</v>
      </c>
      <c r="G6" s="2">
        <v>0.47401554269273599</v>
      </c>
      <c r="H6" s="15">
        <f t="shared" si="0"/>
        <v>0.45529151001409596</v>
      </c>
      <c r="I6" s="2">
        <v>0.54470848998590404</v>
      </c>
      <c r="J6" s="2">
        <f t="shared" si="1"/>
        <v>0.38635562733052198</v>
      </c>
      <c r="K6" s="2">
        <v>0.61364437266947802</v>
      </c>
      <c r="L6" s="2">
        <v>0.67830687284999902</v>
      </c>
      <c r="M6" s="2">
        <v>0.73678911526048496</v>
      </c>
    </row>
    <row r="7" spans="1:19" x14ac:dyDescent="0.25">
      <c r="A7">
        <v>0.6</v>
      </c>
      <c r="B7" s="2">
        <v>7.5850370220890598E-2</v>
      </c>
      <c r="C7" s="2">
        <v>0.130095865461167</v>
      </c>
      <c r="D7" s="2">
        <v>0.214146267296944</v>
      </c>
      <c r="E7" s="2">
        <v>0.30417800910191101</v>
      </c>
      <c r="F7" s="2">
        <v>0.38172815476720301</v>
      </c>
      <c r="G7" s="2">
        <v>0.46581385538519299</v>
      </c>
      <c r="H7" s="15">
        <f t="shared" si="0"/>
        <v>0.44811173471281696</v>
      </c>
      <c r="I7" s="2">
        <v>0.55188826528718304</v>
      </c>
      <c r="J7" s="2">
        <f t="shared" si="1"/>
        <v>0.36503786978783104</v>
      </c>
      <c r="K7" s="2">
        <v>0.63496213021216896</v>
      </c>
      <c r="L7" s="2">
        <v>0.71070808653409301</v>
      </c>
      <c r="M7" s="2">
        <v>0.77627457599310801</v>
      </c>
    </row>
    <row r="8" spans="1:19" x14ac:dyDescent="0.25">
      <c r="A8">
        <v>0.7</v>
      </c>
      <c r="B8" s="2">
        <v>5.0220013021829303E-2</v>
      </c>
      <c r="C8" s="2">
        <v>9.6231477587317996E-2</v>
      </c>
      <c r="D8" s="2">
        <v>0.17656191472115701</v>
      </c>
      <c r="E8" s="2">
        <v>0.27169157825408202</v>
      </c>
      <c r="F8" s="2">
        <v>0.359269121183664</v>
      </c>
      <c r="G8" s="2">
        <v>0.45734928770079802</v>
      </c>
      <c r="H8" s="15">
        <f t="shared" si="0"/>
        <v>0.441148836049579</v>
      </c>
      <c r="I8" s="2">
        <v>0.558851163950421</v>
      </c>
      <c r="J8" s="2">
        <f t="shared" si="1"/>
        <v>0.34433833629381605</v>
      </c>
      <c r="K8" s="2">
        <v>0.65566166370618395</v>
      </c>
      <c r="L8" s="2">
        <v>0.74107041790460604</v>
      </c>
      <c r="M8" s="2">
        <v>0.81138868335945702</v>
      </c>
    </row>
    <row r="9" spans="1:19" x14ac:dyDescent="0.25">
      <c r="A9">
        <v>0.8</v>
      </c>
      <c r="B9" s="2">
        <v>3.2929171006006203E-2</v>
      </c>
      <c r="C9" s="2">
        <v>7.0442439184481398E-2</v>
      </c>
      <c r="D9" s="2">
        <v>0.14431389904794101</v>
      </c>
      <c r="E9" s="2">
        <v>0.241398558086489</v>
      </c>
      <c r="F9" s="2">
        <v>0.33732094945991598</v>
      </c>
      <c r="G9" s="2">
        <v>0.44880882803788102</v>
      </c>
      <c r="H9" s="15">
        <f t="shared" si="0"/>
        <v>0.43431026574130505</v>
      </c>
      <c r="I9" s="2">
        <v>0.56568973425869495</v>
      </c>
      <c r="J9" s="2">
        <f t="shared" si="1"/>
        <v>0.32430489560152798</v>
      </c>
      <c r="K9" s="2">
        <v>0.67569510439847202</v>
      </c>
      <c r="L9" s="2">
        <v>0.76920525749983604</v>
      </c>
      <c r="M9" s="2">
        <v>0.84205525131679504</v>
      </c>
    </row>
    <row r="10" spans="1:19" x14ac:dyDescent="0.25">
      <c r="A10">
        <v>0.9</v>
      </c>
      <c r="B10" s="2">
        <v>2.1468123235588499E-2</v>
      </c>
      <c r="C10" s="2">
        <v>5.1198752572128199E-2</v>
      </c>
      <c r="D10" s="2">
        <v>0.117172338541058</v>
      </c>
      <c r="E10" s="2">
        <v>0.21356474335990799</v>
      </c>
      <c r="F10" s="2">
        <v>0.31610223665210002</v>
      </c>
      <c r="G10" s="2">
        <v>0.44030726848909402</v>
      </c>
      <c r="H10" s="15">
        <f t="shared" si="0"/>
        <v>0.42753571872435903</v>
      </c>
      <c r="I10" s="2">
        <v>0.57246428127564097</v>
      </c>
      <c r="J10" s="2">
        <f t="shared" si="1"/>
        <v>0.30497031154338095</v>
      </c>
      <c r="K10" s="2">
        <v>0.69502968845661905</v>
      </c>
      <c r="L10" s="2">
        <v>0.79503839709186097</v>
      </c>
      <c r="M10" s="2">
        <v>0.86845826772509804</v>
      </c>
    </row>
    <row r="11" spans="1:19" x14ac:dyDescent="0.25">
      <c r="A11">
        <v>1</v>
      </c>
      <c r="B11" s="2">
        <v>1.39519717338344E-2</v>
      </c>
      <c r="C11" s="2">
        <v>3.7037475907668697E-2</v>
      </c>
      <c r="D11" s="2">
        <v>9.4654412762345499E-2</v>
      </c>
      <c r="E11" s="2">
        <v>0.18827148044206801</v>
      </c>
      <c r="F11" s="2">
        <v>0.29573842620644403</v>
      </c>
      <c r="G11" s="2">
        <v>0.43190869015031103</v>
      </c>
      <c r="H11" s="15">
        <f t="shared" si="0"/>
        <v>0.42078821126363497</v>
      </c>
      <c r="I11" s="2">
        <v>0.57921178873636503</v>
      </c>
      <c r="J11" s="2">
        <f t="shared" si="1"/>
        <v>0.28635669231786098</v>
      </c>
      <c r="K11" s="2">
        <v>0.71364330768213902</v>
      </c>
      <c r="L11" s="2">
        <v>0.81857929048572398</v>
      </c>
      <c r="M11" s="2">
        <v>0.89093797729597202</v>
      </c>
    </row>
    <row r="12" spans="1:19" x14ac:dyDescent="0.25">
      <c r="A12">
        <v>1.1000000000000001</v>
      </c>
      <c r="B12" s="2">
        <v>9.0530887655242507E-3</v>
      </c>
      <c r="C12" s="2">
        <v>2.6712315832777001E-2</v>
      </c>
      <c r="D12" s="2">
        <v>7.6170380163699106E-2</v>
      </c>
      <c r="E12" s="2">
        <v>0.16547953026590201</v>
      </c>
      <c r="F12" s="2">
        <v>0.27629407638943998</v>
      </c>
      <c r="G12" s="2">
        <v>0.42364476818770502</v>
      </c>
      <c r="H12" s="15">
        <f t="shared" si="0"/>
        <v>0.414046648645226</v>
      </c>
      <c r="I12" s="2">
        <v>0.585953351354774</v>
      </c>
      <c r="J12" s="2">
        <f t="shared" si="1"/>
        <v>0.26847924719708804</v>
      </c>
      <c r="K12" s="2">
        <v>0.73152075280291196</v>
      </c>
      <c r="L12" s="2">
        <v>0.83989437762891594</v>
      </c>
      <c r="M12" s="2">
        <v>0.90990969810511102</v>
      </c>
    </row>
    <row r="13" spans="1:19" x14ac:dyDescent="0.25">
      <c r="A13">
        <v>1.2</v>
      </c>
      <c r="B13" s="2">
        <v>5.8706593498258804E-3</v>
      </c>
      <c r="C13" s="2">
        <v>1.9229358688517901E-2</v>
      </c>
      <c r="D13" s="2">
        <v>6.11170213715517E-2</v>
      </c>
      <c r="E13" s="2">
        <v>0.145076313607509</v>
      </c>
      <c r="F13" s="2">
        <v>0.25779591091098703</v>
      </c>
      <c r="G13" s="2">
        <v>0.41552778673519603</v>
      </c>
      <c r="H13" s="15">
        <f t="shared" si="0"/>
        <v>0.40730044195463999</v>
      </c>
      <c r="I13" s="2">
        <v>0.59269955804536001</v>
      </c>
      <c r="J13" s="2">
        <f t="shared" si="1"/>
        <v>0.251348568918486</v>
      </c>
      <c r="K13" s="2">
        <v>0.748651431081514</v>
      </c>
      <c r="L13" s="2">
        <v>0.85908718840641296</v>
      </c>
      <c r="M13" s="2">
        <v>0.92580901704984597</v>
      </c>
    </row>
    <row r="14" spans="1:19" x14ac:dyDescent="0.25">
      <c r="A14">
        <v>1.3</v>
      </c>
      <c r="B14" s="2">
        <v>3.8065940132316102E-3</v>
      </c>
      <c r="C14" s="2">
        <v>1.38270260799939E-2</v>
      </c>
      <c r="D14" s="2">
        <v>4.8929546577562398E-2</v>
      </c>
      <c r="E14" s="2">
        <v>0.126908010819895</v>
      </c>
      <c r="F14" s="2">
        <v>0.24024772534135699</v>
      </c>
      <c r="G14" s="2">
        <v>0.407559075739654</v>
      </c>
      <c r="H14" s="15">
        <f t="shared" si="0"/>
        <v>0.40054583579337</v>
      </c>
      <c r="I14" s="2">
        <v>0.59945416420663</v>
      </c>
      <c r="J14" s="2">
        <f t="shared" si="1"/>
        <v>0.23497167478436798</v>
      </c>
      <c r="K14" s="2">
        <v>0.76502832521563202</v>
      </c>
      <c r="L14" s="2">
        <v>0.87628430773243904</v>
      </c>
      <c r="M14" s="2">
        <v>0.93905836527226305</v>
      </c>
    </row>
    <row r="15" spans="1:19" x14ac:dyDescent="0.25">
      <c r="A15">
        <v>1.4</v>
      </c>
      <c r="B15" s="2">
        <v>2.46869387146212E-3</v>
      </c>
      <c r="C15" s="2">
        <v>9.9361042901433601E-3</v>
      </c>
      <c r="D15" s="2">
        <v>3.9105763167726099E-2</v>
      </c>
      <c r="E15" s="2">
        <v>0.11080051968921199</v>
      </c>
      <c r="F15" s="2">
        <v>0.223639534718203</v>
      </c>
      <c r="G15" s="2">
        <v>0.399734218610028</v>
      </c>
      <c r="H15" s="15">
        <f t="shared" si="0"/>
        <v>0.393783459323786</v>
      </c>
      <c r="I15" s="2">
        <v>0.606216540676214</v>
      </c>
      <c r="J15" s="2">
        <f t="shared" si="1"/>
        <v>0.21935230318334997</v>
      </c>
      <c r="K15" s="2">
        <v>0.78064769681665003</v>
      </c>
      <c r="L15" s="2">
        <v>0.89162551812014301</v>
      </c>
      <c r="M15" s="2">
        <v>0.95004858554701199</v>
      </c>
    </row>
    <row r="16" spans="1:19" x14ac:dyDescent="0.25">
      <c r="A16">
        <v>1.5</v>
      </c>
      <c r="B16" s="2">
        <v>1.60153082787501E-3</v>
      </c>
      <c r="C16" s="2">
        <v>7.1377612122202E-3</v>
      </c>
      <c r="D16" s="2">
        <v>3.1213523067795301E-2</v>
      </c>
      <c r="E16" s="2">
        <v>9.6572822815072998E-2</v>
      </c>
      <c r="F16" s="2">
        <v>0.207952972933511</v>
      </c>
      <c r="G16" s="2">
        <v>0.39204613686696799</v>
      </c>
      <c r="H16" s="15">
        <f t="shared" si="0"/>
        <v>0.38701669443327802</v>
      </c>
      <c r="I16" s="2">
        <v>0.61298330556672198</v>
      </c>
      <c r="J16" s="2">
        <f t="shared" si="1"/>
        <v>0.20449083521540301</v>
      </c>
      <c r="K16" s="2">
        <v>0.79550916478459699</v>
      </c>
      <c r="L16" s="2">
        <v>0.90525679652478896</v>
      </c>
      <c r="M16" s="2">
        <v>0.95913029607573097</v>
      </c>
    </row>
    <row r="17" spans="1:13" x14ac:dyDescent="0.25">
      <c r="A17">
        <v>1.6</v>
      </c>
      <c r="B17" s="2">
        <v>1.0393450445644701E-3</v>
      </c>
      <c r="C17" s="2">
        <v>5.1268439066653798E-3</v>
      </c>
      <c r="D17" s="2">
        <v>2.4889007255687299E-2</v>
      </c>
      <c r="E17" s="2">
        <v>8.4045421395168102E-2</v>
      </c>
      <c r="F17" s="2">
        <v>0.19316444364291599</v>
      </c>
      <c r="G17" s="2">
        <v>0.38448687289649902</v>
      </c>
      <c r="H17" s="15">
        <f t="shared" si="0"/>
        <v>0.38025058432833503</v>
      </c>
      <c r="I17" s="2">
        <v>0.61974941567166497</v>
      </c>
      <c r="J17" s="2">
        <f t="shared" si="1"/>
        <v>0.19038412803424498</v>
      </c>
      <c r="K17" s="2">
        <v>0.80961587196575502</v>
      </c>
      <c r="L17" s="2">
        <v>0.91732522458566002</v>
      </c>
      <c r="M17" s="2">
        <v>0.96661129922719402</v>
      </c>
    </row>
    <row r="18" spans="1:13" x14ac:dyDescent="0.25">
      <c r="A18">
        <v>1.7</v>
      </c>
      <c r="B18" s="2">
        <v>6.7474406533403204E-4</v>
      </c>
      <c r="C18" s="2">
        <v>3.6823951402507899E-3</v>
      </c>
      <c r="D18" s="2">
        <v>1.9830530380222901E-2</v>
      </c>
      <c r="E18" s="2">
        <v>7.3045553787182999E-2</v>
      </c>
      <c r="F18" s="2">
        <v>0.179246946344054</v>
      </c>
      <c r="G18" s="2">
        <v>0.37704857711728401</v>
      </c>
      <c r="H18" s="15">
        <f t="shared" si="0"/>
        <v>0.37349109866562002</v>
      </c>
      <c r="I18" s="2">
        <v>0.62650890133437998</v>
      </c>
      <c r="J18" s="2">
        <f t="shared" si="1"/>
        <v>0.17702539717346999</v>
      </c>
      <c r="K18" s="2">
        <v>0.82297460282653001</v>
      </c>
      <c r="L18" s="2">
        <v>0.92797526328486302</v>
      </c>
      <c r="M18" s="2">
        <v>0.97275755817462595</v>
      </c>
    </row>
    <row r="19" spans="1:13" x14ac:dyDescent="0.25">
      <c r="A19">
        <v>1.8</v>
      </c>
      <c r="B19" s="2">
        <v>4.3818890969195902E-4</v>
      </c>
      <c r="C19" s="2">
        <v>2.64503341808381E-3</v>
      </c>
      <c r="D19" s="2">
        <v>1.5790610331535799E-2</v>
      </c>
      <c r="E19" s="2">
        <v>6.3410313898579596E-2</v>
      </c>
      <c r="F19" s="2">
        <v>0.16617115426564799</v>
      </c>
      <c r="G19" s="2">
        <v>0.36972402105076801</v>
      </c>
      <c r="H19" s="15">
        <f t="shared" si="0"/>
        <v>0.36674463787725697</v>
      </c>
      <c r="I19" s="2">
        <v>0.63325536212274303</v>
      </c>
      <c r="J19" s="2">
        <f t="shared" si="1"/>
        <v>0.16440421467481603</v>
      </c>
      <c r="K19" s="2">
        <v>0.83559578532518397</v>
      </c>
      <c r="L19" s="2">
        <v>0.93734604808306898</v>
      </c>
      <c r="M19" s="2">
        <v>0.97779613153335398</v>
      </c>
    </row>
    <row r="20" spans="1:13" x14ac:dyDescent="0.25">
      <c r="A20">
        <v>1.9</v>
      </c>
      <c r="B20" s="2">
        <v>2.8464942987861197E-4</v>
      </c>
      <c r="C20" s="2">
        <v>1.90005818056503E-3</v>
      </c>
      <c r="D20" s="2">
        <v>1.2567809113447501E-2</v>
      </c>
      <c r="E20" s="2">
        <v>5.4988378541448002E-2</v>
      </c>
      <c r="F20" s="2">
        <v>0.15390608258295699</v>
      </c>
      <c r="G20" s="2">
        <v>0.362506831235338</v>
      </c>
      <c r="H20" s="15">
        <f t="shared" si="0"/>
        <v>0.36001770061815497</v>
      </c>
      <c r="I20" s="2">
        <v>0.63998229938184503</v>
      </c>
      <c r="J20" s="2">
        <f t="shared" si="1"/>
        <v>0.15250663824627597</v>
      </c>
      <c r="K20" s="2">
        <v>0.84749336175372403</v>
      </c>
      <c r="L20" s="2">
        <v>0.94556948491936499</v>
      </c>
      <c r="M20" s="2">
        <v>0.98191905022872605</v>
      </c>
    </row>
    <row r="21" spans="1:13" x14ac:dyDescent="0.25">
      <c r="A21">
        <v>2</v>
      </c>
      <c r="B21" s="2">
        <v>1.84955997321038E-4</v>
      </c>
      <c r="C21" s="2">
        <v>1.36503421643009E-3</v>
      </c>
      <c r="D21" s="2">
        <v>9.9991064513665906E-3</v>
      </c>
      <c r="E21" s="2">
        <v>4.7640801949604801E-2</v>
      </c>
      <c r="F21" s="2">
        <v>0.142419540432555</v>
      </c>
      <c r="G21" s="2">
        <v>0.35539156178601999</v>
      </c>
      <c r="H21" s="15">
        <f t="shared" si="0"/>
        <v>0.35331666412494001</v>
      </c>
      <c r="I21" s="2">
        <v>0.64668333587505999</v>
      </c>
      <c r="J21" s="2">
        <f t="shared" si="1"/>
        <v>0.14131545891952102</v>
      </c>
      <c r="K21" s="2">
        <v>0.85868454108047898</v>
      </c>
      <c r="L21" s="2">
        <v>0.95276899112231095</v>
      </c>
      <c r="M21" s="2">
        <v>0.98528751029329498</v>
      </c>
    </row>
    <row r="22" spans="1:13" x14ac:dyDescent="0.25">
      <c r="A22">
        <v>2.1</v>
      </c>
      <c r="B22" s="2">
        <v>1.20203997706392E-4</v>
      </c>
      <c r="C22" s="2">
        <v>9.8075810883776603E-4</v>
      </c>
      <c r="D22" s="2">
        <v>7.9531371832935807E-3</v>
      </c>
      <c r="E22" s="2">
        <v>4.1241180847959802E-2</v>
      </c>
      <c r="F22" s="2">
        <v>0.131678473260602</v>
      </c>
      <c r="G22" s="2">
        <v>0.34837367650949402</v>
      </c>
      <c r="H22" s="15">
        <f t="shared" si="0"/>
        <v>0.346647643525125</v>
      </c>
      <c r="I22" s="2">
        <v>0.653352356474875</v>
      </c>
      <c r="J22" s="2">
        <f t="shared" si="1"/>
        <v>0.13081054156187999</v>
      </c>
      <c r="K22" s="2">
        <v>0.86918945843812001</v>
      </c>
      <c r="L22" s="2">
        <v>0.95905875795404105</v>
      </c>
      <c r="M22" s="2">
        <v>0.98803600880665199</v>
      </c>
    </row>
    <row r="23" spans="1:13" x14ac:dyDescent="0.25">
      <c r="A23">
        <v>2.2000000000000002</v>
      </c>
      <c r="B23" s="2">
        <v>7.8135179127436906E-5</v>
      </c>
      <c r="C23" s="2">
        <v>7.0472542427232302E-4</v>
      </c>
      <c r="D23" s="2">
        <v>6.32438562970003E-3</v>
      </c>
      <c r="E23" s="2">
        <v>3.5675396864856199E-2</v>
      </c>
      <c r="F23" s="2">
        <v>0.12164925109776301</v>
      </c>
      <c r="G23" s="2">
        <v>0.34144948310631201</v>
      </c>
      <c r="H23" s="15">
        <f t="shared" si="0"/>
        <v>0.34001640656666199</v>
      </c>
      <c r="I23" s="2">
        <v>0.65998359343333801</v>
      </c>
      <c r="J23" s="2">
        <f t="shared" si="1"/>
        <v>0.12096922851968595</v>
      </c>
      <c r="K23" s="2">
        <v>0.87903077148031405</v>
      </c>
      <c r="L23" s="2">
        <v>0.964543429906493</v>
      </c>
      <c r="M23" s="2">
        <v>0.99027621393906795</v>
      </c>
    </row>
    <row r="24" spans="1:13" x14ac:dyDescent="0.25">
      <c r="A24">
        <v>2.2999999999999998</v>
      </c>
      <c r="B24" s="2">
        <v>5.0797024971115401E-5</v>
      </c>
      <c r="C24" s="2">
        <v>5.0642375938953204E-4</v>
      </c>
      <c r="D24" s="2">
        <v>5.0283064779737896E-3</v>
      </c>
      <c r="E24" s="2">
        <v>3.0841081121063402E-2</v>
      </c>
      <c r="F24" s="2">
        <v>0.11229792928359</v>
      </c>
      <c r="G24" s="2">
        <v>0.33461604480490398</v>
      </c>
      <c r="H24" s="15">
        <f t="shared" si="0"/>
        <v>0.33342832713530202</v>
      </c>
      <c r="I24" s="2">
        <v>0.66657167286469798</v>
      </c>
      <c r="J24" s="2">
        <f t="shared" si="1"/>
        <v>0.11176677779820898</v>
      </c>
      <c r="K24" s="2">
        <v>0.88823322220179102</v>
      </c>
      <c r="L24" s="2">
        <v>0.96931810881582203</v>
      </c>
      <c r="M24" s="2">
        <v>0.99210046463443602</v>
      </c>
    </row>
    <row r="25" spans="1:13" x14ac:dyDescent="0.25">
      <c r="A25">
        <v>2.4</v>
      </c>
      <c r="B25" s="2">
        <v>3.3028031011876799E-5</v>
      </c>
      <c r="C25" s="2">
        <v>3.6394866212686398E-4</v>
      </c>
      <c r="D25" s="2">
        <v>3.9972838706287704E-3</v>
      </c>
      <c r="E25" s="2">
        <v>2.6646904538513001E-2</v>
      </c>
      <c r="F25" s="2">
        <v>0.10359049220222601</v>
      </c>
      <c r="G25" s="2">
        <v>0.32787108433238699</v>
      </c>
      <c r="H25" s="15">
        <f t="shared" si="0"/>
        <v>0.32688836563478296</v>
      </c>
      <c r="I25" s="2">
        <v>0.67311163436521704</v>
      </c>
      <c r="J25" s="2">
        <f t="shared" si="1"/>
        <v>0.10317681100583997</v>
      </c>
      <c r="K25" s="2">
        <v>0.89682318899416003</v>
      </c>
      <c r="L25" s="2">
        <v>0.97346860233757004</v>
      </c>
      <c r="M25" s="2">
        <v>0.99358486096213094</v>
      </c>
    </row>
    <row r="26" spans="1:13" x14ac:dyDescent="0.25">
      <c r="A26">
        <v>2.5</v>
      </c>
      <c r="B26" s="2">
        <v>2.14768487023248E-5</v>
      </c>
      <c r="C26" s="2">
        <v>2.61573553087741E-4</v>
      </c>
      <c r="D26" s="2">
        <v>3.1773192405925698E-3</v>
      </c>
      <c r="E26" s="2">
        <v>2.3011768713232499E-2</v>
      </c>
      <c r="F26" s="2">
        <v>9.5493082376326394E-2</v>
      </c>
      <c r="G26" s="2">
        <v>0.32121288876973297</v>
      </c>
      <c r="H26" s="15">
        <f t="shared" si="0"/>
        <v>0.32040106761311504</v>
      </c>
      <c r="I26" s="2">
        <v>0.67959893238688496</v>
      </c>
      <c r="J26" s="2">
        <f t="shared" si="1"/>
        <v>9.5171751214726985E-2</v>
      </c>
      <c r="K26" s="2">
        <v>0.90482824878527301</v>
      </c>
      <c r="L26" s="2">
        <v>0.97707184766901201</v>
      </c>
      <c r="M26" s="2">
        <v>0.99479194585598296</v>
      </c>
    </row>
    <row r="27" spans="1:13" x14ac:dyDescent="0.25">
      <c r="A27">
        <v>2.6</v>
      </c>
      <c r="B27" s="2">
        <v>1.3966721323844899E-5</v>
      </c>
      <c r="C27" s="2">
        <v>1.88005746822776E-4</v>
      </c>
      <c r="D27" s="2">
        <v>2.5253368295144601E-3</v>
      </c>
      <c r="E27" s="2">
        <v>1.9863951475812502E-2</v>
      </c>
      <c r="F27" s="2">
        <v>8.7972213532915497E-2</v>
      </c>
      <c r="G27" s="2">
        <v>0.31464021996513603</v>
      </c>
      <c r="H27" s="15">
        <f t="shared" si="0"/>
        <v>0.31397057439868603</v>
      </c>
      <c r="I27" s="2">
        <v>0.68602942560131397</v>
      </c>
      <c r="J27" s="2">
        <f t="shared" si="1"/>
        <v>8.7723235953842016E-2</v>
      </c>
      <c r="K27" s="2">
        <v>0.91227676404615798</v>
      </c>
      <c r="L27" s="2">
        <v>0.98019645270522804</v>
      </c>
      <c r="M27" s="2">
        <v>0.99577300169674898</v>
      </c>
    </row>
    <row r="28" spans="1:13" x14ac:dyDescent="0.25">
      <c r="A28">
        <v>2.7</v>
      </c>
      <c r="B28" s="2">
        <v>9.0834060329684602E-6</v>
      </c>
      <c r="C28" s="2">
        <v>1.3513514540107401E-4</v>
      </c>
      <c r="D28" s="2">
        <v>2.0070038448934098E-3</v>
      </c>
      <c r="E28" s="2">
        <v>1.7140245867049399E-2</v>
      </c>
      <c r="F28" s="2">
        <v>8.0994965026519206E-2</v>
      </c>
      <c r="G28" s="2">
        <v>0.30815223282746101</v>
      </c>
      <c r="H28" s="15">
        <f t="shared" si="0"/>
        <v>0.30760064125137099</v>
      </c>
      <c r="I28" s="2">
        <v>0.69239935874862901</v>
      </c>
      <c r="J28" s="2">
        <f t="shared" si="1"/>
        <v>8.0802495211829028E-2</v>
      </c>
      <c r="K28" s="2">
        <v>0.91919750478817097</v>
      </c>
      <c r="L28" s="2">
        <v>0.98290330770447398</v>
      </c>
      <c r="M28" s="2">
        <v>0.99656999693472903</v>
      </c>
    </row>
    <row r="29" spans="1:13" x14ac:dyDescent="0.25">
      <c r="A29">
        <v>2.8</v>
      </c>
      <c r="B29" s="2">
        <v>5.9078487270975297E-6</v>
      </c>
      <c r="C29" s="2">
        <v>9.7136431082682896E-5</v>
      </c>
      <c r="D29" s="2">
        <v>1.59497427711307E-3</v>
      </c>
      <c r="E29" s="2">
        <v>1.47851196208235E-2</v>
      </c>
      <c r="F29" s="2">
        <v>7.4529155093134999E-2</v>
      </c>
      <c r="G29" s="2">
        <v>0.30174840240805001</v>
      </c>
      <c r="H29" s="15">
        <f t="shared" si="0"/>
        <v>0.30129465982029702</v>
      </c>
      <c r="I29" s="2">
        <v>0.69870534017970298</v>
      </c>
      <c r="J29" s="2">
        <f t="shared" si="1"/>
        <v>7.438068832115996E-2</v>
      </c>
      <c r="K29" s="2">
        <v>0.92561931167884004</v>
      </c>
      <c r="L29" s="2">
        <v>0.98524623059236605</v>
      </c>
      <c r="M29" s="2">
        <v>0.99721722270404101</v>
      </c>
    </row>
    <row r="30" spans="1:13" x14ac:dyDescent="0.25">
      <c r="A30">
        <v>2.9</v>
      </c>
      <c r="B30" s="2">
        <v>3.8426799032777998E-6</v>
      </c>
      <c r="C30" s="2">
        <v>6.9824818353869805E-5</v>
      </c>
      <c r="D30" s="2">
        <v>1.2674784756512799E-3</v>
      </c>
      <c r="E30" s="2">
        <v>1.27499133992026E-2</v>
      </c>
      <c r="F30" s="2">
        <v>6.8543491110082996E-2</v>
      </c>
      <c r="G30" s="2">
        <v>0.29542845984683203</v>
      </c>
      <c r="H30" s="15">
        <f t="shared" si="0"/>
        <v>0.29505568265370596</v>
      </c>
      <c r="I30" s="2">
        <v>0.70494431734629404</v>
      </c>
      <c r="J30" s="2">
        <f t="shared" si="1"/>
        <v>6.8429196831615968E-2</v>
      </c>
      <c r="K30" s="2">
        <v>0.93157080316838403</v>
      </c>
      <c r="L30" s="2">
        <v>0.987272617940115</v>
      </c>
      <c r="M30" s="2">
        <v>0.99774265984608301</v>
      </c>
    </row>
    <row r="31" spans="1:13" x14ac:dyDescent="0.25">
      <c r="A31">
        <v>3</v>
      </c>
      <c r="B31" s="2">
        <v>2.4995574751633302E-6</v>
      </c>
      <c r="C31" s="2">
        <v>5.0193672522538803E-5</v>
      </c>
      <c r="D31" s="2">
        <v>1.00719312073873E-3</v>
      </c>
      <c r="E31" s="2">
        <v>1.09920893194735E-2</v>
      </c>
      <c r="F31" s="2">
        <v>6.30076959465075E-2</v>
      </c>
      <c r="G31" s="2">
        <v>0.28919233678728101</v>
      </c>
      <c r="H31" s="15">
        <f t="shared" si="0"/>
        <v>0.28888644821248599</v>
      </c>
      <c r="I31" s="2">
        <v>0.71111355178751401</v>
      </c>
      <c r="J31" s="2">
        <f t="shared" si="1"/>
        <v>6.2919872975210955E-2</v>
      </c>
      <c r="K31" s="2">
        <v>0.93708012702478904</v>
      </c>
      <c r="L31" s="2">
        <v>0.98902408124879704</v>
      </c>
      <c r="M31" s="2">
        <v>0.99816911473220504</v>
      </c>
    </row>
    <row r="32" spans="1:13" x14ac:dyDescent="0.25">
      <c r="A32">
        <v>3.1</v>
      </c>
      <c r="B32" s="2">
        <v>1.6259925063796401E-6</v>
      </c>
      <c r="C32" s="2">
        <v>3.6082588063336997E-5</v>
      </c>
      <c r="D32" s="2">
        <v>8.0033750940850705E-4</v>
      </c>
      <c r="E32" s="2">
        <v>9.4745362853756003E-3</v>
      </c>
      <c r="F32" s="2">
        <v>5.7892610385380003E-2</v>
      </c>
      <c r="G32" s="2">
        <v>0.28304011761701597</v>
      </c>
      <c r="H32" s="15">
        <f t="shared" si="0"/>
        <v>0.28278940535871</v>
      </c>
      <c r="I32" s="2">
        <v>0.71721059464129</v>
      </c>
      <c r="J32" s="2">
        <f t="shared" si="1"/>
        <v>5.7825245148586002E-2</v>
      </c>
      <c r="K32" s="2">
        <v>0.942174754851414</v>
      </c>
      <c r="L32" s="2">
        <v>0.990537054434667</v>
      </c>
      <c r="M32" s="2">
        <v>0.99851515893096898</v>
      </c>
    </row>
    <row r="33" spans="1:13" x14ac:dyDescent="0.25">
      <c r="A33">
        <v>3.2</v>
      </c>
      <c r="B33" s="2">
        <v>1.0578066177844E-6</v>
      </c>
      <c r="C33" s="2">
        <v>2.5939069203231199E-5</v>
      </c>
      <c r="D33" s="2">
        <v>6.3595185497035997E-4</v>
      </c>
      <c r="E33" s="2">
        <v>8.1649349308426204E-3</v>
      </c>
      <c r="F33" s="2">
        <v>5.3170272369732298E-2</v>
      </c>
      <c r="G33" s="2">
        <v>0.27697199878052298</v>
      </c>
      <c r="H33" s="15">
        <f t="shared" si="0"/>
        <v>0.27676673666954699</v>
      </c>
      <c r="I33" s="2">
        <v>0.72323326333045301</v>
      </c>
      <c r="J33" s="2">
        <f t="shared" si="1"/>
        <v>5.3118683091650021E-2</v>
      </c>
      <c r="K33" s="2">
        <v>0.94688131690834998</v>
      </c>
      <c r="L33" s="2">
        <v>0.99184336341379198</v>
      </c>
      <c r="M33" s="2">
        <v>0.99879590385635197</v>
      </c>
    </row>
    <row r="34" spans="1:13" x14ac:dyDescent="0.25">
      <c r="A34">
        <v>3.3</v>
      </c>
      <c r="B34" s="2">
        <v>6.8823541750559701E-7</v>
      </c>
      <c r="C34" s="2">
        <v>1.8647383833158599E-5</v>
      </c>
      <c r="D34" s="2">
        <v>5.0532157395607004E-4</v>
      </c>
      <c r="E34" s="2">
        <v>7.0351823219375401E-3</v>
      </c>
      <c r="F34" s="2">
        <v>4.8813974429336E-2</v>
      </c>
      <c r="G34" s="2">
        <v>0.27098825438333302</v>
      </c>
      <c r="H34" s="15">
        <f t="shared" si="0"/>
        <v>0.27082038019950005</v>
      </c>
      <c r="I34" s="2">
        <v>0.72917961980049995</v>
      </c>
      <c r="J34" s="2">
        <f t="shared" si="1"/>
        <v>4.8774526228386961E-2</v>
      </c>
      <c r="K34" s="2">
        <v>0.95122547377161304</v>
      </c>
      <c r="L34" s="2">
        <v>0.99297075256153</v>
      </c>
      <c r="M34" s="2">
        <v>0.99902363752498702</v>
      </c>
    </row>
    <row r="35" spans="1:13" x14ac:dyDescent="0.25">
      <c r="A35">
        <v>3.4</v>
      </c>
      <c r="B35" s="2">
        <v>4.4784581344013101E-7</v>
      </c>
      <c r="C35" s="2">
        <v>1.3405635595906799E-5</v>
      </c>
      <c r="D35" s="2">
        <v>4.0151842188203599E-4</v>
      </c>
      <c r="E35" s="2">
        <v>6.0608747122120003E-3</v>
      </c>
      <c r="F35" s="2">
        <v>4.4798301073033203E-2</v>
      </c>
      <c r="G35" s="2">
        <v>0.265089207328571</v>
      </c>
      <c r="H35" s="15">
        <f t="shared" si="0"/>
        <v>0.26495204950662299</v>
      </c>
      <c r="I35" s="2">
        <v>0.73504795049337701</v>
      </c>
      <c r="J35" s="2">
        <f t="shared" si="1"/>
        <v>4.4768179058100044E-2</v>
      </c>
      <c r="K35" s="2">
        <v>0.95523182094189996</v>
      </c>
      <c r="L35" s="2">
        <v>0.99394336573548703</v>
      </c>
      <c r="M35" s="2">
        <v>0.99920834671559</v>
      </c>
    </row>
    <row r="36" spans="1:13" x14ac:dyDescent="0.25">
      <c r="A36">
        <v>3.5</v>
      </c>
      <c r="B36" s="2">
        <v>2.9148026346780001E-7</v>
      </c>
      <c r="C36" s="2">
        <v>9.6374556711308999E-6</v>
      </c>
      <c r="D36" s="2">
        <v>3.1903500534922498E-4</v>
      </c>
      <c r="E36" s="2">
        <v>5.22084542144688E-3</v>
      </c>
      <c r="F36" s="2">
        <v>4.1099148200824998E-2</v>
      </c>
      <c r="G36" s="2">
        <v>0.25927520527537501</v>
      </c>
      <c r="H36" s="15">
        <f t="shared" si="0"/>
        <v>0.25916325189117295</v>
      </c>
      <c r="I36" s="2">
        <v>0.74083674810882705</v>
      </c>
      <c r="J36" s="2">
        <f t="shared" si="1"/>
        <v>4.1076177632640043E-2</v>
      </c>
      <c r="K36" s="2">
        <v>0.95892382236735996</v>
      </c>
      <c r="L36" s="2">
        <v>0.99478218166648003</v>
      </c>
      <c r="M36" s="2">
        <v>0.999358144308094</v>
      </c>
    </row>
    <row r="37" spans="1:13" x14ac:dyDescent="0.25">
      <c r="A37">
        <v>3.6</v>
      </c>
      <c r="B37" s="2">
        <v>1.89768153677559E-7</v>
      </c>
      <c r="C37" s="2">
        <v>6.92855597130262E-6</v>
      </c>
      <c r="D37" s="2">
        <v>2.5349382056785502E-4</v>
      </c>
      <c r="E37" s="2">
        <v>4.4967541557899603E-3</v>
      </c>
      <c r="F37" s="2">
        <v>3.76937267225783E-2</v>
      </c>
      <c r="G37" s="2">
        <v>0.25354660077062502</v>
      </c>
      <c r="H37" s="15">
        <f t="shared" si="0"/>
        <v>0.25345530488381995</v>
      </c>
      <c r="I37" s="2">
        <v>0.74654469511618005</v>
      </c>
      <c r="J37" s="2">
        <f t="shared" si="1"/>
        <v>3.7676231103605962E-2</v>
      </c>
      <c r="K37" s="2">
        <v>0.96232376889639404</v>
      </c>
      <c r="L37" s="2">
        <v>0.99550540499812401</v>
      </c>
      <c r="M37" s="2">
        <v>0.99947961844857203</v>
      </c>
    </row>
    <row r="38" spans="1:13" x14ac:dyDescent="0.25">
      <c r="A38">
        <v>3.7</v>
      </c>
      <c r="B38" s="2">
        <v>1.23606076555794E-7</v>
      </c>
      <c r="C38" s="2">
        <v>4.9811393227675302E-6</v>
      </c>
      <c r="D38" s="2">
        <v>2.0141571627367699E-4</v>
      </c>
      <c r="E38" s="2">
        <v>3.8727236867267798E-3</v>
      </c>
      <c r="F38" s="2">
        <v>3.4560552593847903E-2</v>
      </c>
      <c r="G38" s="2">
        <v>0.24790373497224699</v>
      </c>
      <c r="H38" s="15">
        <f t="shared" si="0"/>
        <v>0.247829351076709</v>
      </c>
      <c r="I38" s="2">
        <v>0.752170648923291</v>
      </c>
      <c r="J38" s="2">
        <f t="shared" si="1"/>
        <v>3.4547242135363976E-2</v>
      </c>
      <c r="K38" s="2">
        <v>0.96545275786463602</v>
      </c>
      <c r="L38" s="2">
        <v>0.99612881523198404</v>
      </c>
      <c r="M38" s="2">
        <v>0.99957811745347402</v>
      </c>
    </row>
    <row r="39" spans="1:13" x14ac:dyDescent="0.25">
      <c r="A39">
        <v>3.8</v>
      </c>
      <c r="B39" s="2">
        <v>8.0568338373311301E-8</v>
      </c>
      <c r="C39" s="2">
        <v>3.5811376736799901E-6</v>
      </c>
      <c r="D39" s="2">
        <v>1.6003570364482499E-4</v>
      </c>
      <c r="E39" s="2">
        <v>3.3350196604088498E-3</v>
      </c>
      <c r="F39" s="2">
        <v>3.1679425420109798E-2</v>
      </c>
      <c r="G39" s="2">
        <v>0.24234692444890599</v>
      </c>
      <c r="H39" s="15">
        <f t="shared" si="0"/>
        <v>0.24228637142352905</v>
      </c>
      <c r="I39" s="2">
        <v>0.75771362857647095</v>
      </c>
      <c r="J39" s="2">
        <f t="shared" si="1"/>
        <v>3.1669309704216997E-2</v>
      </c>
      <c r="K39" s="2">
        <v>0.968330690295783</v>
      </c>
      <c r="L39" s="2">
        <v>0.99666607643097005</v>
      </c>
      <c r="M39" s="2">
        <v>0.9996579820182</v>
      </c>
    </row>
    <row r="40" spans="1:13" x14ac:dyDescent="0.25">
      <c r="A40">
        <v>3.9</v>
      </c>
      <c r="B40" s="2">
        <v>5.2572546322462E-8</v>
      </c>
      <c r="C40" s="2">
        <v>2.57466690488877E-6</v>
      </c>
      <c r="D40" s="2">
        <v>1.27156468246511E-4</v>
      </c>
      <c r="E40" s="2">
        <v>2.8717693421193399E-3</v>
      </c>
      <c r="F40" s="2">
        <v>2.9031397662298002E-2</v>
      </c>
      <c r="G40" s="2">
        <v>0.236876450604248</v>
      </c>
      <c r="H40" s="15">
        <f t="shared" si="0"/>
        <v>0.23682719715106304</v>
      </c>
      <c r="I40" s="2">
        <v>0.76317280284893696</v>
      </c>
      <c r="J40" s="2">
        <f t="shared" si="1"/>
        <v>2.9023717478955047E-2</v>
      </c>
      <c r="K40" s="2">
        <v>0.97097628252104495</v>
      </c>
      <c r="L40" s="2">
        <v>0.99712901084700201</v>
      </c>
      <c r="M40" s="2">
        <v>0.99972273429986802</v>
      </c>
    </row>
    <row r="41" spans="1:13" x14ac:dyDescent="0.25">
      <c r="A41">
        <v>4</v>
      </c>
      <c r="B41" s="2">
        <v>3.4361351761285699E-8</v>
      </c>
      <c r="C41" s="2">
        <v>1.8511042931215001E-6</v>
      </c>
      <c r="D41" s="2">
        <v>1.0103188995025799E-4</v>
      </c>
      <c r="E41" s="2">
        <v>2.4727152550708099E-3</v>
      </c>
      <c r="F41" s="2">
        <v>2.65987363189777E-2</v>
      </c>
      <c r="G41" s="2">
        <v>0.23149255133231</v>
      </c>
      <c r="H41" s="15">
        <f t="shared" si="0"/>
        <v>0.23145252042949105</v>
      </c>
      <c r="I41" s="2">
        <v>0.76854747957050895</v>
      </c>
      <c r="J41" s="2">
        <f t="shared" si="1"/>
        <v>2.6592910631290989E-2</v>
      </c>
      <c r="K41" s="2">
        <v>0.97340708936870901</v>
      </c>
      <c r="L41" s="2">
        <v>0.99752783974872805</v>
      </c>
      <c r="M41" s="2">
        <v>0.99977523176427896</v>
      </c>
    </row>
    <row r="42" spans="1:13" x14ac:dyDescent="0.25">
      <c r="A42">
        <v>4.0999999999999996</v>
      </c>
      <c r="B42" s="2">
        <v>2.2514963944849399E-8</v>
      </c>
      <c r="C42" s="2">
        <v>1.3309251841753899E-6</v>
      </c>
      <c r="D42" s="2">
        <v>8.0274438290473194E-5</v>
      </c>
      <c r="E42" s="2">
        <v>2.1289999044956402E-3</v>
      </c>
      <c r="F42" s="2">
        <v>2.4364878780083601E-2</v>
      </c>
      <c r="G42" s="2">
        <v>0.22619541456370301</v>
      </c>
      <c r="H42" s="15">
        <f t="shared" si="0"/>
        <v>0.22616290394592897</v>
      </c>
      <c r="I42" s="2">
        <v>0.77383709605407103</v>
      </c>
      <c r="J42" s="2">
        <f t="shared" si="1"/>
        <v>2.4360463576428959E-2</v>
      </c>
      <c r="K42" s="2">
        <v>0.97563953642357104</v>
      </c>
      <c r="L42" s="2">
        <v>0.99787139469266395</v>
      </c>
      <c r="M42" s="2">
        <v>0.99981779228281298</v>
      </c>
    </row>
    <row r="43" spans="1:13" x14ac:dyDescent="0.25">
      <c r="A43">
        <v>4.2</v>
      </c>
      <c r="B43" s="2">
        <v>1.48088596027389E-8</v>
      </c>
      <c r="C43" s="2">
        <v>9.5696003117258198E-7</v>
      </c>
      <c r="D43" s="2">
        <v>6.3781558572830694E-5</v>
      </c>
      <c r="E43" s="2">
        <v>1.8329780546491601E-3</v>
      </c>
      <c r="F43" s="2">
        <v>2.2314384356659101E-2</v>
      </c>
      <c r="G43" s="2">
        <v>0.220985173409284</v>
      </c>
      <c r="H43" s="15">
        <f t="shared" si="0"/>
        <v>0.22095878951793402</v>
      </c>
      <c r="I43" s="2">
        <v>0.77904121048206598</v>
      </c>
      <c r="J43" s="2">
        <f t="shared" si="1"/>
        <v>2.231104080805002E-2</v>
      </c>
      <c r="K43" s="2">
        <v>0.97768895919194998</v>
      </c>
      <c r="L43" s="2">
        <v>0.99816730235388196</v>
      </c>
      <c r="M43" s="2">
        <v>0.99985229579757995</v>
      </c>
    </row>
    <row r="44" spans="1:13" x14ac:dyDescent="0.25">
      <c r="A44">
        <v>4.3</v>
      </c>
      <c r="B44" s="2">
        <v>9.7960070653816703E-9</v>
      </c>
      <c r="C44" s="2">
        <v>6.8810975383845699E-7</v>
      </c>
      <c r="D44" s="2">
        <v>5.0677160012663699E-5</v>
      </c>
      <c r="E44" s="2">
        <v>1.57805332436266E-3</v>
      </c>
      <c r="F44" s="2">
        <v>2.0432882800024001E-2</v>
      </c>
      <c r="G44" s="2">
        <v>0.21586190264972799</v>
      </c>
      <c r="H44" s="15">
        <f t="shared" si="0"/>
        <v>0.21584050587306303</v>
      </c>
      <c r="I44" s="2">
        <v>0.78415949412693697</v>
      </c>
      <c r="J44" s="2">
        <f t="shared" si="1"/>
        <v>2.0430352677142993E-2</v>
      </c>
      <c r="K44" s="2">
        <v>0.97956964732285701</v>
      </c>
      <c r="L44" s="2">
        <v>0.99842214584551003</v>
      </c>
      <c r="M44" s="2">
        <v>0.99988026690717602</v>
      </c>
    </row>
    <row r="45" spans="1:13" x14ac:dyDescent="0.25">
      <c r="A45">
        <v>4.4000000000000004</v>
      </c>
      <c r="B45" s="2">
        <v>6.53511949570934E-9</v>
      </c>
      <c r="C45" s="2">
        <v>4.9482806329352895E-7</v>
      </c>
      <c r="D45" s="2">
        <v>4.0265111339021398E-5</v>
      </c>
      <c r="E45" s="2">
        <v>1.3585361695319801E-3</v>
      </c>
      <c r="F45" s="2">
        <v>1.87070209391485E-2</v>
      </c>
      <c r="G45" s="2">
        <v>0.21082561635564001</v>
      </c>
      <c r="H45" s="15">
        <f t="shared" si="0"/>
        <v>0.21080827570849403</v>
      </c>
      <c r="I45" s="2">
        <v>0.78919172429150597</v>
      </c>
      <c r="J45" s="2">
        <f t="shared" si="1"/>
        <v>1.8705107675608956E-2</v>
      </c>
      <c r="K45" s="2">
        <v>0.98129489232439104</v>
      </c>
      <c r="L45" s="2">
        <v>0.99864160523582102</v>
      </c>
      <c r="M45" s="2">
        <v>0.99990294192896501</v>
      </c>
    </row>
    <row r="46" spans="1:13" x14ac:dyDescent="0.25">
      <c r="A46">
        <v>4.5</v>
      </c>
      <c r="B46" s="2">
        <v>4.4138913777495603E-9</v>
      </c>
      <c r="C46" s="2">
        <v>3.5587388283145498E-7</v>
      </c>
      <c r="D46" s="2">
        <v>3.1992282066679497E-5</v>
      </c>
      <c r="E46" s="2">
        <v>1.1695206170463E-3</v>
      </c>
      <c r="F46" s="2">
        <v>1.7124408391398199E-2</v>
      </c>
      <c r="G46" s="2">
        <v>0.20587626645456</v>
      </c>
      <c r="H46" s="15">
        <f t="shared" si="0"/>
        <v>0.20586222213210204</v>
      </c>
      <c r="I46" s="2">
        <v>0.79413777786789796</v>
      </c>
      <c r="J46" s="2">
        <f t="shared" si="1"/>
        <v>1.7122962525946028E-2</v>
      </c>
      <c r="K46" s="2">
        <v>0.98287703747405397</v>
      </c>
      <c r="L46" s="2">
        <v>0.99883057973619005</v>
      </c>
      <c r="M46" s="2">
        <v>0.99992132333918105</v>
      </c>
    </row>
    <row r="47" spans="1:13" x14ac:dyDescent="0.25">
      <c r="A47">
        <v>4.5999999999999996</v>
      </c>
      <c r="B47" s="2">
        <v>3.03401740003588E-9</v>
      </c>
      <c r="C47" s="2">
        <v>2.5597674685715102E-7</v>
      </c>
      <c r="D47" s="2">
        <v>2.5419171515963099E-5</v>
      </c>
      <c r="E47" s="2">
        <v>1.0067773967414599E-3</v>
      </c>
      <c r="F47" s="2">
        <v>1.56735631421311E-2</v>
      </c>
      <c r="G47" s="2">
        <v>0.20101374208825601</v>
      </c>
      <c r="H47" s="15">
        <f t="shared" si="0"/>
        <v>0.20100237457395298</v>
      </c>
      <c r="I47" s="2">
        <v>0.79899762542604702</v>
      </c>
      <c r="J47" s="2">
        <f t="shared" si="1"/>
        <v>1.5672471148112987E-2</v>
      </c>
      <c r="K47" s="2">
        <v>0.98432752885188701</v>
      </c>
      <c r="L47" s="2">
        <v>0.99899329379553403</v>
      </c>
      <c r="M47" s="2">
        <v>0.99993622395533599</v>
      </c>
    </row>
    <row r="48" spans="1:13" x14ac:dyDescent="0.25">
      <c r="A48">
        <v>4.7</v>
      </c>
      <c r="B48" s="2">
        <v>2.13639878008181E-9</v>
      </c>
      <c r="C48" s="2">
        <v>1.84158491091405E-7</v>
      </c>
      <c r="D48" s="2">
        <v>2.0196568717070902E-5</v>
      </c>
      <c r="E48" s="2">
        <v>8.6666138150577404E-4</v>
      </c>
      <c r="F48" s="2">
        <v>1.4343857644421599E-2</v>
      </c>
      <c r="G48" s="2">
        <v>0.19623786962724901</v>
      </c>
      <c r="H48" s="15">
        <f t="shared" si="0"/>
        <v>0.19622867424538604</v>
      </c>
      <c r="I48" s="2">
        <v>0.80377132575461396</v>
      </c>
      <c r="J48" s="2">
        <f t="shared" si="1"/>
        <v>1.4343033373179992E-2</v>
      </c>
      <c r="K48" s="2">
        <v>0.98565696662682001</v>
      </c>
      <c r="L48" s="2">
        <v>0.99913338910580196</v>
      </c>
      <c r="M48" s="2">
        <v>0.99994830278617497</v>
      </c>
    </row>
    <row r="49" spans="1:13" x14ac:dyDescent="0.25">
      <c r="A49">
        <v>4.8</v>
      </c>
      <c r="B49" s="2">
        <v>1.55249059004361E-9</v>
      </c>
      <c r="C49" s="2">
        <v>1.3252672633773799E-7</v>
      </c>
      <c r="D49" s="2">
        <v>1.60470054370897E-5</v>
      </c>
      <c r="E49" s="2">
        <v>7.4603148828502502E-4</v>
      </c>
      <c r="F49" s="2">
        <v>1.3125465961997601E-2</v>
      </c>
      <c r="G49" s="2">
        <v>0.191548413229433</v>
      </c>
      <c r="H49" s="15">
        <f t="shared" si="0"/>
        <v>0.19154097921192004</v>
      </c>
      <c r="I49" s="2">
        <v>0.80845902078807996</v>
      </c>
      <c r="J49" s="2">
        <f t="shared" si="1"/>
        <v>1.3124844098983957E-2</v>
      </c>
      <c r="K49" s="2">
        <v>0.98687515590101604</v>
      </c>
      <c r="L49" s="2">
        <v>0.99925400430410605</v>
      </c>
      <c r="M49" s="2">
        <v>0.99995809411553804</v>
      </c>
    </row>
    <row r="50" spans="1:13" x14ac:dyDescent="0.25">
      <c r="A50">
        <v>4.9000000000000004</v>
      </c>
      <c r="B50" s="2">
        <v>1.1726533914284401E-9</v>
      </c>
      <c r="C50" s="2">
        <v>9.5407466241840504E-8</v>
      </c>
      <c r="D50" s="2">
        <v>1.2750018388814E-5</v>
      </c>
      <c r="E50" s="2">
        <v>6.4218141353015101E-4</v>
      </c>
      <c r="F50" s="2">
        <v>1.20093123660962E-2</v>
      </c>
      <c r="G50" s="2">
        <v>0.18694507584675499</v>
      </c>
      <c r="H50" s="15">
        <f t="shared" si="0"/>
        <v>0.18693906913625002</v>
      </c>
      <c r="I50" s="2">
        <v>0.81306093086374998</v>
      </c>
      <c r="J50" s="2">
        <f t="shared" si="1"/>
        <v>1.2008843433646055E-2</v>
      </c>
      <c r="K50" s="2">
        <v>0.98799115656635395</v>
      </c>
      <c r="L50" s="2">
        <v>0.99935784395347904</v>
      </c>
      <c r="M50" s="2">
        <v>0.99996603109369997</v>
      </c>
    </row>
    <row r="51" spans="1:13" x14ac:dyDescent="0.25">
      <c r="A51">
        <v>5</v>
      </c>
      <c r="B51" s="2">
        <v>9.2556600265121903E-10</v>
      </c>
      <c r="C51" s="2">
        <v>6.8721568350126303E-8</v>
      </c>
      <c r="D51" s="2">
        <v>1.0130438529924801E-5</v>
      </c>
      <c r="E51" s="2">
        <v>5.5277977573109805E-4</v>
      </c>
      <c r="F51" s="2">
        <v>1.0987021699681E-2</v>
      </c>
      <c r="G51" s="2">
        <v>0.18242750059847601</v>
      </c>
      <c r="H51" s="15">
        <f t="shared" si="0"/>
        <v>0.182422649738752</v>
      </c>
      <c r="I51" s="2">
        <v>0.817577350261248</v>
      </c>
      <c r="J51" s="2">
        <f t="shared" si="1"/>
        <v>1.0986668246106945E-2</v>
      </c>
      <c r="K51" s="2">
        <v>0.98901333175389305</v>
      </c>
      <c r="L51" s="2">
        <v>0.99944723819759895</v>
      </c>
      <c r="M51" s="2">
        <v>0.99997246487118396</v>
      </c>
    </row>
    <row r="52" spans="1:13" x14ac:dyDescent="0.25">
      <c r="A52">
        <v>5.0999999999999996</v>
      </c>
      <c r="B52" s="2">
        <v>7.6483347259104503E-10</v>
      </c>
      <c r="C52" s="2">
        <v>4.9536451335292899E-8</v>
      </c>
      <c r="D52" s="2">
        <v>8.0490858518074106E-6</v>
      </c>
      <c r="E52" s="2">
        <v>4.7581841588735703E-4</v>
      </c>
      <c r="F52" s="2">
        <v>1.0050871739287899E-2</v>
      </c>
      <c r="G52" s="2">
        <v>0.17799527244183599</v>
      </c>
      <c r="H52" s="15">
        <f t="shared" si="0"/>
        <v>0.17799135701506996</v>
      </c>
      <c r="I52" s="2">
        <v>0.82200864298493004</v>
      </c>
      <c r="J52" s="2">
        <f t="shared" si="1"/>
        <v>1.0050605436340954E-2</v>
      </c>
      <c r="K52" s="2">
        <v>0.98994939456365905</v>
      </c>
      <c r="L52" s="2">
        <v>0.99952419431560202</v>
      </c>
      <c r="M52" s="2">
        <v>0.99997768011571797</v>
      </c>
    </row>
    <row r="53" spans="1:13" x14ac:dyDescent="0.25">
      <c r="A53">
        <v>5.2</v>
      </c>
      <c r="B53" s="2">
        <v>6.6027552124529096E-10</v>
      </c>
      <c r="C53" s="2">
        <v>3.5743818536299897E-8</v>
      </c>
      <c r="D53" s="2">
        <v>6.3953756454958102E-6</v>
      </c>
      <c r="E53" s="2">
        <v>4.0956776530538401E-4</v>
      </c>
      <c r="F53" s="2">
        <v>9.1937477144749605E-3</v>
      </c>
      <c r="G53" s="2">
        <v>0.17364792008145799</v>
      </c>
      <c r="H53" s="15">
        <f t="shared" si="0"/>
        <v>0.17364476124352601</v>
      </c>
      <c r="I53" s="2">
        <v>0.82635523875647399</v>
      </c>
      <c r="J53" s="2">
        <f t="shared" si="1"/>
        <v>9.1935471492420318E-3</v>
      </c>
      <c r="K53" s="2">
        <v>0.99080645285075797</v>
      </c>
      <c r="L53" s="2">
        <v>0.99959044125107299</v>
      </c>
      <c r="M53" s="2">
        <v>0.99998190759501204</v>
      </c>
    </row>
    <row r="54" spans="1:13" x14ac:dyDescent="0.25">
      <c r="A54">
        <v>5.3</v>
      </c>
      <c r="B54" s="2">
        <v>5.9225962759484797E-10</v>
      </c>
      <c r="C54" s="2">
        <v>2.5827968288494301E-8</v>
      </c>
      <c r="D54" s="2">
        <v>5.0814436518987403E-6</v>
      </c>
      <c r="E54" s="2">
        <v>3.5253833044768902E-4</v>
      </c>
      <c r="F54" s="2">
        <v>8.4090990861403793E-3</v>
      </c>
      <c r="G54" s="2">
        <v>0.169384918067675</v>
      </c>
      <c r="H54" s="15">
        <f t="shared" si="0"/>
        <v>0.16938237080923702</v>
      </c>
      <c r="I54" s="2">
        <v>0.83061762919076298</v>
      </c>
      <c r="J54" s="2">
        <f t="shared" si="1"/>
        <v>8.4089480830590313E-3</v>
      </c>
      <c r="K54" s="2">
        <v>0.99159105191694097</v>
      </c>
      <c r="L54" s="2">
        <v>0.99964746805363702</v>
      </c>
      <c r="M54" s="2">
        <v>0.99998533437949499</v>
      </c>
    </row>
    <row r="55" spans="1:13" x14ac:dyDescent="0.25">
      <c r="A55">
        <v>5.4</v>
      </c>
      <c r="B55" s="2">
        <v>5.4801466907378702E-10</v>
      </c>
      <c r="C55" s="2">
        <v>1.86992280754621E-8</v>
      </c>
      <c r="D55" s="2">
        <v>4.03747811454281E-6</v>
      </c>
      <c r="E55" s="2">
        <v>3.0344746825986701E-4</v>
      </c>
      <c r="F55" s="2">
        <v>7.69089863654078E-3</v>
      </c>
      <c r="G55" s="2">
        <v>0.165205689041483</v>
      </c>
      <c r="H55" s="15">
        <f t="shared" si="0"/>
        <v>0.16520363586676001</v>
      </c>
      <c r="I55" s="2">
        <v>0.83479636413323999</v>
      </c>
      <c r="J55" s="2">
        <f t="shared" si="1"/>
        <v>7.6907849835450293E-3</v>
      </c>
      <c r="K55" s="2">
        <v>0.99230921501645497</v>
      </c>
      <c r="L55" s="2">
        <v>0.99969655705124505</v>
      </c>
      <c r="M55" s="2">
        <v>0.99998811211472405</v>
      </c>
    </row>
    <row r="56" spans="1:13" x14ac:dyDescent="0.25">
      <c r="A56">
        <v>5.5</v>
      </c>
      <c r="B56" s="2">
        <v>5.1923291865604497E-10</v>
      </c>
      <c r="C56" s="2">
        <v>1.35742071053395E-8</v>
      </c>
      <c r="D56" s="2">
        <v>3.2080108203405198E-6</v>
      </c>
      <c r="E56" s="2">
        <v>2.6119073405909802E-4</v>
      </c>
      <c r="F56" s="2">
        <v>7.0336038844216499E-3</v>
      </c>
      <c r="G56" s="2">
        <v>0.16110960609017999</v>
      </c>
      <c r="H56" s="15">
        <f t="shared" si="0"/>
        <v>0.16110795185885496</v>
      </c>
      <c r="I56" s="2">
        <v>0.83889204814114504</v>
      </c>
      <c r="J56" s="2">
        <f t="shared" si="1"/>
        <v>7.0335183667910028E-3</v>
      </c>
      <c r="K56" s="2">
        <v>0.992966481633209</v>
      </c>
      <c r="L56" s="2">
        <v>0.99973881246499996</v>
      </c>
      <c r="M56" s="2">
        <v>0.99999036372836803</v>
      </c>
    </row>
    <row r="57" spans="1:13" x14ac:dyDescent="0.25">
      <c r="A57">
        <v>5.6</v>
      </c>
      <c r="B57" s="2">
        <v>5.0051012589460297E-10</v>
      </c>
      <c r="C57" s="2">
        <v>9.8897074208429899E-9</v>
      </c>
      <c r="D57" s="2">
        <v>2.5489701297215501E-6</v>
      </c>
      <c r="E57" s="2">
        <v>2.2481717922834301E-4</v>
      </c>
      <c r="F57" s="2">
        <v>6.4321208070546197E-3</v>
      </c>
      <c r="G57" s="2">
        <v>0.157095995183168</v>
      </c>
      <c r="H57" s="15">
        <f t="shared" si="0"/>
        <v>0.15709466290539997</v>
      </c>
      <c r="I57" s="2">
        <v>0.84290533709460003</v>
      </c>
      <c r="J57" s="2"/>
      <c r="K57" s="2">
        <v>0.993567943524724</v>
      </c>
      <c r="L57" s="2">
        <v>0.99977518508493501</v>
      </c>
      <c r="M57" s="2">
        <v>0.99999218886778796</v>
      </c>
    </row>
    <row r="58" spans="1:13" x14ac:dyDescent="0.25">
      <c r="A58">
        <v>5.7</v>
      </c>
      <c r="B58" s="2">
        <v>4.8833077712807396E-10</v>
      </c>
      <c r="C58" s="2">
        <v>7.2408327454110499E-9</v>
      </c>
      <c r="D58" s="2">
        <v>2.0253394596723502E-6</v>
      </c>
      <c r="E58" s="2">
        <v>1.9350805909299699E-4</v>
      </c>
      <c r="F58" s="2">
        <v>5.8817698260744903E-3</v>
      </c>
      <c r="G58" s="2">
        <v>0.15316413766193299</v>
      </c>
      <c r="H58" s="15">
        <f t="shared" si="0"/>
        <v>0.153163065073469</v>
      </c>
      <c r="I58" s="2">
        <v>0.846836934926531</v>
      </c>
      <c r="J58" s="2"/>
      <c r="K58" s="2">
        <v>0.99411827855851398</v>
      </c>
      <c r="L58" s="2">
        <v>0.99980649354328299</v>
      </c>
      <c r="M58" s="2">
        <v>0.99999366830833203</v>
      </c>
    </row>
    <row r="59" spans="1:13" x14ac:dyDescent="0.25">
      <c r="A59">
        <v>5.8</v>
      </c>
      <c r="B59" s="2">
        <v>4.8040799874077601E-10</v>
      </c>
      <c r="C59" s="2">
        <v>5.33649356010113E-9</v>
      </c>
      <c r="D59" s="2">
        <v>1.6092968368782901E-6</v>
      </c>
      <c r="E59" s="2">
        <v>1.66558483826906E-4</v>
      </c>
      <c r="F59" s="2">
        <v>5.3782539948055499E-3</v>
      </c>
      <c r="G59" s="2">
        <v>0.149313272762121</v>
      </c>
      <c r="H59" s="15">
        <f t="shared" si="0"/>
        <v>0.14931240953722902</v>
      </c>
      <c r="I59" s="2">
        <v>0.85068759046277098</v>
      </c>
      <c r="J59" s="2"/>
      <c r="K59" s="2">
        <v>0.994621782389841</v>
      </c>
      <c r="L59" s="2">
        <v>0.99983344265017204</v>
      </c>
      <c r="M59" s="2">
        <v>0.99999486752707401</v>
      </c>
    </row>
    <row r="60" spans="1:13" x14ac:dyDescent="0.25">
      <c r="A60">
        <v>5.9</v>
      </c>
      <c r="B60" s="2">
        <v>4.7525415852552896E-10</v>
      </c>
      <c r="C60" s="2">
        <v>3.9674186939791504E-9</v>
      </c>
      <c r="D60" s="2">
        <v>1.27873668859401E-6</v>
      </c>
      <c r="E60" s="2">
        <v>1.4336160829614899E-4</v>
      </c>
      <c r="F60" s="2">
        <v>4.9176293103728097E-3</v>
      </c>
      <c r="G60" s="2">
        <v>0.14554260014893</v>
      </c>
      <c r="H60" s="15">
        <f t="shared" si="0"/>
        <v>0.14554190563425695</v>
      </c>
      <c r="I60" s="2">
        <v>0.85445809436574305</v>
      </c>
      <c r="J60" s="2"/>
      <c r="K60" s="2">
        <v>0.99508239804729204</v>
      </c>
      <c r="L60" s="2">
        <v>0.99985663919426204</v>
      </c>
      <c r="M60" s="2">
        <v>0.99999583959993799</v>
      </c>
    </row>
    <row r="61" spans="1:13" x14ac:dyDescent="0.25">
      <c r="A61">
        <v>6</v>
      </c>
      <c r="B61" s="2">
        <v>4.7190153807403405E-10</v>
      </c>
      <c r="C61" s="2">
        <v>2.9831581187239099E-9</v>
      </c>
      <c r="D61" s="2">
        <v>1.0160953416590601E-6</v>
      </c>
      <c r="E61" s="2">
        <v>1.2339501153853799E-4</v>
      </c>
      <c r="F61" s="2">
        <v>4.4962770635130099E-3</v>
      </c>
      <c r="G61" s="2">
        <v>0.141851282449836</v>
      </c>
      <c r="H61" s="15">
        <f t="shared" si="0"/>
        <v>0.141850723823291</v>
      </c>
      <c r="I61" s="2">
        <v>0.858149276176709</v>
      </c>
      <c r="J61" s="2"/>
      <c r="K61" s="2">
        <v>0.99550374350545801</v>
      </c>
      <c r="L61" s="2">
        <v>0.99987660555651003</v>
      </c>
      <c r="M61" s="2">
        <v>0.99999662755025798</v>
      </c>
    </row>
    <row r="62" spans="1:13" x14ac:dyDescent="0.25">
      <c r="A62">
        <v>6.1</v>
      </c>
      <c r="B62" s="2">
        <v>4.6972062765877097E-10</v>
      </c>
      <c r="C62" s="2">
        <v>2.2755497209562998E-9</v>
      </c>
      <c r="D62" s="2">
        <v>8.0741783269987398E-7</v>
      </c>
      <c r="E62" s="2">
        <v>1.06208964116584E-4</v>
      </c>
      <c r="F62" s="2">
        <v>4.1108781319419297E-3</v>
      </c>
      <c r="G62" s="2">
        <v>0.13823844777109001</v>
      </c>
      <c r="H62" s="15">
        <f t="shared" si="0"/>
        <v>0.13823799854719898</v>
      </c>
      <c r="I62" s="2">
        <v>0.86176200145280102</v>
      </c>
      <c r="J62" s="2"/>
      <c r="K62" s="2">
        <v>0.99588913733289997</v>
      </c>
      <c r="L62" s="2">
        <v>0.99989379143802004</v>
      </c>
      <c r="M62" s="2">
        <v>0.99999726625262797</v>
      </c>
    </row>
    <row r="63" spans="1:13" x14ac:dyDescent="0.25">
      <c r="A63">
        <v>6.2</v>
      </c>
      <c r="B63" s="2">
        <v>4.6830192540461397E-10</v>
      </c>
      <c r="C63" s="2">
        <v>1.76683317572715E-9</v>
      </c>
      <c r="D63" s="2">
        <v>6.4161645136292396E-7</v>
      </c>
      <c r="E63" s="2">
        <v>9.1416322784681803E-5</v>
      </c>
      <c r="F63" s="2">
        <v>3.75838911879529E-3</v>
      </c>
      <c r="G63" s="2">
        <v>0.13470319218648799</v>
      </c>
      <c r="H63" s="15">
        <f t="shared" si="0"/>
        <v>0.13470283100390201</v>
      </c>
      <c r="I63" s="2">
        <v>0.86529716899609799</v>
      </c>
      <c r="J63" s="2"/>
      <c r="K63" s="2">
        <v>0.99624162250931703</v>
      </c>
      <c r="L63" s="2">
        <v>0.99990858396198001</v>
      </c>
      <c r="M63" s="2">
        <v>0.99999778397621297</v>
      </c>
    </row>
    <row r="64" spans="1:13" x14ac:dyDescent="0.25">
      <c r="A64">
        <v>6.3</v>
      </c>
      <c r="B64" s="2">
        <v>4.6737904656948203E-10</v>
      </c>
      <c r="C64" s="2">
        <v>1.4011047287381699E-9</v>
      </c>
      <c r="D64" s="2">
        <v>5.0988162397348398E-7</v>
      </c>
      <c r="E64" s="2">
        <v>7.8683827587254902E-5</v>
      </c>
      <c r="F64" s="2">
        <v>3.4360202355257002E-3</v>
      </c>
      <c r="G64" s="2">
        <v>0.131244582188658</v>
      </c>
      <c r="H64" s="15">
        <f t="shared" si="0"/>
        <v>0.13124429182724995</v>
      </c>
      <c r="I64" s="2">
        <v>0.86875570817275005</v>
      </c>
      <c r="J64" s="2"/>
      <c r="K64" s="2">
        <v>0.996563988509101</v>
      </c>
      <c r="L64" s="2">
        <v>0.99992131637414505</v>
      </c>
      <c r="M64" s="2">
        <v>0.99999820363580105</v>
      </c>
    </row>
    <row r="65" spans="1:13" x14ac:dyDescent="0.25">
      <c r="A65">
        <v>6.4</v>
      </c>
      <c r="B65" s="2">
        <v>4.6677870542528895E-10</v>
      </c>
      <c r="C65" s="2">
        <v>1.1381738361315701E-9</v>
      </c>
      <c r="D65" s="2">
        <v>4.0521383815458601E-7</v>
      </c>
      <c r="E65" s="2">
        <v>6.7724607369539595E-5</v>
      </c>
      <c r="F65" s="2">
        <v>3.1412148282651299E-3</v>
      </c>
      <c r="G65" s="2">
        <v>0.127861657094689</v>
      </c>
      <c r="H65" s="15">
        <f t="shared" si="0"/>
        <v>0.12786142367929798</v>
      </c>
      <c r="I65" s="2">
        <v>0.87213857632070202</v>
      </c>
      <c r="J65" s="2"/>
      <c r="K65" s="2">
        <v>0.99685879174962999</v>
      </c>
      <c r="L65" s="2">
        <v>0.99993227553562103</v>
      </c>
      <c r="M65" s="2">
        <v>0.99999854380592401</v>
      </c>
    </row>
    <row r="66" spans="1:13" x14ac:dyDescent="0.25">
      <c r="A66">
        <v>6.5</v>
      </c>
      <c r="B66" s="2">
        <v>4.6638817801086497E-10</v>
      </c>
      <c r="C66" s="2">
        <v>9.4914655639591199E-10</v>
      </c>
      <c r="D66" s="2">
        <v>3.2205173945928499E-7</v>
      </c>
      <c r="E66" s="2">
        <v>5.8291726366149101E-5</v>
      </c>
      <c r="F66" s="2">
        <v>2.8716304476816999E-3</v>
      </c>
      <c r="G66" s="2">
        <v>0.12455343139916999</v>
      </c>
      <c r="H66" s="15">
        <f t="shared" si="0"/>
        <v>0.12455324375499299</v>
      </c>
      <c r="I66" s="2">
        <v>0.87544675624500701</v>
      </c>
      <c r="J66" s="2"/>
      <c r="K66" s="2">
        <v>0.99712837450227298</v>
      </c>
      <c r="L66" s="2">
        <v>0.99994170837506302</v>
      </c>
      <c r="M66" s="2">
        <v>0.99999881954291603</v>
      </c>
    </row>
    <row r="67" spans="1:13" x14ac:dyDescent="0.25">
      <c r="A67">
        <v>6.6</v>
      </c>
      <c r="B67" s="2">
        <v>4.6613413635267195E-10</v>
      </c>
      <c r="C67" s="2">
        <v>8.1325034535490003E-10</v>
      </c>
      <c r="D67" s="2">
        <v>2.5597664049381299E-7</v>
      </c>
      <c r="E67" s="2">
        <v>5.0172627586946401E-5</v>
      </c>
      <c r="F67" s="2">
        <v>2.6251213644543198E-3</v>
      </c>
      <c r="G67" s="2">
        <v>0.121318897068954</v>
      </c>
      <c r="H67" s="15">
        <f t="shared" ref="H67:H130" si="2">1-I67</f>
        <v>0.12131874620000505</v>
      </c>
      <c r="I67" s="2">
        <v>0.87868125379999495</v>
      </c>
      <c r="J67" s="2"/>
      <c r="K67" s="2">
        <v>0.99737488236247296</v>
      </c>
      <c r="L67" s="2">
        <v>0.99994982744443195</v>
      </c>
      <c r="M67" s="2">
        <v>0.99999904305127696</v>
      </c>
    </row>
    <row r="68" spans="1:13" x14ac:dyDescent="0.25">
      <c r="A68">
        <v>6.7</v>
      </c>
      <c r="B68" s="2">
        <v>4.6596887993006702E-10</v>
      </c>
      <c r="C68" s="2">
        <v>7.1555132540329996E-10</v>
      </c>
      <c r="D68" s="2">
        <v>2.0347774272426501E-7</v>
      </c>
      <c r="E68" s="2">
        <v>4.3184348628062303E-5</v>
      </c>
      <c r="F68" s="2">
        <v>2.3997224353998702E-3</v>
      </c>
      <c r="G68" s="2">
        <v>0.118157025774868</v>
      </c>
      <c r="H68" s="15">
        <f t="shared" si="2"/>
        <v>0.11815690444228399</v>
      </c>
      <c r="I68" s="2">
        <v>0.88184309555771601</v>
      </c>
      <c r="J68" s="2"/>
      <c r="K68" s="2">
        <v>0.99760028037273696</v>
      </c>
      <c r="L68" s="2">
        <v>0.999956815702573</v>
      </c>
      <c r="M68" s="2">
        <v>0.99999922422383403</v>
      </c>
    </row>
    <row r="69" spans="1:13" x14ac:dyDescent="0.25">
      <c r="A69">
        <v>6.8</v>
      </c>
      <c r="B69" s="2">
        <v>4.6586137911642596E-10</v>
      </c>
      <c r="C69" s="2">
        <v>6.4531317578641901E-10</v>
      </c>
      <c r="D69" s="2">
        <v>1.6176559680905499E-7</v>
      </c>
      <c r="E69" s="2">
        <v>3.7169402719680997E-5</v>
      </c>
      <c r="F69" s="2">
        <v>2.1936342287983998E-3</v>
      </c>
      <c r="G69" s="2">
        <v>0.11506677105653799</v>
      </c>
      <c r="H69" s="15">
        <f t="shared" si="2"/>
        <v>0.11506667343780397</v>
      </c>
      <c r="I69" s="2">
        <v>0.88493332656219603</v>
      </c>
      <c r="J69" s="2"/>
      <c r="K69" s="2">
        <v>0.99780636788909105</v>
      </c>
      <c r="L69" s="2">
        <v>0.99996283063374103</v>
      </c>
      <c r="M69" s="2">
        <v>0.99999937107958903</v>
      </c>
    </row>
    <row r="70" spans="1:13" x14ac:dyDescent="0.25">
      <c r="A70">
        <v>6.9</v>
      </c>
      <c r="B70" s="2">
        <v>4.6579144885500403E-10</v>
      </c>
      <c r="C70" s="2">
        <v>5.9481729958626203E-10</v>
      </c>
      <c r="D70" s="2">
        <v>1.28623890231662E-7</v>
      </c>
      <c r="E70" s="2">
        <v>3.1992232648511399E-5</v>
      </c>
      <c r="F70" s="2">
        <v>2.0052093213927999E-3</v>
      </c>
      <c r="G70" s="2">
        <v>0.112047070417216</v>
      </c>
      <c r="H70" s="15">
        <f t="shared" si="2"/>
        <v>0.11204699183094102</v>
      </c>
      <c r="I70" s="2">
        <v>0.88795300816905898</v>
      </c>
      <c r="J70" s="2"/>
      <c r="K70" s="2">
        <v>0.997994792277902</v>
      </c>
      <c r="L70" s="2">
        <v>0.99996800779336903</v>
      </c>
      <c r="M70" s="2">
        <v>0.99999949011863898</v>
      </c>
    </row>
    <row r="71" spans="1:13" x14ac:dyDescent="0.25">
      <c r="A71">
        <v>7</v>
      </c>
      <c r="B71" s="2">
        <v>4.6574595858140496E-10</v>
      </c>
      <c r="C71" s="2">
        <v>5.5851461356667999E-10</v>
      </c>
      <c r="D71" s="2">
        <v>1.0229168737414099E-7</v>
      </c>
      <c r="E71" s="2">
        <v>2.7536157980781999E-5</v>
      </c>
      <c r="F71" s="2">
        <v>1.83293968374795E-3</v>
      </c>
      <c r="G71" s="2">
        <v>0.10909684734620601</v>
      </c>
      <c r="H71" s="15">
        <f t="shared" si="2"/>
        <v>0.10909678402996204</v>
      </c>
      <c r="I71" s="2">
        <v>0.89090321597003796</v>
      </c>
      <c r="J71" s="2"/>
      <c r="K71" s="2">
        <v>0.99816706152585599</v>
      </c>
      <c r="L71" s="2">
        <v>0.99997246386063199</v>
      </c>
      <c r="M71" s="2">
        <v>0.99999958660987798</v>
      </c>
    </row>
    <row r="72" spans="1:13" x14ac:dyDescent="0.25">
      <c r="A72">
        <v>7.1</v>
      </c>
      <c r="B72" s="2">
        <v>4.6571636674325198E-10</v>
      </c>
      <c r="C72" s="2">
        <v>5.3241574962617195E-10</v>
      </c>
      <c r="D72" s="2">
        <v>8.1369865152605406E-8</v>
      </c>
      <c r="E72" s="2">
        <v>2.3700747038189399E-5</v>
      </c>
      <c r="F72" s="2">
        <v>1.67544507502222E-3</v>
      </c>
      <c r="G72" s="2">
        <v>0.10621501326706</v>
      </c>
      <c r="H72" s="15">
        <f t="shared" si="2"/>
        <v>0.10621496219814297</v>
      </c>
      <c r="I72" s="2">
        <v>0.89378503780185703</v>
      </c>
      <c r="J72" s="2"/>
      <c r="K72" s="2">
        <v>0.99832455584168001</v>
      </c>
      <c r="L72" s="2">
        <v>0.99997629926632103</v>
      </c>
      <c r="M72" s="2">
        <v>0.999999664824196</v>
      </c>
    </row>
    <row r="73" spans="1:13" x14ac:dyDescent="0.25">
      <c r="A73">
        <v>7.2</v>
      </c>
      <c r="B73" s="2">
        <v>4.6569711698257504E-10</v>
      </c>
      <c r="C73" s="2">
        <v>5.1365265605890504E-10</v>
      </c>
      <c r="D73" s="2">
        <v>6.4746772889034E-8</v>
      </c>
      <c r="E73" s="2">
        <v>2.0399554584713601E-5</v>
      </c>
      <c r="F73" s="2">
        <v>1.5314623726364999E-3</v>
      </c>
      <c r="G73" s="2">
        <v>0.103400469410256</v>
      </c>
      <c r="H73" s="15">
        <f t="shared" si="2"/>
        <v>0.10340042816115202</v>
      </c>
      <c r="I73" s="2">
        <v>0.89659957183884798</v>
      </c>
      <c r="J73" s="2"/>
      <c r="K73" s="2">
        <v>0.99846853832383198</v>
      </c>
      <c r="L73" s="2">
        <v>0.99997960045504197</v>
      </c>
      <c r="M73" s="2">
        <v>0.99999972822351602</v>
      </c>
    </row>
    <row r="74" spans="1:13" x14ac:dyDescent="0.25">
      <c r="A74">
        <v>7.3</v>
      </c>
      <c r="B74" s="2">
        <v>4.6568459483771201E-10</v>
      </c>
      <c r="C74" s="2">
        <v>5.0016342223671405E-10</v>
      </c>
      <c r="D74" s="2">
        <v>5.1539166517436601E-8</v>
      </c>
      <c r="E74" s="2">
        <v>1.7558174374653301E-5</v>
      </c>
      <c r="F74" s="2">
        <v>1.39983576675279E-3</v>
      </c>
      <c r="G74" s="2">
        <v>0.100652108609518</v>
      </c>
      <c r="H74" s="15">
        <f t="shared" si="2"/>
        <v>0.10065207523140995</v>
      </c>
      <c r="I74" s="2">
        <v>0.89934792476859005</v>
      </c>
      <c r="J74" s="2"/>
      <c r="K74" s="2">
        <v>0.99860016476403901</v>
      </c>
      <c r="L74" s="2">
        <v>0.99998244183259599</v>
      </c>
      <c r="M74" s="2">
        <v>0.99999977961402398</v>
      </c>
    </row>
    <row r="75" spans="1:13" x14ac:dyDescent="0.25">
      <c r="A75">
        <v>7.4</v>
      </c>
      <c r="B75" s="2">
        <v>4.65676449068323E-10</v>
      </c>
      <c r="C75" s="2">
        <v>4.90465691553811E-10</v>
      </c>
      <c r="D75" s="2">
        <v>4.1045278783503799E-8</v>
      </c>
      <c r="E75" s="2">
        <v>1.5112562771687299E-5</v>
      </c>
      <c r="F75" s="2">
        <v>1.27950775383409E-3</v>
      </c>
      <c r="G75" s="2">
        <v>9.7968817021372695E-2</v>
      </c>
      <c r="H75" s="15">
        <f t="shared" si="2"/>
        <v>9.7968789950296009E-2</v>
      </c>
      <c r="I75" s="2">
        <v>0.90203121004970399</v>
      </c>
      <c r="J75" s="2"/>
      <c r="K75" s="2">
        <v>0.99872049265223595</v>
      </c>
      <c r="L75" s="2">
        <v>0.99998488744230596</v>
      </c>
      <c r="M75" s="2">
        <v>0.99999982127037301</v>
      </c>
    </row>
    <row r="76" spans="1:13" x14ac:dyDescent="0.25">
      <c r="A76">
        <v>7.5</v>
      </c>
      <c r="B76" s="2">
        <v>4.6567115017109896E-10</v>
      </c>
      <c r="C76" s="2">
        <v>4.8349376258987898E-10</v>
      </c>
      <c r="D76" s="2">
        <v>3.2707531913189698E-8</v>
      </c>
      <c r="E76" s="2">
        <v>1.30075957309683E-5</v>
      </c>
      <c r="F76" s="2">
        <v>1.16951086780914E-3</v>
      </c>
      <c r="G76" s="2">
        <v>9.5349475767884703E-2</v>
      </c>
      <c r="H76" s="15">
        <f t="shared" si="2"/>
        <v>9.5349453749158042E-2</v>
      </c>
      <c r="I76" s="2">
        <v>0.90465054625084196</v>
      </c>
      <c r="J76" s="2"/>
      <c r="K76" s="2">
        <v>0.99883048944428798</v>
      </c>
      <c r="L76" s="2">
        <v>0.99998699240799405</v>
      </c>
      <c r="M76" s="2">
        <v>0.99999985503636002</v>
      </c>
    </row>
    <row r="77" spans="1:13" x14ac:dyDescent="0.25">
      <c r="A77">
        <v>7.6</v>
      </c>
      <c r="B77" s="2">
        <v>4.6566770319017495E-10</v>
      </c>
      <c r="C77" s="2">
        <v>4.78481477253936E-10</v>
      </c>
      <c r="D77" s="2">
        <v>2.60829115563358E-8</v>
      </c>
      <c r="E77" s="2">
        <v>1.11958266757479E-5</v>
      </c>
      <c r="F77" s="2">
        <v>1.0689600914764101E-3</v>
      </c>
      <c r="G77" s="2">
        <v>9.2792962502847604E-2</v>
      </c>
      <c r="H77" s="15">
        <f t="shared" si="2"/>
        <v>9.2792944530245003E-2</v>
      </c>
      <c r="I77" s="2">
        <v>0.907207055469755</v>
      </c>
      <c r="J77" s="2"/>
      <c r="K77" s="2">
        <v>0.998931040149733</v>
      </c>
      <c r="L77" s="2">
        <v>0.99998880417607905</v>
      </c>
      <c r="M77" s="2">
        <v>0.99999988240654303</v>
      </c>
    </row>
    <row r="78" spans="1:13" x14ac:dyDescent="0.25">
      <c r="A78">
        <v>7.7</v>
      </c>
      <c r="B78" s="2">
        <v>4.6566546089768395E-10</v>
      </c>
      <c r="C78" s="2">
        <v>4.7487802628120796E-10</v>
      </c>
      <c r="D78" s="2">
        <v>2.0819427877026301E-8</v>
      </c>
      <c r="E78" s="2">
        <v>9.6364173130372493E-6</v>
      </c>
      <c r="F78" s="2">
        <v>9.7704589472725101E-4</v>
      </c>
      <c r="G78" s="2">
        <v>9.0298152901972004E-2</v>
      </c>
      <c r="H78" s="15">
        <f t="shared" si="2"/>
        <v>9.0298138168790953E-2</v>
      </c>
      <c r="I78" s="2">
        <v>0.90970186183120905</v>
      </c>
      <c r="J78" s="2"/>
      <c r="K78" s="2">
        <v>0.99902295429293098</v>
      </c>
      <c r="L78" s="2">
        <v>0.99999036358474402</v>
      </c>
      <c r="M78" s="2">
        <v>0.99999990459238497</v>
      </c>
    </row>
    <row r="79" spans="1:13" x14ac:dyDescent="0.25">
      <c r="A79">
        <v>7.8</v>
      </c>
      <c r="B79" s="2">
        <v>4.65664002265996E-10</v>
      </c>
      <c r="C79" s="2">
        <v>4.7228741980009197E-10</v>
      </c>
      <c r="D79" s="2">
        <v>1.6637413090726398E-8</v>
      </c>
      <c r="E79" s="2">
        <v>8.2942173196803097E-6</v>
      </c>
      <c r="F79" s="2">
        <v>8.9302784993451796E-4</v>
      </c>
      <c r="G79" s="2">
        <v>8.7863922077904597E-2</v>
      </c>
      <c r="H79" s="15">
        <f t="shared" si="2"/>
        <v>8.7863909937608953E-2</v>
      </c>
      <c r="I79" s="2">
        <v>0.91213609006239105</v>
      </c>
      <c r="J79" s="2"/>
      <c r="K79" s="2">
        <v>0.99910697229719403</v>
      </c>
      <c r="L79" s="2">
        <v>0.99999170578423302</v>
      </c>
      <c r="M79" s="2">
        <v>0.99999992257588199</v>
      </c>
    </row>
    <row r="80" spans="1:13" x14ac:dyDescent="0.25">
      <c r="A80">
        <v>7.9</v>
      </c>
      <c r="B80" s="2">
        <v>4.65663053412802E-10</v>
      </c>
      <c r="C80" s="2">
        <v>4.7042497128205905E-10</v>
      </c>
      <c r="D80" s="2">
        <v>1.3314661723660501E-8</v>
      </c>
      <c r="E80" s="2">
        <v>7.1389721774985E-6</v>
      </c>
      <c r="F80" s="2">
        <v>8.1622877842789799E-4</v>
      </c>
      <c r="G80" s="2">
        <v>8.5489145921079701E-2</v>
      </c>
      <c r="H80" s="15">
        <f t="shared" si="2"/>
        <v>8.5489135855667975E-2</v>
      </c>
      <c r="I80" s="2">
        <v>0.91451086414433203</v>
      </c>
      <c r="J80" s="2"/>
      <c r="K80" s="2">
        <v>0.999183771337954</v>
      </c>
      <c r="L80" s="2">
        <v>0.99999286102900897</v>
      </c>
      <c r="M80" s="2">
        <v>0.99999993715302304</v>
      </c>
    </row>
    <row r="81" spans="1:13" x14ac:dyDescent="0.25">
      <c r="A81">
        <v>8</v>
      </c>
      <c r="B81" s="2">
        <v>4.6566243617515897E-10</v>
      </c>
      <c r="C81" s="2">
        <v>4.6908601281786798E-10</v>
      </c>
      <c r="D81" s="2">
        <v>1.0674624045962099E-8</v>
      </c>
      <c r="E81" s="2">
        <v>6.1446413185782996E-6</v>
      </c>
      <c r="F81" s="2">
        <v>7.4602938535865704E-4</v>
      </c>
      <c r="G81" s="2">
        <v>8.3172702367649204E-2</v>
      </c>
      <c r="H81" s="15">
        <f t="shared" si="2"/>
        <v>8.3172693962225042E-2</v>
      </c>
      <c r="I81" s="2">
        <v>0.91682730603777496</v>
      </c>
      <c r="J81" s="2"/>
      <c r="K81" s="2">
        <v>0.999253970707631</v>
      </c>
      <c r="L81" s="2">
        <v>0.99999385535959895</v>
      </c>
      <c r="M81" s="2">
        <v>0.999999948969025</v>
      </c>
    </row>
    <row r="82" spans="1:13" x14ac:dyDescent="0.25">
      <c r="A82">
        <v>8.1</v>
      </c>
      <c r="B82" s="2">
        <v>4.6566203465645203E-10</v>
      </c>
      <c r="C82" s="2">
        <v>4.6812340378551399E-10</v>
      </c>
      <c r="D82" s="2">
        <v>8.5770253551909904E-9</v>
      </c>
      <c r="E82" s="2">
        <v>5.2888112236882497E-6</v>
      </c>
      <c r="F82" s="2">
        <v>6.8186334344006697E-4</v>
      </c>
      <c r="G82" s="2">
        <v>8.0913472595870201E-2</v>
      </c>
      <c r="H82" s="15">
        <f t="shared" si="2"/>
        <v>8.0913465518224981E-2</v>
      </c>
      <c r="I82" s="2">
        <v>0.91908653448177502</v>
      </c>
      <c r="J82" s="2"/>
      <c r="K82" s="2">
        <v>0.99931813673169001</v>
      </c>
      <c r="L82" s="2">
        <v>0.99999471118949701</v>
      </c>
      <c r="M82" s="2">
        <v>0.99999995854689006</v>
      </c>
    </row>
    <row r="83" spans="1:13" x14ac:dyDescent="0.25">
      <c r="A83">
        <v>8.1999999999999993</v>
      </c>
      <c r="B83" s="2">
        <v>4.6566177346488003E-10</v>
      </c>
      <c r="C83" s="2">
        <v>4.6743136129680803E-10</v>
      </c>
      <c r="D83" s="2">
        <v>6.9104126802856303E-9</v>
      </c>
      <c r="E83" s="2">
        <v>4.5521902537724698E-6</v>
      </c>
      <c r="F83" s="2">
        <v>6.2321278904008701E-4</v>
      </c>
      <c r="G83" s="2">
        <v>7.8710342152486401E-2</v>
      </c>
      <c r="H83" s="15">
        <f t="shared" si="2"/>
        <v>7.8710336136704973E-2</v>
      </c>
      <c r="I83" s="2">
        <v>0.92128966386329503</v>
      </c>
      <c r="J83" s="2"/>
      <c r="K83" s="2">
        <v>0.99937678727239498</v>
      </c>
      <c r="L83" s="2">
        <v>0.99999544781031902</v>
      </c>
      <c r="M83" s="2">
        <v>0.99999996631055799</v>
      </c>
    </row>
    <row r="84" spans="1:13" x14ac:dyDescent="0.25">
      <c r="A84">
        <v>8.3000000000000007</v>
      </c>
      <c r="B84" s="2">
        <v>4.6566160355738299E-10</v>
      </c>
      <c r="C84" s="2">
        <v>4.6693383552102699E-10</v>
      </c>
      <c r="D84" s="2">
        <v>5.5862328863507499E-9</v>
      </c>
      <c r="E84" s="2">
        <v>3.9181738343212997E-6</v>
      </c>
      <c r="F84" s="2">
        <v>5.6960419690164704E-4</v>
      </c>
      <c r="G84" s="2">
        <v>7.6562202010775002E-2</v>
      </c>
      <c r="H84" s="15">
        <f t="shared" si="2"/>
        <v>7.6562196844067953E-2</v>
      </c>
      <c r="I84" s="2">
        <v>0.92343780315593205</v>
      </c>
      <c r="J84" s="2"/>
      <c r="K84" s="2">
        <v>0.99943039585397697</v>
      </c>
      <c r="L84" s="2">
        <v>0.99999608182662802</v>
      </c>
      <c r="M84" s="2">
        <v>0.99999997260366502</v>
      </c>
    </row>
    <row r="85" spans="1:13" x14ac:dyDescent="0.25">
      <c r="A85">
        <v>8.4</v>
      </c>
      <c r="B85" s="2">
        <v>4.6566149303101098E-10</v>
      </c>
      <c r="C85" s="2">
        <v>4.6657615242879198E-10</v>
      </c>
      <c r="D85" s="2">
        <v>4.5341275292194499E-9</v>
      </c>
      <c r="E85" s="2">
        <v>3.3724701964080901E-6</v>
      </c>
      <c r="F85" s="2">
        <v>5.2060460238019795E-4</v>
      </c>
      <c r="G85" s="2">
        <v>7.4467949562015301E-2</v>
      </c>
      <c r="H85" s="15">
        <f t="shared" si="2"/>
        <v>7.446794507416199E-2</v>
      </c>
      <c r="I85" s="2">
        <v>0.92553205492583801</v>
      </c>
      <c r="J85" s="2"/>
      <c r="K85" s="2">
        <v>0.99947939544030895</v>
      </c>
      <c r="L85" s="2">
        <v>0.99999662753018204</v>
      </c>
      <c r="M85" s="2">
        <v>0.99999997770475801</v>
      </c>
    </row>
    <row r="86" spans="1:13" x14ac:dyDescent="0.25">
      <c r="A86">
        <v>8.5</v>
      </c>
      <c r="B86" s="2">
        <v>4.6566142113260004E-10</v>
      </c>
      <c r="C86" s="2">
        <v>4.6631900556204804E-10</v>
      </c>
      <c r="D86" s="2">
        <v>3.6981944588331898E-9</v>
      </c>
      <c r="E86" s="2">
        <v>2.9027782418393302E-6</v>
      </c>
      <c r="F86" s="2">
        <v>4.75818142524325E-4</v>
      </c>
      <c r="G86" s="2">
        <v>7.2426489542238903E-2</v>
      </c>
      <c r="H86" s="15">
        <f t="shared" si="2"/>
        <v>7.2426485597110957E-2</v>
      </c>
      <c r="I86" s="2">
        <v>0.92757351440288904</v>
      </c>
      <c r="J86" s="2"/>
      <c r="K86" s="2">
        <v>0.99952418189376702</v>
      </c>
      <c r="L86" s="2">
        <v>0.99999709722207097</v>
      </c>
      <c r="M86" s="2">
        <v>0.99999998183962402</v>
      </c>
    </row>
    <row r="87" spans="1:13" x14ac:dyDescent="0.25">
      <c r="A87">
        <v>8.6</v>
      </c>
      <c r="B87" s="2">
        <v>4.6566137436202904E-10</v>
      </c>
      <c r="C87" s="2">
        <v>4.6613413657476095E-10</v>
      </c>
      <c r="D87" s="2">
        <v>3.0340175371976201E-9</v>
      </c>
      <c r="E87" s="2">
        <v>2.49851027380369E-6</v>
      </c>
      <c r="F87" s="2">
        <v>4.3488288959084499E-4</v>
      </c>
      <c r="G87" s="2">
        <v>7.0436734896189596E-2</v>
      </c>
      <c r="H87" s="15">
        <f t="shared" si="2"/>
        <v>7.0436731384962981E-2</v>
      </c>
      <c r="I87" s="2">
        <v>0.92956326861503702</v>
      </c>
      <c r="J87" s="2"/>
      <c r="K87" s="2">
        <v>0.99956511714165897</v>
      </c>
      <c r="L87" s="2">
        <v>0.999997501489989</v>
      </c>
      <c r="M87" s="2">
        <v>0.99999998519128197</v>
      </c>
    </row>
    <row r="88" spans="1:13" x14ac:dyDescent="0.25">
      <c r="A88">
        <v>8.6999999999999993</v>
      </c>
      <c r="B88" s="2">
        <v>4.6566134393734704E-10</v>
      </c>
      <c r="C88" s="2">
        <v>4.6600122987099595E-10</v>
      </c>
      <c r="D88" s="2">
        <v>2.5063066492830701E-9</v>
      </c>
      <c r="E88" s="2">
        <v>2.1505533449907498E-6</v>
      </c>
      <c r="F88" s="2">
        <v>3.9746795268968298E-4</v>
      </c>
      <c r="G88" s="2">
        <v>6.8497607580478306E-2</v>
      </c>
      <c r="H88" s="15">
        <f t="shared" si="2"/>
        <v>6.8497604416182023E-2</v>
      </c>
      <c r="I88" s="2">
        <v>0.93150239558381798</v>
      </c>
      <c r="J88" s="2"/>
      <c r="K88" s="2">
        <v>0.99960253207454797</v>
      </c>
      <c r="L88" s="2">
        <v>0.99999784944687697</v>
      </c>
      <c r="M88" s="2">
        <v>0.99999998790808298</v>
      </c>
    </row>
    <row r="89" spans="1:13" x14ac:dyDescent="0.25">
      <c r="A89">
        <v>8.8000000000000007</v>
      </c>
      <c r="B89" s="2">
        <v>4.6566132414581404E-10</v>
      </c>
      <c r="C89" s="2">
        <v>4.6590568008648399E-10</v>
      </c>
      <c r="D89" s="2">
        <v>2.08702261224601E-9</v>
      </c>
      <c r="E89" s="2">
        <v>1.8510638450947201E-6</v>
      </c>
      <c r="F89" s="2">
        <v>3.6327082520399998E-4</v>
      </c>
      <c r="G89" s="2">
        <v>6.66080393079546E-2</v>
      </c>
      <c r="H89" s="15">
        <f t="shared" si="2"/>
        <v>6.6608036421112016E-2</v>
      </c>
      <c r="I89" s="2">
        <v>0.93339196357888798</v>
      </c>
      <c r="J89" s="2"/>
      <c r="K89" s="2">
        <v>0.99963672919880697</v>
      </c>
      <c r="L89" s="2">
        <v>0.99999814893634498</v>
      </c>
      <c r="M89" s="2">
        <v>0.99999999011027896</v>
      </c>
    </row>
    <row r="90" spans="1:13" x14ac:dyDescent="0.25">
      <c r="A90">
        <v>8.9</v>
      </c>
      <c r="B90" s="2">
        <v>4.6566131127124205E-10</v>
      </c>
      <c r="C90" s="2">
        <v>4.6583698707809197E-10</v>
      </c>
      <c r="D90" s="2">
        <v>1.7538873527054301E-9</v>
      </c>
      <c r="E90" s="2">
        <v>1.5932906984777399E-6</v>
      </c>
      <c r="F90" s="2">
        <v>3.3201495743661301E-4</v>
      </c>
      <c r="G90" s="2">
        <v>6.4766972235370104E-2</v>
      </c>
      <c r="H90" s="15">
        <f t="shared" si="2"/>
        <v>6.4766969570495991E-2</v>
      </c>
      <c r="I90" s="2">
        <v>0.93523303042950401</v>
      </c>
      <c r="J90" s="2"/>
      <c r="K90" s="2">
        <v>0.99966798506394805</v>
      </c>
      <c r="L90" s="2">
        <v>0.99999840670946505</v>
      </c>
      <c r="M90" s="2">
        <v>0.99999999189534405</v>
      </c>
    </row>
    <row r="91" spans="1:13" x14ac:dyDescent="0.25">
      <c r="A91">
        <v>9</v>
      </c>
      <c r="B91" s="2">
        <v>4.6566130289621598E-10</v>
      </c>
      <c r="C91" s="2">
        <v>4.6578760204362897E-10</v>
      </c>
      <c r="D91" s="2">
        <v>1.4892001924658599E-9</v>
      </c>
      <c r="E91" s="2">
        <v>1.37142318738635E-6</v>
      </c>
      <c r="F91" s="2">
        <v>3.03447535603263E-4</v>
      </c>
      <c r="G91" s="2">
        <v>6.2973359596394995E-2</v>
      </c>
      <c r="H91" s="15">
        <f t="shared" si="2"/>
        <v>6.2973357109203043E-2</v>
      </c>
      <c r="I91" s="2">
        <v>0.93702664289079696</v>
      </c>
      <c r="J91" s="2"/>
      <c r="K91" s="2">
        <v>0.999696552483617</v>
      </c>
      <c r="L91" s="2">
        <v>0.99999862857695498</v>
      </c>
      <c r="M91" s="2">
        <v>0.99999999334228995</v>
      </c>
    </row>
    <row r="92" spans="1:13" x14ac:dyDescent="0.25">
      <c r="A92">
        <v>9.1</v>
      </c>
      <c r="B92" s="2">
        <v>4.6566129744818495E-10</v>
      </c>
      <c r="C92" s="2">
        <v>4.6575209796999095E-10</v>
      </c>
      <c r="D92" s="2">
        <v>1.27889734770699E-9</v>
      </c>
      <c r="E92" s="2">
        <v>1.18045997099305E-6</v>
      </c>
      <c r="F92" s="2">
        <v>2.77337449835286E-4</v>
      </c>
      <c r="G92" s="2">
        <v>6.1226166282106503E-2</v>
      </c>
      <c r="H92" s="15">
        <f t="shared" si="2"/>
        <v>6.1226163937258993E-2</v>
      </c>
      <c r="I92" s="2">
        <v>0.93877383606274101</v>
      </c>
      <c r="J92" s="2"/>
      <c r="K92" s="2">
        <v>0.99972266256757802</v>
      </c>
      <c r="L92" s="2">
        <v>0.99999881954015302</v>
      </c>
      <c r="M92" s="2">
        <v>0.99999999451516097</v>
      </c>
    </row>
    <row r="93" spans="1:13" x14ac:dyDescent="0.25">
      <c r="A93">
        <v>9.1999999999999993</v>
      </c>
      <c r="B93" s="2">
        <v>4.6566129390419197E-10</v>
      </c>
      <c r="C93" s="2">
        <v>4.6572657324861498E-10</v>
      </c>
      <c r="D93" s="2">
        <v>1.1118046694589599E-9</v>
      </c>
      <c r="E93" s="2">
        <v>1.01609634816105E-6</v>
      </c>
      <c r="F93" s="2">
        <v>2.5347343527718402E-4</v>
      </c>
      <c r="G93" s="2">
        <v>5.95243693710188E-2</v>
      </c>
      <c r="H93" s="15">
        <f t="shared" si="2"/>
        <v>5.952436714034004E-2</v>
      </c>
      <c r="I93" s="2">
        <v>0.94047563285965996</v>
      </c>
      <c r="J93" s="2"/>
      <c r="K93" s="2">
        <v>0.99974652658060703</v>
      </c>
      <c r="L93" s="2">
        <v>0.99999898390376096</v>
      </c>
      <c r="M93" s="2">
        <v>0.99999999546587304</v>
      </c>
    </row>
    <row r="94" spans="1:13" x14ac:dyDescent="0.25">
      <c r="A94">
        <v>9.3000000000000007</v>
      </c>
      <c r="B94" s="2">
        <v>4.6566129159879204E-10</v>
      </c>
      <c r="C94" s="2">
        <v>4.6570822292048303E-10</v>
      </c>
      <c r="D94" s="2">
        <v>9.7904392078135693E-10</v>
      </c>
      <c r="E94" s="2">
        <v>8.7462722295525604E-7</v>
      </c>
      <c r="F94" s="2">
        <v>2.31662371676283E-4</v>
      </c>
      <c r="G94" s="2">
        <v>5.7866958610756997E-2</v>
      </c>
      <c r="H94" s="15">
        <f t="shared" si="2"/>
        <v>5.7866956471791964E-2</v>
      </c>
      <c r="I94" s="2">
        <v>0.94213304352820804</v>
      </c>
      <c r="J94" s="2"/>
      <c r="K94" s="2">
        <v>0.99976833764289796</v>
      </c>
      <c r="L94" s="2">
        <v>0.99999912537287305</v>
      </c>
      <c r="M94" s="2">
        <v>0.99999999623650404</v>
      </c>
    </row>
    <row r="95" spans="1:13" x14ac:dyDescent="0.25">
      <c r="A95">
        <v>9.4</v>
      </c>
      <c r="B95" s="2">
        <v>4.65661290099108E-10</v>
      </c>
      <c r="C95" s="2">
        <v>4.6569503043396805E-10</v>
      </c>
      <c r="D95" s="2">
        <v>8.7356104401857495E-10</v>
      </c>
      <c r="E95" s="2">
        <v>7.5286358580070201E-7</v>
      </c>
      <c r="F95" s="2">
        <v>2.11727728070048E-4</v>
      </c>
      <c r="G95" s="2">
        <v>5.6252936853450501E-2</v>
      </c>
      <c r="H95" s="15">
        <f t="shared" si="2"/>
        <v>5.6252934788315945E-2</v>
      </c>
      <c r="I95" s="2">
        <v>0.94374706521168406</v>
      </c>
      <c r="J95" s="2"/>
      <c r="K95" s="2">
        <v>0.99978827228536604</v>
      </c>
      <c r="L95" s="2">
        <v>0.99999924713649901</v>
      </c>
      <c r="M95" s="2">
        <v>0.99999999686116603</v>
      </c>
    </row>
    <row r="96" spans="1:13" x14ac:dyDescent="0.25">
      <c r="A96">
        <v>9.5</v>
      </c>
      <c r="B96" s="2">
        <v>4.6566128912355001E-10</v>
      </c>
      <c r="C96" s="2">
        <v>4.6568554604223297E-10</v>
      </c>
      <c r="D96" s="2">
        <v>7.8975135327416895E-10</v>
      </c>
      <c r="E96" s="2">
        <v>6.4806062779183996E-7</v>
      </c>
      <c r="F96" s="2">
        <v>1.9350814028900199E-4</v>
      </c>
      <c r="G96" s="2">
        <v>5.4681320446889399E-2</v>
      </c>
      <c r="H96" s="15">
        <f t="shared" si="2"/>
        <v>5.468131844135804E-2</v>
      </c>
      <c r="I96" s="2">
        <v>0.94531868155864196</v>
      </c>
      <c r="J96" s="2"/>
      <c r="K96" s="2">
        <v>0.99980649187214898</v>
      </c>
      <c r="L96" s="2">
        <v>0.999999351939447</v>
      </c>
      <c r="M96" s="2">
        <v>0.999999997367507</v>
      </c>
    </row>
    <row r="97" spans="1:13" x14ac:dyDescent="0.25">
      <c r="A97">
        <v>9.6</v>
      </c>
      <c r="B97" s="2">
        <v>4.6566128848894004E-10</v>
      </c>
      <c r="C97" s="2">
        <v>4.6567872748786304E-10</v>
      </c>
      <c r="D97" s="2">
        <v>7.2316173723126902E-10</v>
      </c>
      <c r="E97" s="2">
        <v>5.5785586784023602E-7</v>
      </c>
      <c r="F97" s="2">
        <v>1.76856110016289E-4</v>
      </c>
      <c r="G97" s="2">
        <v>5.3151139583481499E-2</v>
      </c>
      <c r="H97" s="15">
        <f t="shared" si="2"/>
        <v>5.3151137626245015E-2</v>
      </c>
      <c r="I97" s="2">
        <v>0.94684886237375498</v>
      </c>
      <c r="J97" s="2"/>
      <c r="K97" s="2">
        <v>0.99982314390153504</v>
      </c>
      <c r="L97" s="2">
        <v>0.999999442144199</v>
      </c>
      <c r="M97" s="2">
        <v>0.99999999777793902</v>
      </c>
    </row>
    <row r="98" spans="1:13" x14ac:dyDescent="0.25">
      <c r="A98">
        <v>9.6999999999999993</v>
      </c>
      <c r="B98" s="2">
        <v>4.6566128807612098E-10</v>
      </c>
      <c r="C98" s="2">
        <v>4.6567382546725798E-10</v>
      </c>
      <c r="D98" s="2">
        <v>6.7025404928255305E-10</v>
      </c>
      <c r="E98" s="2">
        <v>4.8021589802075405E-7</v>
      </c>
      <c r="F98" s="2">
        <v>1.61636815085778E-4</v>
      </c>
      <c r="G98" s="2">
        <v>5.1661438609006703E-2</v>
      </c>
      <c r="H98" s="15">
        <f t="shared" si="2"/>
        <v>5.1661436691086027E-2</v>
      </c>
      <c r="I98" s="2">
        <v>0.94833856330891397</v>
      </c>
      <c r="J98" s="2"/>
      <c r="K98" s="2">
        <v>0.99983836319566999</v>
      </c>
      <c r="L98" s="2">
        <v>0.99999951978416102</v>
      </c>
      <c r="M98" s="2">
        <v>0.99999999811062901</v>
      </c>
    </row>
    <row r="99" spans="1:13" x14ac:dyDescent="0.25">
      <c r="A99">
        <v>9.8000000000000007</v>
      </c>
      <c r="B99" s="2">
        <v>4.6566128780757896E-10</v>
      </c>
      <c r="C99" s="2">
        <v>4.6567030128827404E-10</v>
      </c>
      <c r="D99" s="2">
        <v>6.2821711303499802E-10</v>
      </c>
      <c r="E99" s="2">
        <v>4.1339054672072799E-7</v>
      </c>
      <c r="F99" s="2">
        <v>1.4772702156487199E-4</v>
      </c>
      <c r="G99" s="2">
        <v>5.0211276293118202E-2</v>
      </c>
      <c r="H99" s="15">
        <f t="shared" si="2"/>
        <v>5.0211274407399031E-2</v>
      </c>
      <c r="I99" s="2">
        <v>0.94978872559260097</v>
      </c>
      <c r="J99" s="2"/>
      <c r="K99" s="2">
        <v>0.99985227298847301</v>
      </c>
      <c r="L99" s="2">
        <v>0.99999958660950605</v>
      </c>
      <c r="M99" s="2">
        <v>0.99999999838030196</v>
      </c>
    </row>
    <row r="100" spans="1:13" x14ac:dyDescent="0.25">
      <c r="A100">
        <v>9.9</v>
      </c>
      <c r="B100" s="2">
        <v>4.6566128763289E-10</v>
      </c>
      <c r="C100" s="2">
        <v>4.6566776767234002E-10</v>
      </c>
      <c r="D100" s="2">
        <v>5.9481735436427698E-10</v>
      </c>
      <c r="E100" s="2">
        <v>3.5587342638922102E-7</v>
      </c>
      <c r="F100" s="2">
        <v>1.3501408896217799E-4</v>
      </c>
      <c r="G100" s="2">
        <v>4.8799726063525901E-2</v>
      </c>
      <c r="H100" s="15">
        <f t="shared" si="2"/>
        <v>4.8799724204378947E-2</v>
      </c>
      <c r="I100" s="2">
        <v>0.95120027579562105</v>
      </c>
      <c r="J100" s="2"/>
      <c r="K100" s="2">
        <v>0.99986498592042194</v>
      </c>
      <c r="L100" s="2">
        <v>0.99999964412662001</v>
      </c>
      <c r="M100" s="2">
        <v>0.99999999859889499</v>
      </c>
    </row>
    <row r="101" spans="1:13" x14ac:dyDescent="0.25">
      <c r="A101">
        <v>10</v>
      </c>
      <c r="B101" s="2">
        <v>4.6566128751925203E-10</v>
      </c>
      <c r="C101" s="2">
        <v>4.6566594619569799E-10</v>
      </c>
      <c r="D101" s="2">
        <v>5.6828012356145595E-10</v>
      </c>
      <c r="E101" s="2">
        <v>3.0636797659016801E-7</v>
      </c>
      <c r="F101" s="2">
        <v>1.23395060628898E-4</v>
      </c>
      <c r="G101" s="2">
        <v>4.7425876205734498E-2</v>
      </c>
      <c r="H101" s="15">
        <f t="shared" si="2"/>
        <v>4.7425874368718035E-2</v>
      </c>
      <c r="I101" s="2">
        <v>0.95257412563128196</v>
      </c>
      <c r="J101" s="2"/>
      <c r="K101" s="2">
        <v>0.999876604948156</v>
      </c>
      <c r="L101" s="2">
        <v>0.99999969363206498</v>
      </c>
      <c r="M101" s="2">
        <v>0.99999999877608303</v>
      </c>
    </row>
    <row r="102" spans="1:13" x14ac:dyDescent="0.25">
      <c r="A102">
        <v>10.1</v>
      </c>
      <c r="B102" s="2">
        <v>4.6566128744533E-10</v>
      </c>
      <c r="C102" s="2">
        <v>4.6566463669289801E-10</v>
      </c>
      <c r="D102" s="2">
        <v>5.4719540178962399E-10</v>
      </c>
      <c r="E102" s="2">
        <v>2.6375823692828599E-7</v>
      </c>
      <c r="F102" s="2">
        <v>1.12775832091716E-4</v>
      </c>
      <c r="G102" s="2">
        <v>4.6088830030157103E-2</v>
      </c>
      <c r="H102" s="15">
        <f t="shared" si="2"/>
        <v>4.6088828211777955E-2</v>
      </c>
      <c r="I102" s="2">
        <v>0.95391117178822205</v>
      </c>
      <c r="J102" s="2"/>
      <c r="K102" s="2">
        <v>0.99988722417614195</v>
      </c>
      <c r="L102" s="2">
        <v>0.99999973624180005</v>
      </c>
      <c r="M102" s="2">
        <v>0.99999999891970803</v>
      </c>
    </row>
    <row r="103" spans="1:13" x14ac:dyDescent="0.25">
      <c r="A103">
        <v>10.199999999999999</v>
      </c>
      <c r="B103" s="2">
        <v>4.6566128739724403E-10</v>
      </c>
      <c r="C103" s="2">
        <v>4.6566369526024802E-10</v>
      </c>
      <c r="D103" s="2">
        <v>5.3044288169447203E-10</v>
      </c>
      <c r="E103" s="2">
        <v>2.27083691029446E-7</v>
      </c>
      <c r="F103" s="2">
        <v>1.03070390668343E-4</v>
      </c>
      <c r="G103" s="2">
        <v>4.4787706008409797E-2</v>
      </c>
      <c r="H103" s="15">
        <f t="shared" si="2"/>
        <v>4.4787704205931034E-2</v>
      </c>
      <c r="I103" s="2">
        <v>0.95521229579406897</v>
      </c>
      <c r="J103" s="2"/>
      <c r="K103" s="2">
        <v>0.99989692961705501</v>
      </c>
      <c r="L103" s="2">
        <v>0.99999977291634201</v>
      </c>
      <c r="M103" s="2">
        <v>0.99999999903612902</v>
      </c>
    </row>
    <row r="104" spans="1:13" x14ac:dyDescent="0.25">
      <c r="A104">
        <v>10.3</v>
      </c>
      <c r="B104" s="2">
        <v>4.6566128736596295E-10</v>
      </c>
      <c r="C104" s="2">
        <v>4.6566301844196503E-10</v>
      </c>
      <c r="D104" s="2">
        <v>5.1713244143138504E-10</v>
      </c>
      <c r="E104" s="2">
        <v>1.9551761452139801E-7</v>
      </c>
      <c r="F104" s="2">
        <v>9.4200120279566105E-5</v>
      </c>
      <c r="G104" s="2">
        <v>4.3521637880492799E-2</v>
      </c>
      <c r="H104" s="15">
        <f t="shared" si="2"/>
        <v>4.3521636091779947E-2</v>
      </c>
      <c r="I104" s="2">
        <v>0.95647836390822005</v>
      </c>
      <c r="J104" s="2"/>
      <c r="K104" s="2">
        <v>0.99990579988697104</v>
      </c>
      <c r="L104" s="2">
        <v>0.99999980448241499</v>
      </c>
      <c r="M104" s="2">
        <v>0.99999999913049797</v>
      </c>
    </row>
    <row r="105" spans="1:13" x14ac:dyDescent="0.25">
      <c r="A105">
        <v>10.4</v>
      </c>
      <c r="B105" s="2">
        <v>4.65661287345614E-10</v>
      </c>
      <c r="C105" s="2">
        <v>4.6566253186123498E-10</v>
      </c>
      <c r="D105" s="2">
        <v>5.0655684927933097E-10</v>
      </c>
      <c r="E105" s="2">
        <v>1.6834843894409799E-7</v>
      </c>
      <c r="F105" s="2">
        <v>8.6093165887368204E-5</v>
      </c>
      <c r="G105" s="2">
        <v>4.2289774734559797E-2</v>
      </c>
      <c r="H105" s="15">
        <f t="shared" si="2"/>
        <v>4.2289772957959992E-2</v>
      </c>
      <c r="I105" s="2">
        <v>0.95771022704204001</v>
      </c>
      <c r="J105" s="2"/>
      <c r="K105" s="2">
        <v>0.99991390684092196</v>
      </c>
      <c r="L105" s="2">
        <v>0.99999983165158801</v>
      </c>
      <c r="M105" s="2">
        <v>0.99999999920699201</v>
      </c>
    </row>
    <row r="106" spans="1:13" x14ac:dyDescent="0.25">
      <c r="A106">
        <v>10.5</v>
      </c>
      <c r="B106" s="2">
        <v>4.6566128733237704E-10</v>
      </c>
      <c r="C106" s="2">
        <v>4.6566218204679496E-10</v>
      </c>
      <c r="D106" s="2">
        <v>4.9815418586707296E-10</v>
      </c>
      <c r="E106" s="2">
        <v>1.4496371150077301E-7</v>
      </c>
      <c r="F106" s="2">
        <v>7.8683852461410698E-5</v>
      </c>
      <c r="G106" s="2">
        <v>4.10912810608942E-2</v>
      </c>
      <c r="H106" s="15">
        <f t="shared" si="2"/>
        <v>4.1091279295141003E-2</v>
      </c>
      <c r="I106" s="2">
        <v>0.958908720704859</v>
      </c>
      <c r="J106" s="2"/>
      <c r="K106" s="2">
        <v>0.99992131615393698</v>
      </c>
      <c r="L106" s="2">
        <v>0.99999985503631195</v>
      </c>
      <c r="M106" s="2">
        <v>0.99999999926899596</v>
      </c>
    </row>
    <row r="107" spans="1:13" x14ac:dyDescent="0.25">
      <c r="A107">
        <v>10.6</v>
      </c>
      <c r="B107" s="2">
        <v>4.6566128732376599E-10</v>
      </c>
      <c r="C107" s="2">
        <v>4.6566193055688905E-10</v>
      </c>
      <c r="D107" s="2">
        <v>4.91477987368956E-10</v>
      </c>
      <c r="E107" s="2">
        <v>1.2483628907454301E-7</v>
      </c>
      <c r="F107" s="2">
        <v>7.1912153809268096E-5</v>
      </c>
      <c r="G107" s="2">
        <v>3.99253367816573E-2</v>
      </c>
      <c r="H107" s="15">
        <f t="shared" si="2"/>
        <v>3.9925335025789987E-2</v>
      </c>
      <c r="I107" s="2">
        <v>0.96007466497421001</v>
      </c>
      <c r="J107" s="2"/>
      <c r="K107" s="2">
        <v>0.99992808785220499</v>
      </c>
      <c r="L107" s="2">
        <v>0.99999987516373201</v>
      </c>
      <c r="M107" s="2">
        <v>0.99999999931925598</v>
      </c>
    </row>
    <row r="108" spans="1:13" x14ac:dyDescent="0.25">
      <c r="A108">
        <v>10.7</v>
      </c>
      <c r="B108" s="2">
        <v>4.6566128731816504E-10</v>
      </c>
      <c r="C108" s="2">
        <v>4.6566174975482601E-10</v>
      </c>
      <c r="D108" s="2">
        <v>4.8617352327052196E-10</v>
      </c>
      <c r="E108" s="2">
        <v>1.0751245529859901E-7</v>
      </c>
      <c r="F108" s="2">
        <v>6.5723207002595696E-5</v>
      </c>
      <c r="G108" s="2">
        <v>3.8791137257938098E-2</v>
      </c>
      <c r="H108" s="15">
        <f t="shared" si="2"/>
        <v>3.8791135511238028E-2</v>
      </c>
      <c r="I108" s="2">
        <v>0.96120886448876197</v>
      </c>
      <c r="J108" s="2"/>
      <c r="K108" s="2">
        <v>0.99993427679865199</v>
      </c>
      <c r="L108" s="2">
        <v>0.99999989248756405</v>
      </c>
      <c r="M108" s="2">
        <v>0.99999999935999595</v>
      </c>
    </row>
    <row r="109" spans="1:13" x14ac:dyDescent="0.25">
      <c r="A109">
        <v>10.8</v>
      </c>
      <c r="B109" s="2">
        <v>4.65661287314521E-10</v>
      </c>
      <c r="C109" s="2">
        <v>4.6566161977192904E-10</v>
      </c>
      <c r="D109" s="2">
        <v>4.8195894825604398E-10</v>
      </c>
      <c r="E109" s="2">
        <v>9.2601692816464804E-8</v>
      </c>
      <c r="F109" s="2">
        <v>6.0066868494801897E-5</v>
      </c>
      <c r="G109" s="2">
        <v>3.7687893275560401E-2</v>
      </c>
      <c r="H109" s="15">
        <f t="shared" si="2"/>
        <v>3.7687891537505958E-2</v>
      </c>
      <c r="I109" s="2">
        <v>0.96231210846249404</v>
      </c>
      <c r="J109" s="2"/>
      <c r="K109" s="2">
        <v>0.99993993313682195</v>
      </c>
      <c r="L109" s="2">
        <v>0.99999990739832401</v>
      </c>
      <c r="M109" s="2">
        <v>0.99999999939301998</v>
      </c>
    </row>
    <row r="110" spans="1:13" x14ac:dyDescent="0.25">
      <c r="A110">
        <v>10.9</v>
      </c>
      <c r="B110" s="2">
        <v>4.6566128731215103E-10</v>
      </c>
      <c r="C110" s="2">
        <v>4.6566152632413903E-10</v>
      </c>
      <c r="D110" s="2">
        <v>4.7861032674971195E-10</v>
      </c>
      <c r="E110" s="2">
        <v>7.9767880179449004E-8</v>
      </c>
      <c r="F110" s="2">
        <v>5.4897308358551299E-5</v>
      </c>
      <c r="G110" s="2">
        <v>3.66148310110503E-2</v>
      </c>
      <c r="H110" s="15">
        <f t="shared" si="2"/>
        <v>3.6614829281277017E-2</v>
      </c>
      <c r="I110" s="2">
        <v>0.96338517071872298</v>
      </c>
      <c r="J110" s="2"/>
      <c r="K110" s="2">
        <v>0.99994510269664205</v>
      </c>
      <c r="L110" s="2">
        <v>0.99999992023213502</v>
      </c>
      <c r="M110" s="2">
        <v>0.99999999941978801</v>
      </c>
    </row>
    <row r="111" spans="1:13" x14ac:dyDescent="0.25">
      <c r="A111">
        <v>11</v>
      </c>
      <c r="B111" s="2">
        <v>4.6566128731060895E-10</v>
      </c>
      <c r="C111" s="2">
        <v>4.6566145914230502E-10</v>
      </c>
      <c r="D111" s="2">
        <v>4.7594973441032295E-10</v>
      </c>
      <c r="E111" s="2">
        <v>6.8721714942063698E-8</v>
      </c>
      <c r="F111" s="2">
        <v>5.0172639376103799E-5</v>
      </c>
      <c r="G111" s="2">
        <v>3.5571191979128197E-2</v>
      </c>
      <c r="H111" s="15">
        <f t="shared" si="2"/>
        <v>3.5571190257391971E-2</v>
      </c>
      <c r="I111" s="2">
        <v>0.96442880974260803</v>
      </c>
      <c r="J111" s="2"/>
      <c r="K111" s="2">
        <v>0.999949827365328</v>
      </c>
      <c r="L111" s="2">
        <v>0.999999931278299</v>
      </c>
      <c r="M111" s="2">
        <v>0.99999999944148499</v>
      </c>
    </row>
    <row r="112" spans="1:13" x14ac:dyDescent="0.25">
      <c r="A112">
        <v>11.1</v>
      </c>
      <c r="B112" s="2">
        <v>4.65661287309606E-10</v>
      </c>
      <c r="C112" s="2">
        <v>4.6566141084368803E-10</v>
      </c>
      <c r="D112" s="2">
        <v>4.7383580436892397E-10</v>
      </c>
      <c r="E112" s="2">
        <v>5.9214192156865901E-8</v>
      </c>
      <c r="F112" s="2">
        <v>4.5854577994384401E-5</v>
      </c>
      <c r="G112" s="2">
        <v>3.4556232963002601E-2</v>
      </c>
      <c r="H112" s="15">
        <f t="shared" si="2"/>
        <v>3.4556231249159963E-2</v>
      </c>
      <c r="I112" s="2">
        <v>0.96544376875084004</v>
      </c>
      <c r="J112" s="2"/>
      <c r="K112" s="2">
        <v>0.99995414542643002</v>
      </c>
      <c r="L112" s="2">
        <v>0.99999994078582</v>
      </c>
      <c r="M112" s="2">
        <v>0.99999999945907303</v>
      </c>
    </row>
    <row r="113" spans="1:13" x14ac:dyDescent="0.25">
      <c r="A113">
        <v>11.2</v>
      </c>
      <c r="B113" s="2">
        <v>9.3132257461669302E-10</v>
      </c>
      <c r="C113" s="2">
        <v>9.3132266342845096E-10</v>
      </c>
      <c r="D113" s="2">
        <v>9.3781750659161102E-10</v>
      </c>
      <c r="E113" s="2">
        <v>5.1496670836120299E-8</v>
      </c>
      <c r="F113" s="2">
        <v>4.19086074760686E-5</v>
      </c>
      <c r="G113" s="2">
        <v>3.3569228466924797E-2</v>
      </c>
      <c r="H113" s="15">
        <f t="shared" si="2"/>
        <v>3.3569225084084997E-2</v>
      </c>
      <c r="I113" s="2">
        <v>0.966430774915915</v>
      </c>
      <c r="J113" s="2"/>
      <c r="K113" s="2">
        <v>0.99995809140081104</v>
      </c>
      <c r="L113" s="2">
        <v>0.99999994850335105</v>
      </c>
      <c r="M113" s="2">
        <v>0.99999999900766801</v>
      </c>
    </row>
    <row r="114" spans="1:13" x14ac:dyDescent="0.25">
      <c r="A114">
        <v>11.3</v>
      </c>
      <c r="B114" s="2">
        <v>9.3132257461626909E-10</v>
      </c>
      <c r="C114" s="2">
        <v>9.3132263846523505E-10</v>
      </c>
      <c r="D114" s="2">
        <v>9.3648301648101306E-10</v>
      </c>
      <c r="E114" s="2">
        <v>4.4453322233306197E-8</v>
      </c>
      <c r="F114" s="2">
        <v>3.8301801837589298E-5</v>
      </c>
      <c r="G114" s="2">
        <v>3.2609460435862998E-2</v>
      </c>
      <c r="H114" s="15">
        <f t="shared" si="2"/>
        <v>3.2609457068326964E-2</v>
      </c>
      <c r="I114" s="2">
        <v>0.96739054293167304</v>
      </c>
      <c r="J114" s="2"/>
      <c r="K114" s="2">
        <v>0.99996169820595904</v>
      </c>
      <c r="L114" s="2">
        <v>0.99999995554669696</v>
      </c>
      <c r="M114" s="2">
        <v>0.99999999901922498</v>
      </c>
    </row>
    <row r="115" spans="1:13" x14ac:dyDescent="0.25">
      <c r="A115">
        <v>11.4</v>
      </c>
      <c r="B115" s="2">
        <v>9.3132257461599199E-10</v>
      </c>
      <c r="C115" s="2">
        <v>9.313226205185851E-10</v>
      </c>
      <c r="D115" s="2">
        <v>9.3542271921772907E-10</v>
      </c>
      <c r="E115" s="2">
        <v>3.83910557464687E-8</v>
      </c>
      <c r="F115" s="2">
        <v>3.5005406913656702E-5</v>
      </c>
      <c r="G115" s="2">
        <v>3.1676233452263003E-2</v>
      </c>
      <c r="H115" s="15">
        <f t="shared" si="2"/>
        <v>3.1676230100310954E-2</v>
      </c>
      <c r="I115" s="2">
        <v>0.96832376989968905</v>
      </c>
      <c r="J115" s="2"/>
      <c r="K115" s="2">
        <v>0.99996499460042099</v>
      </c>
      <c r="L115" s="2">
        <v>0.99999996160896198</v>
      </c>
      <c r="M115" s="2">
        <v>0.99999999902859205</v>
      </c>
    </row>
    <row r="116" spans="1:13" x14ac:dyDescent="0.25">
      <c r="A116">
        <v>11.5</v>
      </c>
      <c r="B116" s="2">
        <v>9.313225746158129E-10</v>
      </c>
      <c r="C116" s="2">
        <v>9.313226076163131E-10</v>
      </c>
      <c r="D116" s="2">
        <v>9.345802773900759E-10</v>
      </c>
      <c r="E116" s="2">
        <v>3.3173214492383697E-8</v>
      </c>
      <c r="F116" s="2">
        <v>3.1992709771556498E-5</v>
      </c>
      <c r="G116" s="2">
        <v>3.07688643749175E-2</v>
      </c>
      <c r="H116" s="15">
        <f t="shared" si="2"/>
        <v>3.0768861038868001E-2</v>
      </c>
      <c r="I116" s="2">
        <v>0.969231138961132</v>
      </c>
      <c r="J116" s="2"/>
      <c r="K116" s="2">
        <v>0.99996800729712898</v>
      </c>
      <c r="L116" s="2">
        <v>0.99999996682680103</v>
      </c>
      <c r="M116" s="2">
        <v>0.99999999903618497</v>
      </c>
    </row>
    <row r="117" spans="1:13" x14ac:dyDescent="0.25">
      <c r="A117">
        <v>11.6</v>
      </c>
      <c r="B117" s="2">
        <v>9.3132257461569606E-10</v>
      </c>
      <c r="C117" s="2">
        <v>9.31322598340562E-10</v>
      </c>
      <c r="D117" s="2">
        <v>9.3391092903054405E-10</v>
      </c>
      <c r="E117" s="2">
        <v>2.86821767952056E-8</v>
      </c>
      <c r="F117" s="2">
        <v>2.92392960115083E-5</v>
      </c>
      <c r="G117" s="2">
        <v>2.9886684766426998E-2</v>
      </c>
      <c r="H117" s="15">
        <f t="shared" si="2"/>
        <v>2.9886681446625984E-2</v>
      </c>
      <c r="I117" s="2">
        <v>0.97011331855337402</v>
      </c>
      <c r="J117" s="2"/>
      <c r="K117" s="2">
        <v>0.99997076071047997</v>
      </c>
      <c r="L117" s="2">
        <v>0.99999997131783702</v>
      </c>
      <c r="M117" s="2">
        <v>0.99999999904233905</v>
      </c>
    </row>
    <row r="118" spans="1:13" x14ac:dyDescent="0.25">
      <c r="A118">
        <v>11.7</v>
      </c>
      <c r="B118" s="2">
        <v>9.3132257461561996E-10</v>
      </c>
      <c r="C118" s="2">
        <v>9.3132259167200499E-10</v>
      </c>
      <c r="D118" s="2">
        <v>9.3337910925113302E-10</v>
      </c>
      <c r="E118" s="2">
        <v>2.4816704735425102E-8</v>
      </c>
      <c r="F118" s="2">
        <v>2.6722852036366099E-5</v>
      </c>
      <c r="G118" s="2">
        <v>2.9029040744614501E-2</v>
      </c>
      <c r="H118" s="15">
        <f t="shared" si="2"/>
        <v>2.9029037441432037E-2</v>
      </c>
      <c r="I118" s="2">
        <v>0.97097096255856796</v>
      </c>
      <c r="J118" s="2"/>
      <c r="K118" s="2">
        <v>0.99997327715407003</v>
      </c>
      <c r="L118" s="2">
        <v>0.99999997518330797</v>
      </c>
      <c r="M118" s="2">
        <v>0.99999999904732795</v>
      </c>
    </row>
    <row r="119" spans="1:13" x14ac:dyDescent="0.25">
      <c r="A119">
        <v>11.8</v>
      </c>
      <c r="B119" s="2">
        <v>9.3132257461556992E-10</v>
      </c>
      <c r="C119" s="2">
        <v>9.3132258687782002E-10</v>
      </c>
      <c r="D119" s="2">
        <v>9.3295656055267497E-10</v>
      </c>
      <c r="E119" s="2">
        <v>2.1489662024431898E-8</v>
      </c>
      <c r="F119" s="2">
        <v>2.4422984322981001E-5</v>
      </c>
      <c r="G119" s="2">
        <v>2.8195292824365802E-2</v>
      </c>
      <c r="H119" s="15">
        <f t="shared" si="2"/>
        <v>2.8195289538186952E-2</v>
      </c>
      <c r="I119" s="2">
        <v>0.97180471046181305</v>
      </c>
      <c r="J119" s="2"/>
      <c r="K119" s="2">
        <v>0.99997557702142104</v>
      </c>
      <c r="L119" s="2">
        <v>0.99999997851034905</v>
      </c>
      <c r="M119" s="2">
        <v>0.99999999905137205</v>
      </c>
    </row>
    <row r="120" spans="1:13" x14ac:dyDescent="0.25">
      <c r="A120">
        <v>11.9</v>
      </c>
      <c r="B120" s="2">
        <v>9.3132257461553807E-10</v>
      </c>
      <c r="C120" s="2">
        <v>9.3132258343116809E-10</v>
      </c>
      <c r="D120" s="2">
        <v>9.3262083140209203E-10</v>
      </c>
      <c r="E120" s="2">
        <v>1.8626049760672499E-8</v>
      </c>
      <c r="F120" s="2">
        <v>2.2321054234674801E-5</v>
      </c>
      <c r="G120" s="2">
        <v>2.7384815750770598E-2</v>
      </c>
      <c r="H120" s="15">
        <f t="shared" si="2"/>
        <v>2.7384812481990983E-2</v>
      </c>
      <c r="I120" s="2">
        <v>0.97261518751800902</v>
      </c>
      <c r="J120" s="2"/>
      <c r="K120" s="2">
        <v>0.99997767895116896</v>
      </c>
      <c r="L120" s="2">
        <v>0.99999998137395996</v>
      </c>
      <c r="M120" s="2">
        <v>0.99999999905464998</v>
      </c>
    </row>
    <row r="121" spans="1:13" x14ac:dyDescent="0.25">
      <c r="A121">
        <v>12</v>
      </c>
      <c r="B121" s="2">
        <v>9.3132257461551698E-10</v>
      </c>
      <c r="C121" s="2">
        <v>9.3132258095328591E-10</v>
      </c>
      <c r="D121" s="2">
        <v>9.3235408330152409E-10</v>
      </c>
      <c r="E121" s="2">
        <v>1.6161315789092899E-8</v>
      </c>
      <c r="F121" s="2">
        <v>2.04000270395115E-5</v>
      </c>
      <c r="G121" s="2">
        <v>2.65969983244101E-2</v>
      </c>
      <c r="H121" s="15">
        <f t="shared" si="2"/>
        <v>2.6596995073434049E-2</v>
      </c>
      <c r="I121" s="2">
        <v>0.97340300492656595</v>
      </c>
      <c r="J121" s="2"/>
      <c r="K121" s="2">
        <v>0.99997959997804298</v>
      </c>
      <c r="L121" s="2">
        <v>0.99999998383869304</v>
      </c>
      <c r="M121" s="2">
        <v>0.99999999905730697</v>
      </c>
    </row>
    <row r="122" spans="1:13" x14ac:dyDescent="0.25">
      <c r="A122">
        <v>12.1</v>
      </c>
      <c r="B122" s="2">
        <v>9.3132257461550395E-10</v>
      </c>
      <c r="C122" s="2">
        <v>9.3132257917188008E-10</v>
      </c>
      <c r="D122" s="2">
        <v>9.3214214296468404E-10</v>
      </c>
      <c r="E122" s="2">
        <v>1.40398995531738E-8</v>
      </c>
      <c r="F122" s="2">
        <v>1.8644333913634999E-5</v>
      </c>
      <c r="G122" s="2">
        <v>2.58312432195907E-2</v>
      </c>
      <c r="H122" s="15">
        <f t="shared" si="2"/>
        <v>2.5831239986827015E-2</v>
      </c>
      <c r="I122" s="2">
        <v>0.97416876001317299</v>
      </c>
      <c r="J122" s="2"/>
      <c r="K122" s="2">
        <v>0.99998135567086699</v>
      </c>
      <c r="L122" s="2">
        <v>0.99999998596010797</v>
      </c>
      <c r="M122" s="2">
        <v>0.99999999905946102</v>
      </c>
    </row>
    <row r="123" spans="1:13" x14ac:dyDescent="0.25">
      <c r="A123">
        <v>12.2</v>
      </c>
      <c r="B123" s="2">
        <v>9.3132257461549506E-10</v>
      </c>
      <c r="C123" s="2">
        <v>9.3132257789118405E-10</v>
      </c>
      <c r="D123" s="2">
        <v>9.3197374923908999E-10</v>
      </c>
      <c r="E123" s="2">
        <v>1.2213979637351199E-8</v>
      </c>
      <c r="F123" s="2">
        <v>1.7039745813653099E-5</v>
      </c>
      <c r="G123" s="2">
        <v>2.50869667962768E-2</v>
      </c>
      <c r="H123" s="15">
        <f t="shared" si="2"/>
        <v>2.5086963582136024E-2</v>
      </c>
      <c r="I123" s="2">
        <v>0.97491303641786398</v>
      </c>
      <c r="J123" s="2"/>
      <c r="K123" s="2">
        <v>0.99998296025868305</v>
      </c>
      <c r="L123" s="2">
        <v>0.99999998778602806</v>
      </c>
      <c r="M123" s="2">
        <v>0.99999999906120696</v>
      </c>
    </row>
    <row r="124" spans="1:13" x14ac:dyDescent="0.25">
      <c r="A124">
        <v>12.3</v>
      </c>
      <c r="B124" s="2">
        <v>9.3132257461548906E-10</v>
      </c>
      <c r="C124" s="2">
        <v>9.313225769704611E-10</v>
      </c>
      <c r="D124" s="2">
        <v>9.318399547604709E-10</v>
      </c>
      <c r="E124" s="2">
        <v>1.0642395766699301E-8</v>
      </c>
      <c r="F124" s="2">
        <v>1.55732581978677E-5</v>
      </c>
      <c r="G124" s="2">
        <v>2.4363598906439202E-2</v>
      </c>
      <c r="H124" s="15">
        <f t="shared" si="2"/>
        <v>2.4363595711331953E-2</v>
      </c>
      <c r="I124" s="2">
        <v>0.97563640428866805</v>
      </c>
      <c r="J124" s="2"/>
      <c r="K124" s="2">
        <v>0.99998442674603105</v>
      </c>
      <c r="L124" s="2">
        <v>0.99999998935761103</v>
      </c>
      <c r="M124" s="2">
        <v>0.99999999906262205</v>
      </c>
    </row>
    <row r="125" spans="1:13" x14ac:dyDescent="0.25">
      <c r="A125">
        <v>12.4</v>
      </c>
      <c r="B125" s="2">
        <v>9.3132257461548493E-10</v>
      </c>
      <c r="C125" s="2">
        <v>9.3132257630853091E-10</v>
      </c>
      <c r="D125" s="2">
        <v>9.3173365054707903E-10</v>
      </c>
      <c r="E125" s="2">
        <v>9.2897209633940496E-9</v>
      </c>
      <c r="F125" s="2">
        <v>1.42329856637215E-5</v>
      </c>
      <c r="G125" s="2">
        <v>2.3660582695485901E-2</v>
      </c>
      <c r="H125" s="15">
        <f t="shared" si="2"/>
        <v>2.3660579519819036E-2</v>
      </c>
      <c r="I125" s="2">
        <v>0.97633942048018096</v>
      </c>
      <c r="J125" s="2"/>
      <c r="K125" s="2">
        <v>0.99998576701831399</v>
      </c>
      <c r="L125" s="2">
        <v>0.999999990710285</v>
      </c>
      <c r="M125" s="2">
        <v>0.99999999906376902</v>
      </c>
    </row>
    <row r="126" spans="1:13" x14ac:dyDescent="0.25">
      <c r="A126">
        <v>12.5</v>
      </c>
      <c r="B126" s="2">
        <v>9.3132257461548307E-10</v>
      </c>
      <c r="C126" s="2">
        <v>9.3132257583265493E-10</v>
      </c>
      <c r="D126" s="2">
        <v>9.3164918827387992E-10</v>
      </c>
      <c r="E126" s="2">
        <v>8.1254629443277408E-9</v>
      </c>
      <c r="F126" s="2">
        <v>1.30080656489204E-5</v>
      </c>
      <c r="G126" s="2">
        <v>2.2977374399416699E-2</v>
      </c>
      <c r="H126" s="15">
        <f t="shared" si="2"/>
        <v>2.2977371243595002E-2</v>
      </c>
      <c r="I126" s="2">
        <v>0.977022628756405</v>
      </c>
      <c r="J126" s="2"/>
      <c r="K126" s="2">
        <v>0.99998699193809204</v>
      </c>
      <c r="L126" s="2">
        <v>0.99999999187454203</v>
      </c>
      <c r="M126" s="2">
        <v>0.99999999906469805</v>
      </c>
    </row>
    <row r="127" spans="1:13" x14ac:dyDescent="0.25">
      <c r="A127">
        <v>12.6</v>
      </c>
      <c r="B127" s="2">
        <v>9.31322574615481E-10</v>
      </c>
      <c r="C127" s="2">
        <v>9.313225754905351E-10</v>
      </c>
      <c r="D127" s="2">
        <v>9.3158208015671595E-10</v>
      </c>
      <c r="E127" s="2">
        <v>7.1233767576315903E-9</v>
      </c>
      <c r="F127" s="2">
        <v>1.1888570416919599E-5</v>
      </c>
      <c r="G127" s="2">
        <v>2.2313443138297601E-2</v>
      </c>
      <c r="H127" s="15">
        <f t="shared" si="2"/>
        <v>2.2313440002717955E-2</v>
      </c>
      <c r="I127" s="2">
        <v>0.97768655999728205</v>
      </c>
      <c r="J127" s="2"/>
      <c r="K127" s="2">
        <v>0.99998811143310096</v>
      </c>
      <c r="L127" s="2">
        <v>0.999999992876628</v>
      </c>
      <c r="M127" s="2">
        <v>0.99999999906545201</v>
      </c>
    </row>
    <row r="128" spans="1:13" x14ac:dyDescent="0.25">
      <c r="A128">
        <v>12.7</v>
      </c>
      <c r="B128" s="2">
        <v>9.3132257461547996E-10</v>
      </c>
      <c r="C128" s="2">
        <v>9.3132257524457708E-10</v>
      </c>
      <c r="D128" s="2">
        <v>9.3152876050016597E-10</v>
      </c>
      <c r="E128" s="2">
        <v>6.260873163416E-9</v>
      </c>
      <c r="F128" s="2">
        <v>1.08654266143951E-5</v>
      </c>
      <c r="G128" s="2">
        <v>2.1668270706611599E-2</v>
      </c>
      <c r="H128" s="15">
        <f t="shared" si="2"/>
        <v>2.1668267591667956E-2</v>
      </c>
      <c r="I128" s="2">
        <v>0.97833173240833204</v>
      </c>
      <c r="J128" s="2"/>
      <c r="K128" s="2">
        <v>0.99998913457669403</v>
      </c>
      <c r="L128" s="2">
        <v>0.99999999373913095</v>
      </c>
      <c r="M128" s="2">
        <v>0.99999999906606296</v>
      </c>
    </row>
    <row r="129" spans="1:13" x14ac:dyDescent="0.25">
      <c r="A129">
        <v>12.8</v>
      </c>
      <c r="B129" s="2">
        <v>9.3132257461547996E-10</v>
      </c>
      <c r="C129" s="2">
        <v>9.3132257506775296E-10</v>
      </c>
      <c r="D129" s="2">
        <v>9.3148639623932007E-10</v>
      </c>
      <c r="E129" s="2">
        <v>5.51850942233403E-9</v>
      </c>
      <c r="F129" s="2">
        <v>9.93034174954022E-6</v>
      </c>
      <c r="G129" s="2">
        <v>2.10413513610208E-2</v>
      </c>
      <c r="H129" s="15">
        <f t="shared" si="2"/>
        <v>2.1041348267097026E-2</v>
      </c>
      <c r="I129" s="2">
        <v>0.97895865173290297</v>
      </c>
      <c r="J129" s="2"/>
      <c r="K129" s="2">
        <v>0.99999006966136095</v>
      </c>
      <c r="L129" s="2">
        <v>0.99999999448149401</v>
      </c>
      <c r="M129" s="2">
        <v>0.99999999906655801</v>
      </c>
    </row>
    <row r="130" spans="1:13" x14ac:dyDescent="0.25">
      <c r="A130">
        <v>12.9</v>
      </c>
      <c r="B130" s="2">
        <v>9.3132257461547893E-10</v>
      </c>
      <c r="C130" s="2">
        <v>9.3132257494062895E-10</v>
      </c>
      <c r="D130" s="2">
        <v>9.3145273640883397E-10</v>
      </c>
      <c r="E130" s="2">
        <v>4.8795510132195899E-9</v>
      </c>
      <c r="F130" s="2">
        <v>9.0757369959744401E-6</v>
      </c>
      <c r="G130" s="2">
        <v>2.0432191606025E-2</v>
      </c>
      <c r="H130" s="15">
        <f t="shared" si="2"/>
        <v>2.0432188533497042E-2</v>
      </c>
      <c r="I130" s="2">
        <v>0.97956781146650296</v>
      </c>
      <c r="J130" s="2"/>
      <c r="K130" s="2">
        <v>0.99999092426592895</v>
      </c>
      <c r="L130" s="2">
        <v>0.99999999512045201</v>
      </c>
      <c r="M130" s="2">
        <v>0.99999999906696002</v>
      </c>
    </row>
    <row r="131" spans="1:13" x14ac:dyDescent="0.25">
      <c r="A131">
        <v>13</v>
      </c>
      <c r="B131" s="2">
        <v>9.3132257461547893E-10</v>
      </c>
      <c r="C131" s="2">
        <v>9.3132257484923707E-10</v>
      </c>
      <c r="D131" s="2">
        <v>9.3142599254104702E-10</v>
      </c>
      <c r="E131" s="2">
        <v>4.32959439994896E-9</v>
      </c>
      <c r="F131" s="2">
        <v>8.2946857782065797E-6</v>
      </c>
      <c r="G131" s="2">
        <v>1.98403099779908E-2</v>
      </c>
      <c r="H131" s="15">
        <f t="shared" ref="H131:H194" si="3">1-I131</f>
        <v>1.9840306927226048E-2</v>
      </c>
      <c r="I131" s="2">
        <v>0.98015969307277395</v>
      </c>
      <c r="J131" s="2"/>
      <c r="K131" s="2">
        <v>0.99999170531697201</v>
      </c>
      <c r="L131" s="2">
        <v>0.99999999567040898</v>
      </c>
      <c r="M131" s="2">
        <v>0.99999999906728498</v>
      </c>
    </row>
    <row r="132" spans="1:13" x14ac:dyDescent="0.25">
      <c r="A132">
        <v>13.1</v>
      </c>
      <c r="B132" s="2">
        <v>9.3132257461547893E-10</v>
      </c>
      <c r="C132" s="2">
        <v>9.3132257478353308E-10</v>
      </c>
      <c r="D132" s="2">
        <v>9.31404743638255E-10</v>
      </c>
      <c r="E132" s="2">
        <v>3.8562423438600296E-9</v>
      </c>
      <c r="F132" s="2">
        <v>7.5808576413605299E-6</v>
      </c>
      <c r="G132" s="2">
        <v>1.9265236827970302E-2</v>
      </c>
      <c r="H132" s="15">
        <f t="shared" si="3"/>
        <v>1.9265233799324988E-2</v>
      </c>
      <c r="I132" s="2">
        <v>0.98073476620067501</v>
      </c>
      <c r="J132" s="2"/>
      <c r="K132" s="2">
        <v>0.99999241914494497</v>
      </c>
      <c r="L132" s="2">
        <v>0.99999999614376001</v>
      </c>
      <c r="M132" s="2">
        <v>0.99999999906754899</v>
      </c>
    </row>
    <row r="133" spans="1:13" x14ac:dyDescent="0.25">
      <c r="A133">
        <v>13.2</v>
      </c>
      <c r="B133" s="2">
        <v>9.3132257461547893E-10</v>
      </c>
      <c r="C133" s="2">
        <v>9.3132257473629693E-10</v>
      </c>
      <c r="D133" s="2">
        <v>9.3138786066999604E-10</v>
      </c>
      <c r="E133" s="2">
        <v>3.4488244425533002E-9</v>
      </c>
      <c r="F133" s="2">
        <v>6.9284669506193103E-6</v>
      </c>
      <c r="G133" s="2">
        <v>1.8706514103724502E-2</v>
      </c>
      <c r="H133" s="15">
        <f t="shared" si="3"/>
        <v>1.8706511097544953E-2</v>
      </c>
      <c r="I133" s="2">
        <v>0.98129348890245505</v>
      </c>
      <c r="J133" s="2"/>
      <c r="K133" s="2">
        <v>0.999993071535481</v>
      </c>
      <c r="L133" s="2">
        <v>0.99999999655117799</v>
      </c>
      <c r="M133" s="2">
        <v>0.99999999906776205</v>
      </c>
    </row>
    <row r="134" spans="1:13" x14ac:dyDescent="0.25">
      <c r="A134">
        <v>13.3</v>
      </c>
      <c r="B134" s="2">
        <v>9.3132257461547893E-10</v>
      </c>
      <c r="C134" s="2">
        <v>9.3132257470233806E-10</v>
      </c>
      <c r="D134" s="2">
        <v>9.3137444658359294E-10</v>
      </c>
      <c r="E134" s="2">
        <v>3.09815659540324E-9</v>
      </c>
      <c r="F134" s="2">
        <v>6.3322260049200904E-6</v>
      </c>
      <c r="G134" s="2">
        <v>1.8163695131321499E-2</v>
      </c>
      <c r="H134" s="15">
        <f t="shared" si="3"/>
        <v>1.8163692147943E-2</v>
      </c>
      <c r="I134" s="2">
        <v>0.981836307852057</v>
      </c>
      <c r="J134" s="2"/>
      <c r="K134" s="2">
        <v>0.99999366777628096</v>
      </c>
      <c r="L134" s="2">
        <v>0.99999999690184604</v>
      </c>
      <c r="M134" s="2">
        <v>0.99999999906793602</v>
      </c>
    </row>
    <row r="135" spans="1:13" x14ac:dyDescent="0.25">
      <c r="A135">
        <v>13.4</v>
      </c>
      <c r="B135" s="2">
        <v>9.3132257461547893E-10</v>
      </c>
      <c r="C135" s="2">
        <v>9.31322574677923E-10</v>
      </c>
      <c r="D135" s="2">
        <v>9.3136378864052298E-10</v>
      </c>
      <c r="E135" s="2">
        <v>2.7963339735998099E-9</v>
      </c>
      <c r="F135" s="2">
        <v>5.7873021851578398E-6</v>
      </c>
      <c r="G135" s="2">
        <v>1.76363443966603E-2</v>
      </c>
      <c r="H135" s="15">
        <f t="shared" si="3"/>
        <v>1.7636341436406022E-2</v>
      </c>
      <c r="I135" s="2">
        <v>0.98236365856359398</v>
      </c>
      <c r="J135" s="2"/>
      <c r="K135" s="2">
        <v>0.99999421269996402</v>
      </c>
      <c r="L135" s="2">
        <v>0.99999999720366795</v>
      </c>
      <c r="M135" s="2">
        <v>0.99999999906807602</v>
      </c>
    </row>
    <row r="136" spans="1:13" x14ac:dyDescent="0.25">
      <c r="A136">
        <v>13.5</v>
      </c>
      <c r="B136" s="2">
        <v>9.3132257461547893E-10</v>
      </c>
      <c r="C136" s="2">
        <v>9.3132257466037209E-10</v>
      </c>
      <c r="D136" s="2">
        <v>9.3135532054605999E-10</v>
      </c>
      <c r="E136" s="2">
        <v>2.53655282780831E-9</v>
      </c>
      <c r="F136" s="2">
        <v>5.2892787898059802E-6</v>
      </c>
      <c r="G136" s="2">
        <v>1.71240373272449E-2</v>
      </c>
      <c r="H136" s="15">
        <f t="shared" si="3"/>
        <v>1.712403439042598E-2</v>
      </c>
      <c r="I136" s="2">
        <v>0.98287596560957402</v>
      </c>
      <c r="J136" s="2"/>
      <c r="K136" s="2">
        <v>0.99999471072323098</v>
      </c>
      <c r="L136" s="2">
        <v>0.99999999746344903</v>
      </c>
      <c r="M136" s="2">
        <v>0.99999999906819004</v>
      </c>
    </row>
    <row r="137" spans="1:13" x14ac:dyDescent="0.25">
      <c r="A137">
        <v>13.6</v>
      </c>
      <c r="B137" s="2">
        <v>9.3132257461547893E-10</v>
      </c>
      <c r="C137" s="2">
        <v>9.3132257464775304E-10</v>
      </c>
      <c r="D137" s="2">
        <v>9.3134859235999408E-10</v>
      </c>
      <c r="E137" s="2">
        <v>2.3129571165974999E-9</v>
      </c>
      <c r="F137" s="2">
        <v>4.8341192407120798E-6</v>
      </c>
      <c r="G137" s="2">
        <v>1.66263600745096E-2</v>
      </c>
      <c r="H137" s="15">
        <f t="shared" si="3"/>
        <v>1.6626357161424021E-2</v>
      </c>
      <c r="I137" s="2">
        <v>0.98337364283857598</v>
      </c>
      <c r="J137" s="2"/>
      <c r="K137" s="2">
        <v>0.99999516588265902</v>
      </c>
      <c r="L137" s="2">
        <v>0.99999999768704395</v>
      </c>
      <c r="M137" s="2">
        <v>0.99999999906828196</v>
      </c>
    </row>
    <row r="138" spans="1:13" x14ac:dyDescent="0.25">
      <c r="A138">
        <v>13.7</v>
      </c>
      <c r="B138" s="2">
        <v>9.3132257461547893E-10</v>
      </c>
      <c r="C138" s="2">
        <v>9.3132257463868197E-10</v>
      </c>
      <c r="D138" s="2">
        <v>9.3134324658969193E-10</v>
      </c>
      <c r="E138" s="2">
        <v>2.1205064983020698E-9</v>
      </c>
      <c r="F138" s="2">
        <v>4.4181343691113202E-6</v>
      </c>
      <c r="G138" s="2">
        <v>1.6142909296976201E-2</v>
      </c>
      <c r="H138" s="15">
        <f t="shared" si="3"/>
        <v>1.6142906407910051E-2</v>
      </c>
      <c r="I138" s="2">
        <v>0.98385709359208995</v>
      </c>
      <c r="J138" s="2"/>
      <c r="K138" s="2">
        <v>0.99999558186741699</v>
      </c>
      <c r="L138" s="2">
        <v>0.99999999787949501</v>
      </c>
      <c r="M138" s="2">
        <v>0.99999999906835702</v>
      </c>
    </row>
    <row r="139" spans="1:13" x14ac:dyDescent="0.25">
      <c r="A139">
        <v>13.8</v>
      </c>
      <c r="B139" s="2">
        <v>9.3132257461547893E-10</v>
      </c>
      <c r="C139" s="2">
        <v>9.3132257463216006E-10</v>
      </c>
      <c r="D139" s="2">
        <v>9.3133899919523092E-10</v>
      </c>
      <c r="E139" s="2">
        <v>1.9548627105633698E-9</v>
      </c>
      <c r="F139" s="2">
        <v>4.0379525168343099E-6</v>
      </c>
      <c r="G139" s="2">
        <v>1.5673291944494398E-2</v>
      </c>
      <c r="H139" s="15">
        <f t="shared" si="3"/>
        <v>1.5673289079718988E-2</v>
      </c>
      <c r="I139" s="2">
        <v>0.98432671092028101</v>
      </c>
      <c r="J139" s="2"/>
      <c r="K139" s="2">
        <v>0.99999596204916197</v>
      </c>
      <c r="L139" s="2">
        <v>0.99999999804513895</v>
      </c>
      <c r="M139" s="2">
        <v>0.99999999906841797</v>
      </c>
    </row>
    <row r="140" spans="1:13" x14ac:dyDescent="0.25">
      <c r="A140">
        <v>13.9</v>
      </c>
      <c r="B140" s="2">
        <v>9.3132257461547893E-10</v>
      </c>
      <c r="C140" s="2">
        <v>9.3132257462747098E-10</v>
      </c>
      <c r="D140" s="2">
        <v>9.3133562449734102E-10</v>
      </c>
      <c r="E140" s="2">
        <v>1.8122917762923201E-9</v>
      </c>
      <c r="F140" s="2">
        <v>3.6904922104875399E-6</v>
      </c>
      <c r="G140" s="2">
        <v>1.52171250438096E-2</v>
      </c>
      <c r="H140" s="15">
        <f t="shared" si="3"/>
        <v>1.5217122203583955E-2</v>
      </c>
      <c r="I140" s="2">
        <v>0.98478287779641605</v>
      </c>
      <c r="J140" s="2"/>
      <c r="K140" s="2">
        <v>0.99999630950936802</v>
      </c>
      <c r="L140" s="2">
        <v>0.99999999818770902</v>
      </c>
      <c r="M140" s="2">
        <v>0.99999999906846704</v>
      </c>
    </row>
    <row r="141" spans="1:13" x14ac:dyDescent="0.25">
      <c r="A141">
        <v>14</v>
      </c>
      <c r="B141" s="2">
        <v>9.3132257461547893E-10</v>
      </c>
      <c r="C141" s="2">
        <v>9.3132257462410001E-10</v>
      </c>
      <c r="D141" s="2">
        <v>9.3133294318624409E-10</v>
      </c>
      <c r="E141" s="2">
        <v>1.6895798315600901E-9</v>
      </c>
      <c r="F141" s="2">
        <v>3.3729371872137799E-6</v>
      </c>
      <c r="G141" s="2">
        <v>1.47740354856657E-2</v>
      </c>
      <c r="H141" s="15">
        <f t="shared" si="3"/>
        <v>1.4774032670235027E-2</v>
      </c>
      <c r="I141" s="2">
        <v>0.98522596732976497</v>
      </c>
      <c r="J141" s="2"/>
      <c r="K141" s="2">
        <v>0.99999662706429704</v>
      </c>
      <c r="L141" s="2">
        <v>0.99999999831042097</v>
      </c>
      <c r="M141" s="2">
        <v>0.99999999906850701</v>
      </c>
    </row>
    <row r="142" spans="1:13" x14ac:dyDescent="0.25">
      <c r="A142">
        <v>14.1</v>
      </c>
      <c r="B142" s="2">
        <v>9.3132257461547893E-10</v>
      </c>
      <c r="C142" s="2">
        <v>9.3132257462167699E-10</v>
      </c>
      <c r="D142" s="2">
        <v>9.3133081279429306E-10</v>
      </c>
      <c r="E142" s="2">
        <v>1.5839606779911101E-9</v>
      </c>
      <c r="F142" s="2">
        <v>3.0827135696900601E-6</v>
      </c>
      <c r="G142" s="2">
        <v>1.43436598136518E-2</v>
      </c>
      <c r="H142" s="15">
        <f t="shared" si="3"/>
        <v>1.4343657023246026E-2</v>
      </c>
      <c r="I142" s="2">
        <v>0.98565634297675397</v>
      </c>
      <c r="J142" s="2"/>
      <c r="K142" s="2">
        <v>0.99999691728782603</v>
      </c>
      <c r="L142" s="2">
        <v>0.99999999841604004</v>
      </c>
      <c r="M142" s="2">
        <v>0.99999999906853898</v>
      </c>
    </row>
    <row r="143" spans="1:13" x14ac:dyDescent="0.25">
      <c r="A143">
        <v>14.2</v>
      </c>
      <c r="B143" s="2">
        <v>9.3132257461547893E-10</v>
      </c>
      <c r="C143" s="2">
        <v>9.3132257461993495E-10</v>
      </c>
      <c r="D143" s="2">
        <v>9.3132912012614601E-10</v>
      </c>
      <c r="E143" s="2">
        <v>1.49305342652891E-9</v>
      </c>
      <c r="F143" s="2">
        <v>2.81746900542274E-6</v>
      </c>
      <c r="G143" s="2">
        <v>1.39256440149661E-2</v>
      </c>
      <c r="H143" s="15">
        <f t="shared" si="3"/>
        <v>1.3925641249802001E-2</v>
      </c>
      <c r="I143" s="2">
        <v>0.986074358750198</v>
      </c>
      <c r="J143" s="2"/>
      <c r="K143" s="2">
        <v>0.99999718253230596</v>
      </c>
      <c r="L143" s="2">
        <v>0.99999999850694699</v>
      </c>
      <c r="M143" s="2">
        <v>0.99999999906856496</v>
      </c>
    </row>
    <row r="144" spans="1:13" x14ac:dyDescent="0.25">
      <c r="A144">
        <v>14.3</v>
      </c>
      <c r="B144" s="2">
        <v>9.3132257461547893E-10</v>
      </c>
      <c r="C144" s="2">
        <v>9.3132257461868198E-10</v>
      </c>
      <c r="D144" s="2">
        <v>9.3132777524429605E-10</v>
      </c>
      <c r="E144" s="2">
        <v>1.41480882692705E-9</v>
      </c>
      <c r="F144" s="2">
        <v>2.5750536013125199E-6</v>
      </c>
      <c r="G144" s="2">
        <v>1.35196433132669E-2</v>
      </c>
      <c r="H144" s="15">
        <f t="shared" si="3"/>
        <v>1.3519640573546043E-2</v>
      </c>
      <c r="I144" s="2">
        <v>0.98648035942645396</v>
      </c>
      <c r="J144" s="2"/>
      <c r="K144" s="2">
        <v>0.999997424947632</v>
      </c>
      <c r="L144" s="2">
        <v>0.99999999858519195</v>
      </c>
      <c r="M144" s="2">
        <v>0.99999999906858705</v>
      </c>
    </row>
    <row r="145" spans="1:13" x14ac:dyDescent="0.25">
      <c r="A145">
        <v>14.4</v>
      </c>
      <c r="B145" s="2">
        <v>9.3132257461547893E-10</v>
      </c>
      <c r="C145" s="2">
        <v>9.3132257461778201E-10</v>
      </c>
      <c r="D145" s="2">
        <v>9.3132670669036698E-10</v>
      </c>
      <c r="E145" s="2">
        <v>1.3474630731131801E-9</v>
      </c>
      <c r="F145" s="2">
        <v>2.3535024990040499E-6</v>
      </c>
      <c r="G145" s="2">
        <v>1.31253219637606E-2</v>
      </c>
      <c r="H145" s="15">
        <f t="shared" si="3"/>
        <v>1.3125319249670975E-2</v>
      </c>
      <c r="I145" s="2">
        <v>0.98687468075032903</v>
      </c>
      <c r="J145" s="2"/>
      <c r="K145" s="2">
        <v>0.99999764649865996</v>
      </c>
      <c r="L145" s="2">
        <v>0.99999999865253797</v>
      </c>
      <c r="M145" s="2">
        <v>0.99999999906860404</v>
      </c>
    </row>
    <row r="146" spans="1:13" x14ac:dyDescent="0.25">
      <c r="A146">
        <v>14.5</v>
      </c>
      <c r="B146" s="2">
        <v>9.3132257461547893E-10</v>
      </c>
      <c r="C146" s="2">
        <v>9.3132257461713391E-10</v>
      </c>
      <c r="D146" s="2">
        <v>9.3132585768827409E-10</v>
      </c>
      <c r="E146" s="2">
        <v>1.28949804309693E-9</v>
      </c>
      <c r="F146" s="2">
        <v>2.1510199498235698E-6</v>
      </c>
      <c r="G146" s="2">
        <v>1.2742353050657001E-2</v>
      </c>
      <c r="H146" s="15">
        <f t="shared" si="3"/>
        <v>1.2742350362372035E-2</v>
      </c>
      <c r="I146" s="2">
        <v>0.98725764963762797</v>
      </c>
      <c r="J146" s="2"/>
      <c r="K146" s="2">
        <v>0.99999784898113997</v>
      </c>
      <c r="L146" s="2">
        <v>0.99999999871050305</v>
      </c>
      <c r="M146" s="2">
        <v>0.99999999906861803</v>
      </c>
    </row>
    <row r="147" spans="1:13" x14ac:dyDescent="0.25">
      <c r="A147">
        <v>14.6</v>
      </c>
      <c r="B147" s="2">
        <v>9.3132257461547893E-10</v>
      </c>
      <c r="C147" s="2">
        <v>9.3132257461666904E-10</v>
      </c>
      <c r="D147" s="2">
        <v>9.3132518312750803E-10</v>
      </c>
      <c r="E147" s="2">
        <v>1.23960707714071E-9</v>
      </c>
      <c r="F147" s="2">
        <v>1.96596476026007E-6</v>
      </c>
      <c r="G147" s="2">
        <v>1.2370418287121199E-2</v>
      </c>
      <c r="H147" s="15">
        <f t="shared" si="3"/>
        <v>1.2370415624800013E-2</v>
      </c>
      <c r="I147" s="2">
        <v>0.98762958437519999</v>
      </c>
      <c r="J147" s="2"/>
      <c r="K147" s="2">
        <v>0.99999803403626397</v>
      </c>
      <c r="L147" s="2">
        <v>0.99999999876039403</v>
      </c>
      <c r="M147" s="2">
        <v>0.99999999906862902</v>
      </c>
    </row>
    <row r="148" spans="1:13" x14ac:dyDescent="0.25">
      <c r="A148">
        <v>14.7</v>
      </c>
      <c r="B148" s="2">
        <v>9.3132257461547893E-10</v>
      </c>
      <c r="C148" s="2">
        <v>9.3132257461633403E-10</v>
      </c>
      <c r="D148" s="2">
        <v>9.3132464716625094E-10</v>
      </c>
      <c r="E148" s="2">
        <v>1.1966655227581699E-9</v>
      </c>
      <c r="F148" s="2">
        <v>1.7968369900455399E-6</v>
      </c>
      <c r="G148" s="2">
        <v>1.20092078178234E-2</v>
      </c>
      <c r="H148" s="15">
        <f t="shared" si="3"/>
        <v>1.2009205181608973E-2</v>
      </c>
      <c r="I148" s="2">
        <v>0.98799079481839103</v>
      </c>
      <c r="J148" s="2"/>
      <c r="K148" s="2">
        <v>0.99999820316397303</v>
      </c>
      <c r="L148" s="2">
        <v>0.99999999880333501</v>
      </c>
      <c r="M148" s="2">
        <v>0.99999999906863801</v>
      </c>
    </row>
    <row r="149" spans="1:13" x14ac:dyDescent="0.25">
      <c r="A149">
        <v>14.8</v>
      </c>
      <c r="B149" s="2">
        <v>9.3132257461547893E-10</v>
      </c>
      <c r="C149" s="2">
        <v>9.3132257461609394E-10</v>
      </c>
      <c r="D149" s="2">
        <v>9.3132422132696999E-10</v>
      </c>
      <c r="E149" s="2">
        <v>1.1597053825587999E-9</v>
      </c>
      <c r="F149" s="2">
        <v>1.64226579504002E-6</v>
      </c>
      <c r="G149" s="2">
        <v>1.1658420024188499E-2</v>
      </c>
      <c r="H149" s="15">
        <f t="shared" si="3"/>
        <v>1.1658417414211031E-2</v>
      </c>
      <c r="I149" s="2">
        <v>0.98834158258578897</v>
      </c>
      <c r="J149" s="2"/>
      <c r="K149" s="2">
        <v>0.99999835773511003</v>
      </c>
      <c r="L149" s="2">
        <v>0.999999998840295</v>
      </c>
      <c r="M149" s="2">
        <v>0.99999999906864601</v>
      </c>
    </row>
    <row r="150" spans="1:13" x14ac:dyDescent="0.25">
      <c r="A150">
        <v>14.9</v>
      </c>
      <c r="B150" s="2">
        <v>9.3132257461547893E-10</v>
      </c>
      <c r="C150" s="2">
        <v>9.3132257461592106E-10</v>
      </c>
      <c r="D150" s="2">
        <v>9.3132388298330894E-10</v>
      </c>
      <c r="E150" s="2">
        <v>1.12789349344536E-9</v>
      </c>
      <c r="F150" s="2">
        <v>1.5009983164021E-6</v>
      </c>
      <c r="G150" s="2">
        <v>1.13177613324268E-2</v>
      </c>
      <c r="H150" s="15">
        <f t="shared" si="3"/>
        <v>1.1317758748802031E-2</v>
      </c>
      <c r="I150" s="2">
        <v>0.98868224125119797</v>
      </c>
      <c r="J150" s="2"/>
      <c r="K150" s="2">
        <v>0.99999849900253501</v>
      </c>
      <c r="L150" s="2">
        <v>0.999999998872107</v>
      </c>
      <c r="M150" s="2">
        <v>0.999999999068651</v>
      </c>
    </row>
    <row r="151" spans="1:13" x14ac:dyDescent="0.25">
      <c r="A151">
        <v>15</v>
      </c>
      <c r="B151" s="2">
        <v>9.3132257461547893E-10</v>
      </c>
      <c r="C151" s="2">
        <v>9.3132257461579595E-10</v>
      </c>
      <c r="D151" s="2">
        <v>9.3132361415786491E-10</v>
      </c>
      <c r="E151" s="2">
        <v>1.10051274527469E-9</v>
      </c>
      <c r="F151" s="2">
        <v>1.37188952600216E-6</v>
      </c>
      <c r="G151" s="2">
        <v>1.09869460244243E-2</v>
      </c>
      <c r="H151" s="15">
        <f t="shared" si="3"/>
        <v>1.0986943467252042E-2</v>
      </c>
      <c r="I151" s="2">
        <v>0.98901305653274796</v>
      </c>
      <c r="J151" s="2"/>
      <c r="K151" s="2">
        <v>0.99999862811127405</v>
      </c>
      <c r="L151" s="2">
        <v>0.99999999889948799</v>
      </c>
      <c r="M151" s="2">
        <v>0.999999999068657</v>
      </c>
    </row>
    <row r="152" spans="1:13" x14ac:dyDescent="0.25">
      <c r="A152">
        <v>15.1</v>
      </c>
      <c r="B152" s="2">
        <v>9.3132257461547893E-10</v>
      </c>
      <c r="C152" s="2">
        <v>9.3132257461570702E-10</v>
      </c>
      <c r="D152" s="2">
        <v>9.3132340056698691E-10</v>
      </c>
      <c r="E152" s="2">
        <v>1.0769459156089999E-9</v>
      </c>
      <c r="F152" s="2">
        <v>1.2538929457849599E-6</v>
      </c>
      <c r="G152" s="2">
        <v>1.06656960515529E-2</v>
      </c>
      <c r="H152" s="15">
        <f t="shared" si="3"/>
        <v>1.066569352091995E-2</v>
      </c>
      <c r="I152" s="2">
        <v>0.98933430647908005</v>
      </c>
      <c r="J152" s="2"/>
      <c r="K152" s="2">
        <v>0.99999874610780604</v>
      </c>
      <c r="L152" s="2">
        <v>0.99999999892305402</v>
      </c>
      <c r="M152" s="2">
        <v>0.99999999906866099</v>
      </c>
    </row>
    <row r="153" spans="1:13" x14ac:dyDescent="0.25">
      <c r="A153">
        <v>15.2</v>
      </c>
      <c r="B153" s="2">
        <v>9.3132257461547893E-10</v>
      </c>
      <c r="C153" s="2">
        <v>9.3132257461564292E-10</v>
      </c>
      <c r="D153" s="2">
        <v>9.3132323086183096E-10</v>
      </c>
      <c r="E153" s="2">
        <v>1.05666175615712E-9</v>
      </c>
      <c r="F153" s="2">
        <v>1.1460521658687E-6</v>
      </c>
      <c r="G153" s="2">
        <v>1.0353740851459001E-2</v>
      </c>
      <c r="H153" s="15">
        <f t="shared" si="3"/>
        <v>1.0353738347437025E-2</v>
      </c>
      <c r="I153" s="2">
        <v>0.98964626165256298</v>
      </c>
      <c r="J153" s="2"/>
      <c r="K153" s="2">
        <v>0.99999885394854104</v>
      </c>
      <c r="L153" s="2">
        <v>0.99999999894333902</v>
      </c>
      <c r="M153" s="2">
        <v>0.99999999906866399</v>
      </c>
    </row>
    <row r="154" spans="1:13" x14ac:dyDescent="0.25">
      <c r="A154">
        <v>15.3</v>
      </c>
      <c r="B154" s="2">
        <v>9.3132257461547893E-10</v>
      </c>
      <c r="C154" s="2">
        <v>9.3132257461559701E-10</v>
      </c>
      <c r="D154" s="2">
        <v>9.31323096025362E-10</v>
      </c>
      <c r="E154" s="2">
        <v>1.03920301726335E-9</v>
      </c>
      <c r="F154" s="2">
        <v>1.0474930926405501E-6</v>
      </c>
      <c r="G154" s="2">
        <v>1.0050817167875301E-2</v>
      </c>
      <c r="H154" s="15">
        <f t="shared" si="3"/>
        <v>1.0050814690523047E-2</v>
      </c>
      <c r="I154" s="2">
        <v>0.98994918530947695</v>
      </c>
      <c r="J154" s="2"/>
      <c r="K154" s="2">
        <v>0.99999895250757198</v>
      </c>
      <c r="L154" s="2">
        <v>0.99999999896079705</v>
      </c>
      <c r="M154" s="2">
        <v>0.99999999906866599</v>
      </c>
    </row>
    <row r="155" spans="1:13" x14ac:dyDescent="0.25">
      <c r="A155">
        <v>15.4</v>
      </c>
      <c r="B155" s="2">
        <v>9.3132257461547893E-10</v>
      </c>
      <c r="C155" s="2">
        <v>9.3132257461556309E-10</v>
      </c>
      <c r="D155" s="2">
        <v>9.3132298889323909E-10</v>
      </c>
      <c r="E155" s="2">
        <v>1.0241761404892201E-9</v>
      </c>
      <c r="F155" s="2">
        <v>9.5741686402351502E-7</v>
      </c>
      <c r="G155" s="2">
        <v>9.7566688734939504E-3</v>
      </c>
      <c r="H155" s="15">
        <f t="shared" si="3"/>
        <v>9.7566664228549982E-3</v>
      </c>
      <c r="I155" s="2">
        <v>0.990243333577145</v>
      </c>
      <c r="J155" s="2"/>
      <c r="K155" s="2">
        <v>0.99999904258376104</v>
      </c>
      <c r="L155" s="2">
        <v>0.99999999897582403</v>
      </c>
      <c r="M155" s="2">
        <v>0.99999999906866799</v>
      </c>
    </row>
    <row r="156" spans="1:13" x14ac:dyDescent="0.25">
      <c r="A156">
        <v>15.5</v>
      </c>
      <c r="B156" s="2">
        <v>9.3132257461547893E-10</v>
      </c>
      <c r="C156" s="2">
        <v>9.3132257461553993E-10</v>
      </c>
      <c r="D156" s="2">
        <v>9.3132290377315308E-10</v>
      </c>
      <c r="E156" s="2">
        <v>1.01124238693634E-9</v>
      </c>
      <c r="F156" s="2">
        <v>8.7509337449653801E-7</v>
      </c>
      <c r="G156" s="2">
        <v>9.4710467959337307E-3</v>
      </c>
      <c r="H156" s="15">
        <f t="shared" si="3"/>
        <v>9.4710443720400495E-3</v>
      </c>
      <c r="I156" s="2">
        <v>0.99052895562795995</v>
      </c>
      <c r="J156" s="2"/>
      <c r="K156" s="2">
        <v>0.99999912490721299</v>
      </c>
      <c r="L156" s="2">
        <v>0.99999999898875802</v>
      </c>
      <c r="M156" s="2">
        <v>0.99999999906866999</v>
      </c>
    </row>
    <row r="157" spans="1:13" x14ac:dyDescent="0.25">
      <c r="A157">
        <v>15.6</v>
      </c>
      <c r="B157" s="2">
        <v>9.3132257461547893E-10</v>
      </c>
      <c r="C157" s="2">
        <v>9.3132257461552194E-10</v>
      </c>
      <c r="D157" s="2">
        <v>9.3132283614237195E-10</v>
      </c>
      <c r="E157" s="2">
        <v>1.00011020132285E-9</v>
      </c>
      <c r="F157" s="2">
        <v>7.9985535739042703E-7</v>
      </c>
      <c r="G157" s="2">
        <v>9.19370854682168E-3</v>
      </c>
      <c r="H157" s="15">
        <f t="shared" si="3"/>
        <v>9.1937061496899508E-3</v>
      </c>
      <c r="I157" s="2">
        <v>0.99080629385031005</v>
      </c>
      <c r="J157" s="2"/>
      <c r="K157" s="2">
        <v>0.99999920014519506</v>
      </c>
      <c r="L157" s="2">
        <v>0.99999999899989001</v>
      </c>
      <c r="M157" s="2">
        <v>0.99999999906867099</v>
      </c>
    </row>
    <row r="158" spans="1:13" x14ac:dyDescent="0.25">
      <c r="A158">
        <v>15.7</v>
      </c>
      <c r="B158" s="2">
        <v>9.3132257461547893E-10</v>
      </c>
      <c r="C158" s="2">
        <v>9.3132257461550995E-10</v>
      </c>
      <c r="D158" s="2">
        <v>9.3132278240743392E-10</v>
      </c>
      <c r="E158" s="2">
        <v>9.9052863968309391E-10</v>
      </c>
      <c r="F158" s="2">
        <v>7.31092976498623E-7</v>
      </c>
      <c r="G158" s="2">
        <v>8.9244183540081699E-3</v>
      </c>
      <c r="H158" s="15">
        <f t="shared" si="3"/>
        <v>8.92441598364202E-3</v>
      </c>
      <c r="I158" s="2">
        <v>0.99107558401635798</v>
      </c>
      <c r="J158" s="2"/>
      <c r="K158" s="2">
        <v>0.99999926890754298</v>
      </c>
      <c r="L158" s="2">
        <v>0.99999999900947201</v>
      </c>
      <c r="M158" s="2">
        <v>0.99999999906867298</v>
      </c>
    </row>
    <row r="159" spans="1:13" x14ac:dyDescent="0.25">
      <c r="A159">
        <v>15.8</v>
      </c>
      <c r="B159" s="2">
        <v>9.3132257461547893E-10</v>
      </c>
      <c r="C159" s="2">
        <v>9.3132257461550106E-10</v>
      </c>
      <c r="D159" s="2">
        <v>9.3132273971321198E-10</v>
      </c>
      <c r="E159" s="2">
        <v>9.8228171253613701E-10</v>
      </c>
      <c r="F159" s="2">
        <v>6.6824888316888597E-7</v>
      </c>
      <c r="G159" s="2">
        <v>8.6629468969276306E-3</v>
      </c>
      <c r="H159" s="15">
        <f t="shared" si="3"/>
        <v>8.6629445533179528E-3</v>
      </c>
      <c r="I159" s="2">
        <v>0.99133705544668205</v>
      </c>
      <c r="J159" s="2"/>
      <c r="K159" s="2">
        <v>0.99999933175160505</v>
      </c>
      <c r="L159" s="2">
        <v>0.99999999901771797</v>
      </c>
      <c r="M159" s="2">
        <v>0.99999999906867298</v>
      </c>
    </row>
    <row r="160" spans="1:13" x14ac:dyDescent="0.25">
      <c r="A160">
        <v>15.9</v>
      </c>
      <c r="B160" s="2">
        <v>9.3132257461547893E-10</v>
      </c>
      <c r="C160" s="2">
        <v>9.3132257461549506E-10</v>
      </c>
      <c r="D160" s="2">
        <v>9.3132270579121108E-10</v>
      </c>
      <c r="E160" s="2">
        <v>9.7518351600569093E-10</v>
      </c>
      <c r="F160" s="2">
        <v>6.1081369881511904E-7</v>
      </c>
      <c r="G160" s="2">
        <v>8.4090711451058203E-3</v>
      </c>
      <c r="H160" s="15">
        <f t="shared" si="3"/>
        <v>8.4090688282320025E-3</v>
      </c>
      <c r="I160" s="2">
        <v>0.991590931171768</v>
      </c>
      <c r="J160" s="2"/>
      <c r="K160" s="2">
        <v>0.99999938918676001</v>
      </c>
      <c r="L160" s="2">
        <v>0.99999999902481695</v>
      </c>
      <c r="M160" s="2">
        <v>0.99999999906867398</v>
      </c>
    </row>
    <row r="161" spans="1:13" x14ac:dyDescent="0.25">
      <c r="A161">
        <v>16</v>
      </c>
      <c r="B161" s="2">
        <v>9.3132257461547893E-10</v>
      </c>
      <c r="C161" s="2">
        <v>9.313225746154901E-10</v>
      </c>
      <c r="D161" s="2">
        <v>9.3132267883903504E-10</v>
      </c>
      <c r="E161" s="2">
        <v>9.6907404113611008E-10</v>
      </c>
      <c r="F161" s="2">
        <v>5.5832188623493602E-7</v>
      </c>
      <c r="G161" s="2">
        <v>8.16257419981814E-3</v>
      </c>
      <c r="H161" s="15">
        <f t="shared" si="3"/>
        <v>8.1625719096449778E-3</v>
      </c>
      <c r="I161" s="2">
        <v>0.99183742809035502</v>
      </c>
      <c r="J161" s="2"/>
      <c r="K161" s="2">
        <v>0.99999944167854504</v>
      </c>
      <c r="L161" s="2">
        <v>0.99999999903092596</v>
      </c>
      <c r="M161" s="2">
        <v>0.99999999906867498</v>
      </c>
    </row>
    <row r="162" spans="1:13" x14ac:dyDescent="0.25">
      <c r="A162">
        <v>16.100000000000001</v>
      </c>
      <c r="B162" s="2">
        <v>9.3132257461547893E-10</v>
      </c>
      <c r="C162" s="2">
        <v>9.3132257461548699E-10</v>
      </c>
      <c r="D162" s="2">
        <v>9.3132265742462104E-10</v>
      </c>
      <c r="E162" s="2">
        <v>9.6381556693717808E-10</v>
      </c>
      <c r="F162" s="2">
        <v>5.1034797627098498E-7</v>
      </c>
      <c r="G162" s="2">
        <v>7.9232451388921397E-3</v>
      </c>
      <c r="H162" s="15">
        <f t="shared" si="3"/>
        <v>7.923242875374048E-3</v>
      </c>
      <c r="I162" s="2">
        <v>0.99207675712462595</v>
      </c>
      <c r="J162" s="2"/>
      <c r="K162" s="2">
        <v>0.99999948965243002</v>
      </c>
      <c r="L162" s="2">
        <v>0.99999999903618497</v>
      </c>
      <c r="M162" s="2">
        <v>0.99999999906867498</v>
      </c>
    </row>
    <row r="163" spans="1:13" x14ac:dyDescent="0.25">
      <c r="A163">
        <v>16.2</v>
      </c>
      <c r="B163" s="2">
        <v>9.3132257461547893E-10</v>
      </c>
      <c r="C163" s="2">
        <v>9.3132257461548493E-10</v>
      </c>
      <c r="D163" s="2">
        <v>9.3132264041014491E-10</v>
      </c>
      <c r="E163" s="2">
        <v>9.5928955584889709E-10</v>
      </c>
      <c r="F163" s="2">
        <v>4.66503119232845E-7</v>
      </c>
      <c r="G163" s="2">
        <v>7.69087886464418E-3</v>
      </c>
      <c r="H163" s="15">
        <f t="shared" si="3"/>
        <v>7.6908766277230534E-3</v>
      </c>
      <c r="I163" s="2">
        <v>0.99230912337227695</v>
      </c>
      <c r="J163" s="2"/>
      <c r="K163" s="2">
        <v>0.99999953349726201</v>
      </c>
      <c r="L163" s="2">
        <v>0.99999999904071102</v>
      </c>
      <c r="M163" s="2">
        <v>0.99999999906867598</v>
      </c>
    </row>
    <row r="164" spans="1:13" x14ac:dyDescent="0.25">
      <c r="A164">
        <v>16.3</v>
      </c>
      <c r="B164" s="2">
        <v>9.3132257461547893E-10</v>
      </c>
      <c r="C164" s="2">
        <v>9.3132257461548307E-10</v>
      </c>
      <c r="D164" s="2">
        <v>9.3132262689156897E-10</v>
      </c>
      <c r="E164" s="2">
        <v>9.5539398164321196E-10</v>
      </c>
      <c r="F164" s="2">
        <v>4.2643193312888597E-7</v>
      </c>
      <c r="G164" s="2">
        <v>7.4652759549381099E-3</v>
      </c>
      <c r="H164" s="15">
        <f t="shared" si="3"/>
        <v>7.4652737445439765E-3</v>
      </c>
      <c r="I164" s="2">
        <v>0.99253472625545602</v>
      </c>
      <c r="J164" s="2"/>
      <c r="K164" s="2">
        <v>0.99999957356842595</v>
      </c>
      <c r="L164" s="2">
        <v>0.99999999904460601</v>
      </c>
      <c r="M164" s="2">
        <v>0.99999999906867598</v>
      </c>
    </row>
    <row r="165" spans="1:13" x14ac:dyDescent="0.25">
      <c r="A165">
        <v>16.399999999999999</v>
      </c>
      <c r="B165" s="2">
        <v>9.3132257461547893E-10</v>
      </c>
      <c r="C165" s="2">
        <v>9.3132257461548203E-10</v>
      </c>
      <c r="D165" s="2">
        <v>9.3132261615060307E-10</v>
      </c>
      <c r="E165" s="2">
        <v>9.5204102952765504E-10</v>
      </c>
      <c r="F165" s="2">
        <v>3.8980962316274402E-7</v>
      </c>
      <c r="G165" s="2">
        <v>7.2462425173481703E-3</v>
      </c>
      <c r="H165" s="15">
        <f t="shared" si="3"/>
        <v>7.2462403334010439E-3</v>
      </c>
      <c r="I165" s="2">
        <v>0.99275375966659896</v>
      </c>
      <c r="J165" s="2"/>
      <c r="K165" s="2">
        <v>0.99999961019071404</v>
      </c>
      <c r="L165" s="2">
        <v>0.999999999047959</v>
      </c>
      <c r="M165" s="2">
        <v>0.99999999906867598</v>
      </c>
    </row>
    <row r="166" spans="1:13" x14ac:dyDescent="0.25">
      <c r="A166">
        <v>16.5</v>
      </c>
      <c r="B166" s="2">
        <v>9.3132257461547893E-10</v>
      </c>
      <c r="C166" s="2">
        <v>9.31322574615481E-10</v>
      </c>
      <c r="D166" s="2">
        <v>9.3132260761654306E-10</v>
      </c>
      <c r="E166" s="2">
        <v>9.4915511660615408E-10</v>
      </c>
      <c r="F166" s="2">
        <v>3.5633934914789999E-7</v>
      </c>
      <c r="G166" s="2">
        <v>7.0335900464061803E-3</v>
      </c>
      <c r="H166" s="15">
        <f t="shared" si="3"/>
        <v>7.033587888813031E-3</v>
      </c>
      <c r="I166" s="2">
        <v>0.99296641211118697</v>
      </c>
      <c r="J166" s="2"/>
      <c r="K166" s="2">
        <v>0.99999964366096805</v>
      </c>
      <c r="L166" s="2">
        <v>0.99999999905084502</v>
      </c>
      <c r="M166" s="2">
        <v>0.99999999906867598</v>
      </c>
    </row>
    <row r="167" spans="1:13" x14ac:dyDescent="0.25">
      <c r="A167">
        <v>16.600000000000001</v>
      </c>
      <c r="B167" s="2">
        <v>9.3132257461547893E-10</v>
      </c>
      <c r="C167" s="2">
        <v>9.3132257461547996E-10</v>
      </c>
      <c r="D167" s="2">
        <v>9.3132260083594195E-10</v>
      </c>
      <c r="E167" s="2">
        <v>9.4667118807382095E-10</v>
      </c>
      <c r="F167" s="2">
        <v>3.2574981950266301E-7</v>
      </c>
      <c r="G167" s="2">
        <v>6.82713528390723E-3</v>
      </c>
      <c r="H167" s="15">
        <f t="shared" si="3"/>
        <v>6.8271331525660006E-3</v>
      </c>
      <c r="I167" s="2">
        <v>0.993172866847434</v>
      </c>
      <c r="J167" s="2"/>
      <c r="K167" s="2">
        <v>0.99999967425047898</v>
      </c>
      <c r="L167" s="2">
        <v>0.99999999905332904</v>
      </c>
      <c r="M167" s="2">
        <v>0.99999999906867698</v>
      </c>
    </row>
    <row r="168" spans="1:13" x14ac:dyDescent="0.25">
      <c r="A168">
        <v>16.7</v>
      </c>
      <c r="B168" s="2">
        <v>9.3132257461547893E-10</v>
      </c>
      <c r="C168" s="2">
        <v>9.3132257461547996E-10</v>
      </c>
      <c r="D168" s="2">
        <v>9.3132259544852703E-10</v>
      </c>
      <c r="E168" s="2">
        <v>9.445332507381661E-10</v>
      </c>
      <c r="F168" s="2">
        <v>2.9779309232471602E-7</v>
      </c>
      <c r="G168" s="2">
        <v>6.6267000822494999E-3</v>
      </c>
      <c r="H168" s="15">
        <f t="shared" si="3"/>
        <v>6.6266979770489565E-3</v>
      </c>
      <c r="I168" s="2">
        <v>0.99337330202295104</v>
      </c>
      <c r="J168" s="2"/>
      <c r="K168" s="2">
        <v>0.99999970220718903</v>
      </c>
      <c r="L168" s="2">
        <v>0.99999999905546699</v>
      </c>
      <c r="M168" s="2">
        <v>0.99999999906867698</v>
      </c>
    </row>
    <row r="169" spans="1:13" x14ac:dyDescent="0.25">
      <c r="A169">
        <v>16.8</v>
      </c>
      <c r="B169" s="2">
        <v>9.3132257461547893E-10</v>
      </c>
      <c r="C169" s="2">
        <v>9.3132257461547893E-10</v>
      </c>
      <c r="D169" s="2">
        <v>9.313225911680421E-10</v>
      </c>
      <c r="E169" s="2">
        <v>9.4269311080908601E-10</v>
      </c>
      <c r="F169" s="2">
        <v>2.7224256572250301E-7</v>
      </c>
      <c r="G169" s="2">
        <v>6.4321112707781299E-3</v>
      </c>
      <c r="H169" s="15">
        <f t="shared" si="3"/>
        <v>6.4321091915949813E-3</v>
      </c>
      <c r="I169" s="2">
        <v>0.99356789080840502</v>
      </c>
      <c r="J169" s="2"/>
      <c r="K169" s="2">
        <v>0.99999972775769796</v>
      </c>
      <c r="L169" s="2">
        <v>0.99999999905730697</v>
      </c>
      <c r="M169" s="2">
        <v>0.99999999906867698</v>
      </c>
    </row>
    <row r="170" spans="1:13" x14ac:dyDescent="0.25">
      <c r="A170">
        <v>16.899999999999999</v>
      </c>
      <c r="B170" s="2">
        <v>9.3132257461547893E-10</v>
      </c>
      <c r="C170" s="2">
        <v>9.3132257461547893E-10</v>
      </c>
      <c r="D170" s="2">
        <v>9.31322587767052E-10</v>
      </c>
      <c r="E170" s="2">
        <v>9.4110928750459897E-10</v>
      </c>
      <c r="F170" s="2">
        <v>2.4889114111468202E-7</v>
      </c>
      <c r="G170" s="2">
        <v>6.24320052509998E-3</v>
      </c>
      <c r="H170" s="15">
        <f t="shared" si="3"/>
        <v>6.2431984718019917E-3</v>
      </c>
      <c r="I170" s="2">
        <v>0.99375680152819801</v>
      </c>
      <c r="J170" s="2"/>
      <c r="K170" s="2">
        <v>0.99999975110910699</v>
      </c>
      <c r="L170" s="2">
        <v>0.99999999905889103</v>
      </c>
      <c r="M170" s="2">
        <v>0.99999999906867698</v>
      </c>
    </row>
    <row r="171" spans="1:13" x14ac:dyDescent="0.25">
      <c r="A171">
        <v>17</v>
      </c>
      <c r="B171" s="2">
        <v>9.3132257461547893E-10</v>
      </c>
      <c r="C171" s="2">
        <v>9.3132257461547893E-10</v>
      </c>
      <c r="D171" s="2">
        <v>9.3132258506485001E-10</v>
      </c>
      <c r="E171" s="2">
        <v>9.3974607798260502E-10</v>
      </c>
      <c r="F171" s="2">
        <v>2.27549544610715E-7</v>
      </c>
      <c r="G171" s="2">
        <v>6.0598042393381199E-3</v>
      </c>
      <c r="H171" s="15">
        <f t="shared" si="3"/>
        <v>6.059802211785037E-3</v>
      </c>
      <c r="I171" s="2">
        <v>0.99394019778821496</v>
      </c>
      <c r="J171" s="2"/>
      <c r="K171" s="2">
        <v>0.99999977245068905</v>
      </c>
      <c r="L171" s="2">
        <v>0.99999999906025405</v>
      </c>
      <c r="M171" s="2">
        <v>0.99999999906867698</v>
      </c>
    </row>
    <row r="172" spans="1:13" x14ac:dyDescent="0.25">
      <c r="A172">
        <v>17.100000000000001</v>
      </c>
      <c r="B172" s="2">
        <v>9.3132257461547893E-10</v>
      </c>
      <c r="C172" s="2">
        <v>9.3132257461547893E-10</v>
      </c>
      <c r="D172" s="2">
        <v>9.3132258291785992E-10</v>
      </c>
      <c r="E172" s="2">
        <v>9.3857275252017494E-10</v>
      </c>
      <c r="F172" s="2">
        <v>2.0804479286708801E-7</v>
      </c>
      <c r="G172" s="2">
        <v>5.8817634012881996E-3</v>
      </c>
      <c r="H172" s="15">
        <f t="shared" si="3"/>
        <v>5.8817613993310536E-3</v>
      </c>
      <c r="I172" s="2">
        <v>0.99411823860066895</v>
      </c>
      <c r="J172" s="2"/>
      <c r="K172" s="2">
        <v>0.99999979195542699</v>
      </c>
      <c r="L172" s="2">
        <v>0.999999999061427</v>
      </c>
      <c r="M172" s="2">
        <v>0.99999999906867698</v>
      </c>
    </row>
    <row r="173" spans="1:13" x14ac:dyDescent="0.25">
      <c r="A173">
        <v>17.2</v>
      </c>
      <c r="B173" s="2">
        <v>9.3132257461547893E-10</v>
      </c>
      <c r="C173" s="2">
        <v>9.3132257461547893E-10</v>
      </c>
      <c r="D173" s="2">
        <v>9.3132258121200298E-10</v>
      </c>
      <c r="E173" s="2">
        <v>9.3756286179791505E-10</v>
      </c>
      <c r="F173" s="2">
        <v>1.9021879098442701E-7</v>
      </c>
      <c r="G173" s="2">
        <v>5.7089234704405401E-3</v>
      </c>
      <c r="H173" s="15">
        <f t="shared" si="3"/>
        <v>5.7089214939199939E-3</v>
      </c>
      <c r="I173" s="2">
        <v>0.99429107850608001</v>
      </c>
      <c r="J173" s="2"/>
      <c r="K173" s="2">
        <v>0.999999809781416</v>
      </c>
      <c r="L173" s="2">
        <v>0.99999999906243697</v>
      </c>
      <c r="M173" s="2">
        <v>0.99999999906867698</v>
      </c>
    </row>
    <row r="174" spans="1:13" x14ac:dyDescent="0.25">
      <c r="A174">
        <v>17.3</v>
      </c>
      <c r="B174" s="2">
        <v>9.3132257461547893E-10</v>
      </c>
      <c r="C174" s="2">
        <v>9.3132257461547893E-10</v>
      </c>
      <c r="D174" s="2">
        <v>9.3132257985664108E-10</v>
      </c>
      <c r="E174" s="2">
        <v>9.3669364067407701E-10</v>
      </c>
      <c r="F174" s="2">
        <v>1.7392705108109199E-7</v>
      </c>
      <c r="G174" s="2">
        <v>5.5411342588281903E-3</v>
      </c>
      <c r="H174" s="15">
        <f t="shared" si="3"/>
        <v>5.5411323075780228E-3</v>
      </c>
      <c r="I174" s="2">
        <v>0.99445886769242198</v>
      </c>
      <c r="J174" s="2"/>
      <c r="K174" s="2">
        <v>0.99999982607314297</v>
      </c>
      <c r="L174" s="2">
        <v>0.99999999906330606</v>
      </c>
      <c r="M174" s="2">
        <v>0.99999999906867698</v>
      </c>
    </row>
    <row r="175" spans="1:13" x14ac:dyDescent="0.25">
      <c r="A175">
        <v>17.399999999999999</v>
      </c>
      <c r="B175" s="2">
        <v>9.3132257461547893E-10</v>
      </c>
      <c r="C175" s="2">
        <v>9.3132257461547893E-10</v>
      </c>
      <c r="D175" s="2">
        <v>9.313225787797609E-10</v>
      </c>
      <c r="E175" s="2">
        <v>9.3594549500815802E-10</v>
      </c>
      <c r="F175" s="2">
        <v>1.5903752115695701E-7</v>
      </c>
      <c r="G175" s="2">
        <v>5.3782498146615898E-3</v>
      </c>
      <c r="H175" s="15">
        <f t="shared" si="3"/>
        <v>5.3782478885090468E-3</v>
      </c>
      <c r="I175" s="2">
        <v>0.99462175211149095</v>
      </c>
      <c r="J175" s="2"/>
      <c r="K175" s="2">
        <v>0.99999984096266203</v>
      </c>
      <c r="L175" s="2">
        <v>0.99999999906405501</v>
      </c>
      <c r="M175" s="2">
        <v>0.99999999906867698</v>
      </c>
    </row>
    <row r="176" spans="1:13" x14ac:dyDescent="0.25">
      <c r="A176">
        <v>17.5</v>
      </c>
      <c r="B176" s="2">
        <v>9.3132257461547893E-10</v>
      </c>
      <c r="C176" s="2">
        <v>9.3132257461547893E-10</v>
      </c>
      <c r="D176" s="2">
        <v>9.3132257792414203E-10</v>
      </c>
      <c r="E176" s="2">
        <v>9.3530155996586907E-10</v>
      </c>
      <c r="F176" s="2">
        <v>1.4542951475483599E-7</v>
      </c>
      <c r="G176" s="2">
        <v>5.2201283087074703E-3</v>
      </c>
      <c r="H176" s="15">
        <f t="shared" si="3"/>
        <v>5.2201264074700493E-3</v>
      </c>
      <c r="I176" s="2">
        <v>0.99477987359252995</v>
      </c>
      <c r="J176" s="2"/>
      <c r="K176" s="2">
        <v>0.99999985457065699</v>
      </c>
      <c r="L176" s="2">
        <v>0.99999999906469805</v>
      </c>
      <c r="M176" s="2">
        <v>0.99999999906867698</v>
      </c>
    </row>
    <row r="177" spans="1:13" x14ac:dyDescent="0.25">
      <c r="A177">
        <v>17.600000000000001</v>
      </c>
      <c r="B177" s="2">
        <v>1.8626451492309599E-9</v>
      </c>
      <c r="C177" s="2">
        <v>1.8626451492309599E-9</v>
      </c>
      <c r="D177" s="2">
        <v>1.86264515185984E-9</v>
      </c>
      <c r="E177" s="2">
        <v>1.8660699147704901E-9</v>
      </c>
      <c r="F177" s="2">
        <v>1.3392422856771701E-7</v>
      </c>
      <c r="G177" s="2">
        <v>5.0666344470010902E-3</v>
      </c>
      <c r="H177" s="15">
        <f t="shared" si="3"/>
        <v>5.0666307607719618E-3</v>
      </c>
      <c r="I177" s="2">
        <v>0.99493336923922804</v>
      </c>
      <c r="J177" s="2"/>
      <c r="K177" s="2">
        <v>0.99999986607609403</v>
      </c>
      <c r="L177" s="2">
        <v>0.99999999813393003</v>
      </c>
      <c r="M177" s="2">
        <v>0.99999999813735496</v>
      </c>
    </row>
    <row r="178" spans="1:13" x14ac:dyDescent="0.25">
      <c r="A178">
        <v>17.7</v>
      </c>
      <c r="B178" s="2">
        <v>1.8626451492309599E-9</v>
      </c>
      <c r="C178" s="2">
        <v>1.8626451492309599E-9</v>
      </c>
      <c r="D178" s="2">
        <v>1.8626451513196898E-9</v>
      </c>
      <c r="E178" s="2">
        <v>1.8655928736941801E-9</v>
      </c>
      <c r="F178" s="2">
        <v>1.2255785442529001E-7</v>
      </c>
      <c r="G178" s="2">
        <v>4.9176292445995504E-3</v>
      </c>
      <c r="H178" s="15">
        <f t="shared" si="3"/>
        <v>4.9176256066869595E-3</v>
      </c>
      <c r="I178" s="2">
        <v>0.99508237439331304</v>
      </c>
      <c r="J178" s="2"/>
      <c r="K178" s="2">
        <v>0.999999877442449</v>
      </c>
      <c r="L178" s="2">
        <v>0.99999999813440699</v>
      </c>
      <c r="M178" s="2">
        <v>0.99999999813735496</v>
      </c>
    </row>
    <row r="179" spans="1:13" x14ac:dyDescent="0.25">
      <c r="A179">
        <v>17.8</v>
      </c>
      <c r="B179" s="2">
        <v>1.8626451492309599E-9</v>
      </c>
      <c r="C179" s="2">
        <v>1.8626451492309599E-9</v>
      </c>
      <c r="D179" s="2">
        <v>1.8626451508905299E-9</v>
      </c>
      <c r="E179" s="2">
        <v>1.8651822804892498E-9</v>
      </c>
      <c r="F179" s="2">
        <v>1.1216976993466301E-7</v>
      </c>
      <c r="G179" s="2">
        <v>4.7729851325033299E-3</v>
      </c>
      <c r="H179" s="15">
        <f t="shared" si="3"/>
        <v>4.7729815424939481E-3</v>
      </c>
      <c r="I179" s="2">
        <v>0.99522701845750605</v>
      </c>
      <c r="J179" s="2"/>
      <c r="K179" s="2">
        <v>0.99999988783051497</v>
      </c>
      <c r="L179" s="2">
        <v>0.99999999813481799</v>
      </c>
      <c r="M179" s="2">
        <v>0.99999999813735496</v>
      </c>
    </row>
    <row r="180" spans="1:13" x14ac:dyDescent="0.25">
      <c r="A180">
        <v>17.899999999999999</v>
      </c>
      <c r="B180" s="2">
        <v>1.8626451492309599E-9</v>
      </c>
      <c r="C180" s="2">
        <v>1.8626451492309599E-9</v>
      </c>
      <c r="D180" s="2">
        <v>1.8626451505495499E-9</v>
      </c>
      <c r="E180" s="2">
        <v>1.8648288795119101E-9</v>
      </c>
      <c r="F180" s="2">
        <v>1.02675774929225E-7</v>
      </c>
      <c r="G180" s="2">
        <v>4.6325756888866004E-3</v>
      </c>
      <c r="H180" s="15">
        <f t="shared" si="3"/>
        <v>4.6325721463560399E-3</v>
      </c>
      <c r="I180" s="2">
        <v>0.99536742785364396</v>
      </c>
      <c r="J180" s="2"/>
      <c r="K180" s="2">
        <v>0.99999989732449401</v>
      </c>
      <c r="L180" s="2">
        <v>0.99999999813517104</v>
      </c>
      <c r="M180" s="2">
        <v>0.99999999813735496</v>
      </c>
    </row>
    <row r="181" spans="1:13" x14ac:dyDescent="0.25">
      <c r="A181">
        <v>18</v>
      </c>
      <c r="B181" s="2">
        <v>1.8626451492309599E-9</v>
      </c>
      <c r="C181" s="2">
        <v>1.8626451492309599E-9</v>
      </c>
      <c r="D181" s="2">
        <v>1.8626451502786202E-9</v>
      </c>
      <c r="E181" s="2">
        <v>1.8645247043542299E-9</v>
      </c>
      <c r="F181" s="2">
        <v>9.3998916243181101E-8</v>
      </c>
      <c r="G181" s="2">
        <v>4.4962780860356103E-3</v>
      </c>
      <c r="H181" s="15">
        <f t="shared" si="3"/>
        <v>4.4962745905480217E-3</v>
      </c>
      <c r="I181" s="2">
        <v>0.99550372540945198</v>
      </c>
      <c r="J181" s="2"/>
      <c r="K181" s="2">
        <v>0.99999990600133704</v>
      </c>
      <c r="L181" s="2">
        <v>0.99999999813547502</v>
      </c>
      <c r="M181" s="2">
        <v>0.99999999813735496</v>
      </c>
    </row>
    <row r="182" spans="1:13" x14ac:dyDescent="0.25">
      <c r="A182">
        <v>18.100000000000001</v>
      </c>
      <c r="B182" s="2">
        <v>1.8626451492309599E-9</v>
      </c>
      <c r="C182" s="2">
        <v>1.8626451492309599E-9</v>
      </c>
      <c r="D182" s="2">
        <v>1.86264515006336E-9</v>
      </c>
      <c r="E182" s="2">
        <v>1.86426289826403E-9</v>
      </c>
      <c r="F182" s="2">
        <v>8.6068863971910506E-8</v>
      </c>
      <c r="G182" s="2">
        <v>4.36397299228142E-3</v>
      </c>
      <c r="H182" s="15">
        <f t="shared" si="3"/>
        <v>4.3639695433930203E-3</v>
      </c>
      <c r="I182" s="2">
        <v>0.99563603045660698</v>
      </c>
      <c r="J182" s="2"/>
      <c r="K182" s="2">
        <v>0.999999913931374</v>
      </c>
      <c r="L182" s="2">
        <v>0.99999999813573703</v>
      </c>
      <c r="M182" s="2">
        <v>0.99999999813735496</v>
      </c>
    </row>
    <row r="183" spans="1:13" x14ac:dyDescent="0.25">
      <c r="A183">
        <v>18.2</v>
      </c>
      <c r="B183" s="2">
        <v>1.8626451492309599E-9</v>
      </c>
      <c r="C183" s="2">
        <v>1.8626451492309599E-9</v>
      </c>
      <c r="D183" s="2">
        <v>1.8626451498923301E-9</v>
      </c>
      <c r="E183" s="2">
        <v>1.86403755957881E-9</v>
      </c>
      <c r="F183" s="2">
        <v>7.8821341416647401E-8</v>
      </c>
      <c r="G183" s="2">
        <v>4.2355444763660403E-3</v>
      </c>
      <c r="H183" s="15">
        <f t="shared" si="3"/>
        <v>4.2355410736240051E-3</v>
      </c>
      <c r="I183" s="2">
        <v>0.99576445892637599</v>
      </c>
      <c r="J183" s="2"/>
      <c r="K183" s="2">
        <v>0.99999992117888303</v>
      </c>
      <c r="L183" s="2">
        <v>0.99999999813596196</v>
      </c>
      <c r="M183" s="2">
        <v>0.99999999813735496</v>
      </c>
    </row>
    <row r="184" spans="1:13" x14ac:dyDescent="0.25">
      <c r="A184">
        <v>18.3</v>
      </c>
      <c r="B184" s="2">
        <v>1.8626451492309599E-9</v>
      </c>
      <c r="C184" s="2">
        <v>1.8626451492309599E-9</v>
      </c>
      <c r="D184" s="2">
        <v>1.8626451497564401E-9</v>
      </c>
      <c r="E184" s="2">
        <v>1.8638436086895199E-9</v>
      </c>
      <c r="F184" s="2">
        <v>7.2197604093019704E-8</v>
      </c>
      <c r="G184" s="2">
        <v>4.1108799141963796E-3</v>
      </c>
      <c r="H184" s="15">
        <f t="shared" si="3"/>
        <v>4.1108765571380435E-3</v>
      </c>
      <c r="I184" s="2">
        <v>0.99588912344286196</v>
      </c>
      <c r="J184" s="2"/>
      <c r="K184" s="2">
        <v>0.99999992780260705</v>
      </c>
      <c r="L184" s="2">
        <v>0.99999999813615703</v>
      </c>
      <c r="M184" s="2">
        <v>0.99999999813735496</v>
      </c>
    </row>
    <row r="185" spans="1:13" x14ac:dyDescent="0.25">
      <c r="A185">
        <v>18.399999999999999</v>
      </c>
      <c r="B185" s="2">
        <v>1.8626451492309599E-9</v>
      </c>
      <c r="C185" s="2">
        <v>1.8626451492309599E-9</v>
      </c>
      <c r="D185" s="2">
        <v>1.8626451496484698E-9</v>
      </c>
      <c r="E185" s="2">
        <v>1.8636766735351501E-9</v>
      </c>
      <c r="F185" s="2">
        <v>6.61439635805842E-8</v>
      </c>
      <c r="G185" s="2">
        <v>3.98986989794314E-3</v>
      </c>
      <c r="H185" s="15">
        <f t="shared" si="3"/>
        <v>3.9898665861010096E-3</v>
      </c>
      <c r="I185" s="2">
        <v>0.99601013341389899</v>
      </c>
      <c r="J185" s="2"/>
      <c r="K185" s="2">
        <v>0.99999993385623498</v>
      </c>
      <c r="L185" s="2">
        <v>0.99999999813632301</v>
      </c>
      <c r="M185" s="2">
        <v>0.99999999813735496</v>
      </c>
    </row>
    <row r="186" spans="1:13" x14ac:dyDescent="0.25">
      <c r="A186">
        <v>18.5</v>
      </c>
      <c r="B186" s="2">
        <v>1.8626451492309599E-9</v>
      </c>
      <c r="C186" s="2">
        <v>1.8626451492309599E-9</v>
      </c>
      <c r="D186" s="2">
        <v>1.86264514956269E-9</v>
      </c>
      <c r="E186" s="2">
        <v>1.8635329910470799E-9</v>
      </c>
      <c r="F186" s="2">
        <v>6.0611352353959801E-8</v>
      </c>
      <c r="G186" s="2">
        <v>3.8724081474338398E-3</v>
      </c>
      <c r="H186" s="15">
        <f t="shared" si="3"/>
        <v>3.8724048803310263E-3</v>
      </c>
      <c r="I186" s="2">
        <v>0.99612759511966897</v>
      </c>
      <c r="J186" s="2"/>
      <c r="K186" s="2">
        <v>0.99999993938883502</v>
      </c>
      <c r="L186" s="2">
        <v>0.99999999813646701</v>
      </c>
      <c r="M186" s="2">
        <v>0.99999999813735496</v>
      </c>
    </row>
    <row r="187" spans="1:13" x14ac:dyDescent="0.25">
      <c r="A187">
        <v>18.600000000000001</v>
      </c>
      <c r="B187" s="2">
        <v>1.8626451492309599E-9</v>
      </c>
      <c r="C187" s="2">
        <v>1.8626451492309599E-9</v>
      </c>
      <c r="D187" s="2">
        <v>1.8626451494945299E-9</v>
      </c>
      <c r="E187" s="2">
        <v>1.8634093223213002E-9</v>
      </c>
      <c r="F187" s="2">
        <v>5.5554926068347803E-8</v>
      </c>
      <c r="G187" s="2">
        <v>3.7583914237984701E-3</v>
      </c>
      <c r="H187" s="15">
        <f t="shared" si="3"/>
        <v>3.7583882009519787E-3</v>
      </c>
      <c r="I187" s="2">
        <v>0.99624161179904802</v>
      </c>
      <c r="J187" s="2"/>
      <c r="K187" s="2">
        <v>0.99999994444524998</v>
      </c>
      <c r="L187" s="2">
        <v>0.99999999813659102</v>
      </c>
      <c r="M187" s="2">
        <v>0.99999999813735496</v>
      </c>
    </row>
    <row r="188" spans="1:13" x14ac:dyDescent="0.25">
      <c r="A188">
        <v>18.7</v>
      </c>
      <c r="B188" s="2">
        <v>1.8626451492309599E-9</v>
      </c>
      <c r="C188" s="2">
        <v>1.8626451492309599E-9</v>
      </c>
      <c r="D188" s="2">
        <v>1.8626451494403801E-9</v>
      </c>
      <c r="E188" s="2">
        <v>1.8633028796066301E-9</v>
      </c>
      <c r="F188" s="2">
        <v>5.0933700075789903E-8</v>
      </c>
      <c r="G188" s="2">
        <v>3.6477194453189E-3</v>
      </c>
      <c r="H188" s="15">
        <f t="shared" si="3"/>
        <v>3.6477162662420515E-3</v>
      </c>
      <c r="I188" s="2">
        <v>0.99635228373375795</v>
      </c>
      <c r="J188" s="2"/>
      <c r="K188" s="2">
        <v>0.99999994906646605</v>
      </c>
      <c r="L188" s="2">
        <v>0.99999999813669704</v>
      </c>
      <c r="M188" s="2">
        <v>0.99999999813735496</v>
      </c>
    </row>
    <row r="189" spans="1:13" x14ac:dyDescent="0.25">
      <c r="A189">
        <v>18.8</v>
      </c>
      <c r="B189" s="2">
        <v>1.8626451492309599E-9</v>
      </c>
      <c r="C189" s="2">
        <v>1.8626451492309599E-9</v>
      </c>
      <c r="D189" s="2">
        <v>1.8626451493973502E-9</v>
      </c>
      <c r="E189" s="2">
        <v>1.8632112634627501E-9</v>
      </c>
      <c r="F189" s="2">
        <v>4.6710217225987298E-8</v>
      </c>
      <c r="G189" s="2">
        <v>3.5402948054386102E-3</v>
      </c>
      <c r="H189" s="15">
        <f t="shared" si="3"/>
        <v>3.5402916696369857E-3</v>
      </c>
      <c r="I189" s="2">
        <v>0.99645970833036301</v>
      </c>
      <c r="J189" s="2"/>
      <c r="K189" s="2">
        <v>0.99999995328993896</v>
      </c>
      <c r="L189" s="2">
        <v>0.99999999813678897</v>
      </c>
      <c r="M189" s="2">
        <v>0.99999999813735496</v>
      </c>
    </row>
    <row r="190" spans="1:13" x14ac:dyDescent="0.25">
      <c r="A190">
        <v>18.899999999999999</v>
      </c>
      <c r="B190" s="2">
        <v>1.8626451492309599E-9</v>
      </c>
      <c r="C190" s="2">
        <v>1.8626451492309599E-9</v>
      </c>
      <c r="D190" s="2">
        <v>1.8626451493631599E-9</v>
      </c>
      <c r="E190" s="2">
        <v>1.86313240867168E-9</v>
      </c>
      <c r="F190" s="2">
        <v>4.2850244259053097E-8</v>
      </c>
      <c r="G190" s="2">
        <v>3.4360228928865398E-3</v>
      </c>
      <c r="H190" s="15">
        <f t="shared" si="3"/>
        <v>3.4360197998619668E-3</v>
      </c>
      <c r="I190" s="2">
        <v>0.99656398020013803</v>
      </c>
      <c r="J190" s="2"/>
      <c r="K190" s="2">
        <v>0.99999995714990297</v>
      </c>
      <c r="L190" s="2">
        <v>0.99999999813686802</v>
      </c>
      <c r="M190" s="2">
        <v>0.99999999813735496</v>
      </c>
    </row>
    <row r="191" spans="1:13" x14ac:dyDescent="0.25">
      <c r="A191">
        <v>19</v>
      </c>
      <c r="B191" s="2">
        <v>1.8626451492309599E-9</v>
      </c>
      <c r="C191" s="2">
        <v>1.8626451492309599E-9</v>
      </c>
      <c r="D191" s="2">
        <v>1.8626451493359999E-9</v>
      </c>
      <c r="E191" s="2">
        <v>1.8630645376833098E-9</v>
      </c>
      <c r="F191" s="2">
        <v>3.9322494329335798E-8</v>
      </c>
      <c r="G191" s="2">
        <v>3.3348118138693799E-3</v>
      </c>
      <c r="H191" s="15">
        <f t="shared" si="3"/>
        <v>3.3348087631189793E-3</v>
      </c>
      <c r="I191" s="2">
        <v>0.99666519123688102</v>
      </c>
      <c r="J191" s="2"/>
      <c r="K191" s="2">
        <v>0.99999996067764396</v>
      </c>
      <c r="L191" s="2">
        <v>0.99999999813693496</v>
      </c>
      <c r="M191" s="2">
        <v>0.99999999813735496</v>
      </c>
    </row>
    <row r="192" spans="1:13" x14ac:dyDescent="0.25">
      <c r="A192">
        <v>19.100000000000001</v>
      </c>
      <c r="B192" s="2">
        <v>1.8626451492309599E-9</v>
      </c>
      <c r="C192" s="2">
        <v>1.8626451492309599E-9</v>
      </c>
      <c r="D192" s="2">
        <v>1.86264514931441E-9</v>
      </c>
      <c r="E192" s="2">
        <v>1.8630061205456202E-9</v>
      </c>
      <c r="F192" s="2">
        <v>3.6098373411263301E-8</v>
      </c>
      <c r="G192" s="2">
        <v>3.23657231628944E-3</v>
      </c>
      <c r="H192" s="15">
        <f t="shared" si="3"/>
        <v>3.2365693073089785E-3</v>
      </c>
      <c r="I192" s="2">
        <v>0.99676343069269102</v>
      </c>
      <c r="J192" s="2"/>
      <c r="K192" s="2">
        <v>0.99999996390175705</v>
      </c>
      <c r="L192" s="2">
        <v>0.99999999813699403</v>
      </c>
      <c r="M192" s="2">
        <v>0.99999999813735496</v>
      </c>
    </row>
    <row r="193" spans="1:13" x14ac:dyDescent="0.25">
      <c r="A193">
        <v>19.2</v>
      </c>
      <c r="B193" s="2">
        <v>1.8626451492309599E-9</v>
      </c>
      <c r="C193" s="2">
        <v>1.8626451492309599E-9</v>
      </c>
      <c r="D193" s="2">
        <v>1.86264514929727E-9</v>
      </c>
      <c r="E193" s="2">
        <v>1.8629558404163101E-9</v>
      </c>
      <c r="F193" s="2">
        <v>3.3151748531687501E-8</v>
      </c>
      <c r="G193" s="2">
        <v>3.1412177159423601E-3</v>
      </c>
      <c r="H193" s="15">
        <f t="shared" si="3"/>
        <v>3.141214748221044E-3</v>
      </c>
      <c r="I193" s="2">
        <v>0.99685878525177896</v>
      </c>
      <c r="J193" s="2"/>
      <c r="K193" s="2">
        <v>0.999999966848374</v>
      </c>
      <c r="L193" s="2">
        <v>0.99999999813704399</v>
      </c>
      <c r="M193" s="2">
        <v>0.99999999813735496</v>
      </c>
    </row>
    <row r="194" spans="1:13" x14ac:dyDescent="0.25">
      <c r="A194">
        <v>19.3</v>
      </c>
      <c r="B194" s="2">
        <v>1.8626451492309599E-9</v>
      </c>
      <c r="C194" s="2">
        <v>1.8626451492309599E-9</v>
      </c>
      <c r="D194" s="2">
        <v>1.8626451492836402E-9</v>
      </c>
      <c r="E194" s="2">
        <v>1.8629125638783099E-9</v>
      </c>
      <c r="F194" s="2">
        <v>3.04587359501881E-8</v>
      </c>
      <c r="G194" s="2">
        <v>3.04866382465113E-3</v>
      </c>
      <c r="H194" s="15">
        <f t="shared" si="3"/>
        <v>3.0486608976779683E-3</v>
      </c>
      <c r="I194" s="2">
        <v>0.99695133910232203</v>
      </c>
      <c r="J194" s="2"/>
      <c r="K194" s="2">
        <v>0.99999996954138004</v>
      </c>
      <c r="L194" s="2">
        <v>0.99999999813708795</v>
      </c>
      <c r="M194" s="2">
        <v>0.99999999813735496</v>
      </c>
    </row>
    <row r="195" spans="1:13" x14ac:dyDescent="0.25">
      <c r="A195">
        <v>19.399999999999999</v>
      </c>
      <c r="B195" s="2">
        <v>1.8626451492309599E-9</v>
      </c>
      <c r="C195" s="2">
        <v>1.8626451492309599E-9</v>
      </c>
      <c r="D195" s="2">
        <v>1.8626451492728198E-9</v>
      </c>
      <c r="E195" s="2">
        <v>1.86287531539021E-9</v>
      </c>
      <c r="F195" s="2">
        <v>2.7997507570412202E-8</v>
      </c>
      <c r="G195" s="2">
        <v>2.95882888029391E-3</v>
      </c>
      <c r="H195" s="15">
        <f t="shared" ref="H195:H201" si="4">1-I195</f>
        <v>2.9588259935560135E-3</v>
      </c>
      <c r="I195" s="2">
        <v>0.99704117400644399</v>
      </c>
      <c r="J195" s="2"/>
      <c r="K195" s="2">
        <v>0.99999997200260105</v>
      </c>
      <c r="L195" s="2">
        <v>0.99999999813712503</v>
      </c>
      <c r="M195" s="2">
        <v>0.99999999813735496</v>
      </c>
    </row>
    <row r="196" spans="1:13" x14ac:dyDescent="0.25">
      <c r="A196">
        <v>19.5</v>
      </c>
      <c r="B196" s="2">
        <v>1.8626451492309599E-9</v>
      </c>
      <c r="C196" s="2">
        <v>1.8626451492309599E-9</v>
      </c>
      <c r="D196" s="2">
        <v>1.86264514926422E-9</v>
      </c>
      <c r="E196" s="2">
        <v>1.8628432552954001E-9</v>
      </c>
      <c r="F196" s="2">
        <v>2.5748114013346198E-8</v>
      </c>
      <c r="G196" s="2">
        <v>2.8716334786816201E-3</v>
      </c>
      <c r="H196" s="15">
        <f t="shared" si="4"/>
        <v>2.8716306316619589E-3</v>
      </c>
      <c r="I196" s="2">
        <v>0.99712836936833804</v>
      </c>
      <c r="J196" s="2"/>
      <c r="K196" s="2">
        <v>0.99999997425198905</v>
      </c>
      <c r="L196" s="2">
        <v>0.99999999813715701</v>
      </c>
      <c r="M196" s="2">
        <v>0.99999999813735496</v>
      </c>
    </row>
    <row r="197" spans="1:13" x14ac:dyDescent="0.25">
      <c r="A197">
        <v>19.600000000000001</v>
      </c>
      <c r="B197" s="2">
        <v>1.8626451492309599E-9</v>
      </c>
      <c r="C197" s="2">
        <v>1.8626451492309599E-9</v>
      </c>
      <c r="D197" s="2">
        <v>1.8626451492573801E-9</v>
      </c>
      <c r="E197" s="2">
        <v>1.8628156608945E-9</v>
      </c>
      <c r="F197" s="2">
        <v>2.36923229184489E-8</v>
      </c>
      <c r="G197" s="2">
        <v>2.7870005072439101E-3</v>
      </c>
      <c r="H197" s="15">
        <f t="shared" si="4"/>
        <v>2.7869976994270296E-3</v>
      </c>
      <c r="I197" s="2">
        <v>0.99721300230057297</v>
      </c>
      <c r="J197" s="2"/>
      <c r="K197" s="2">
        <v>0.99999997630777404</v>
      </c>
      <c r="L197" s="2">
        <v>0.99999999813718399</v>
      </c>
      <c r="M197" s="2">
        <v>0.99999999813735496</v>
      </c>
    </row>
    <row r="198" spans="1:13" x14ac:dyDescent="0.25">
      <c r="A198">
        <v>19.7</v>
      </c>
      <c r="B198" s="2">
        <v>1.8626451492309599E-9</v>
      </c>
      <c r="C198" s="2">
        <v>1.8626451492309599E-9</v>
      </c>
      <c r="D198" s="2">
        <v>1.86264514925195E-9</v>
      </c>
      <c r="E198" s="2">
        <v>1.8627919101541302E-9</v>
      </c>
      <c r="F198" s="2">
        <v>2.1813471161994799E-8</v>
      </c>
      <c r="G198" s="2">
        <v>2.7048550804813398E-3</v>
      </c>
      <c r="H198" s="15">
        <f t="shared" si="4"/>
        <v>2.704852311348982E-3</v>
      </c>
      <c r="I198" s="2">
        <v>0.99729514768865102</v>
      </c>
      <c r="J198" s="2"/>
      <c r="K198" s="2">
        <v>0.99999997818662001</v>
      </c>
      <c r="L198" s="2">
        <v>0.99999999813720797</v>
      </c>
      <c r="M198" s="2">
        <v>0.99999999813735496</v>
      </c>
    </row>
    <row r="199" spans="1:13" x14ac:dyDescent="0.25">
      <c r="A199">
        <v>19.8</v>
      </c>
      <c r="B199" s="2">
        <v>1.8626451492309599E-9</v>
      </c>
      <c r="C199" s="2">
        <v>1.8626451492309599E-9</v>
      </c>
      <c r="D199" s="2">
        <v>1.86264514924764E-9</v>
      </c>
      <c r="E199" s="2">
        <v>1.8627714676849799E-9</v>
      </c>
      <c r="F199" s="2">
        <v>2.0096329794801199E-8</v>
      </c>
      <c r="G199" s="2">
        <v>2.6251244771427098E-3</v>
      </c>
      <c r="H199" s="15">
        <f t="shared" si="4"/>
        <v>2.6251217461770171E-3</v>
      </c>
      <c r="I199" s="2">
        <v>0.99737487825382298</v>
      </c>
      <c r="J199" s="2"/>
      <c r="K199" s="2">
        <v>0.999999979903756</v>
      </c>
      <c r="L199" s="2">
        <v>0.99999999813722895</v>
      </c>
      <c r="M199" s="2">
        <v>0.99999999813735496</v>
      </c>
    </row>
    <row r="200" spans="1:13" x14ac:dyDescent="0.25">
      <c r="A200">
        <v>19.899999999999999</v>
      </c>
      <c r="B200" s="2">
        <v>1.8626451492309599E-9</v>
      </c>
      <c r="C200" s="2">
        <v>1.8626451492309599E-9</v>
      </c>
      <c r="D200" s="2">
        <v>1.8626451492442101E-9</v>
      </c>
      <c r="E200" s="2">
        <v>1.8627538726730202E-9</v>
      </c>
      <c r="F200" s="2">
        <v>1.85269806045976E-8</v>
      </c>
      <c r="G200" s="2">
        <v>2.5477380790870099E-3</v>
      </c>
      <c r="H200" s="15">
        <f t="shared" si="4"/>
        <v>2.5477353857690233E-3</v>
      </c>
      <c r="I200" s="2">
        <v>0.99745226461423098</v>
      </c>
      <c r="J200" s="2"/>
      <c r="K200" s="2">
        <v>0.99999998147309999</v>
      </c>
      <c r="L200" s="2">
        <v>0.99999999813724605</v>
      </c>
      <c r="M200" s="2">
        <v>0.99999999813735496</v>
      </c>
    </row>
    <row r="201" spans="1:13" x14ac:dyDescent="0.25">
      <c r="A201">
        <v>20</v>
      </c>
      <c r="B201" s="2">
        <v>1.8626451492309599E-9</v>
      </c>
      <c r="C201" s="2">
        <v>1.8626451492309599E-9</v>
      </c>
      <c r="D201" s="2">
        <v>1.8626451492414899E-9</v>
      </c>
      <c r="E201" s="2">
        <v>1.86273872849174E-9</v>
      </c>
      <c r="F201" s="2">
        <v>1.70927033025131E-8</v>
      </c>
      <c r="G201" s="2">
        <v>2.4726273117896798E-3</v>
      </c>
      <c r="H201" s="15">
        <f t="shared" si="4"/>
        <v>2.4726246556030507E-3</v>
      </c>
      <c r="I201" s="2">
        <v>0.99752737534439695</v>
      </c>
      <c r="J201" s="2"/>
      <c r="K201" s="2">
        <v>0.99999998290737302</v>
      </c>
      <c r="L201" s="2">
        <v>0.99999999813726104</v>
      </c>
      <c r="M201" s="2">
        <v>0.99999999813735496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Q1019"/>
  <sheetViews>
    <sheetView topLeftCell="A52" zoomScale="85" zoomScaleNormal="85" workbookViewId="0">
      <selection activeCell="S60" sqref="S60"/>
    </sheetView>
  </sheetViews>
  <sheetFormatPr defaultRowHeight="15" x14ac:dyDescent="0.25"/>
  <cols>
    <col min="1" max="12" width="9.140625" style="2"/>
    <col min="13" max="14" width="13" style="2" customWidth="1"/>
    <col min="15" max="17" width="9.140625" style="2" customWidth="1"/>
    <col min="18" max="18" width="10.140625" style="2" customWidth="1"/>
    <col min="19" max="26" width="9.140625" style="2"/>
    <col min="27" max="28" width="13" style="2" customWidth="1"/>
    <col min="29" max="31" width="9.140625" style="2" customWidth="1"/>
    <col min="32" max="32" width="10.140625" style="2" customWidth="1"/>
    <col min="33" max="41" width="9.140625" style="2"/>
    <col min="42" max="42" width="13.42578125" style="2" customWidth="1"/>
    <col min="43" max="16384" width="9.140625" style="2"/>
  </cols>
  <sheetData>
    <row r="3" spans="1:43" x14ac:dyDescent="0.25">
      <c r="B3" s="2" t="s">
        <v>26</v>
      </c>
    </row>
    <row r="5" spans="1:43" x14ac:dyDescent="0.25">
      <c r="B5" s="5" t="s">
        <v>6</v>
      </c>
      <c r="C5" s="5"/>
      <c r="D5" s="5"/>
      <c r="E5" s="5"/>
      <c r="F5" s="5"/>
      <c r="G5" s="5"/>
      <c r="H5" s="5"/>
      <c r="I5" s="5"/>
      <c r="J5" s="5"/>
      <c r="K5" s="5"/>
      <c r="O5" s="5" t="s">
        <v>6</v>
      </c>
      <c r="P5" s="5"/>
      <c r="Q5" s="5"/>
      <c r="R5" s="5"/>
      <c r="S5" s="5"/>
      <c r="T5" s="5"/>
      <c r="U5" s="5"/>
      <c r="V5" s="5"/>
      <c r="W5" s="5"/>
      <c r="X5" s="5"/>
      <c r="Y5" s="8"/>
      <c r="AC5" s="5" t="s">
        <v>6</v>
      </c>
      <c r="AD5" s="5"/>
      <c r="AE5" s="5"/>
      <c r="AF5" s="5"/>
      <c r="AG5" s="5"/>
      <c r="AH5" s="5"/>
      <c r="AI5" s="5"/>
      <c r="AJ5" s="5"/>
      <c r="AK5" s="5"/>
      <c r="AL5" s="5"/>
      <c r="AM5" s="8"/>
    </row>
    <row r="6" spans="1:43" x14ac:dyDescent="0.25">
      <c r="A6" s="6" t="s">
        <v>0</v>
      </c>
      <c r="B6" s="7">
        <v>0.5</v>
      </c>
      <c r="C6" s="7">
        <v>1.5</v>
      </c>
      <c r="D6" s="7">
        <v>2.5</v>
      </c>
      <c r="E6" s="7">
        <v>3.5</v>
      </c>
      <c r="F6" s="7">
        <v>4.5</v>
      </c>
      <c r="G6" s="7">
        <v>5.5</v>
      </c>
      <c r="H6" s="7">
        <v>6.5</v>
      </c>
      <c r="I6" s="7">
        <v>7.5</v>
      </c>
      <c r="J6" s="7">
        <v>8.5</v>
      </c>
      <c r="K6" s="7">
        <v>9.5</v>
      </c>
      <c r="N6" s="6" t="s">
        <v>0</v>
      </c>
      <c r="O6" s="7">
        <v>0.5</v>
      </c>
      <c r="P6" s="7">
        <v>1.5</v>
      </c>
      <c r="Q6" s="7">
        <v>2.5</v>
      </c>
      <c r="R6" s="7">
        <v>3.5</v>
      </c>
      <c r="S6" s="7">
        <v>4.5</v>
      </c>
      <c r="T6" s="7">
        <v>5.5</v>
      </c>
      <c r="U6" s="7">
        <v>6.5</v>
      </c>
      <c r="V6" s="7">
        <v>7.5</v>
      </c>
      <c r="W6" s="7">
        <v>8.5</v>
      </c>
      <c r="X6" s="7">
        <v>9.5</v>
      </c>
      <c r="Y6" s="11" t="s">
        <v>27</v>
      </c>
      <c r="AB6" s="6" t="s">
        <v>0</v>
      </c>
      <c r="AC6" s="7">
        <v>0.5</v>
      </c>
      <c r="AD6" s="7">
        <v>1.5</v>
      </c>
      <c r="AE6" s="7">
        <v>2.5</v>
      </c>
      <c r="AF6" s="7">
        <v>3.5</v>
      </c>
      <c r="AG6" s="7">
        <v>4.5</v>
      </c>
      <c r="AH6" s="7">
        <v>5.5</v>
      </c>
      <c r="AI6" s="7">
        <v>6.5</v>
      </c>
      <c r="AJ6" s="7">
        <v>7.5</v>
      </c>
      <c r="AK6" s="7">
        <v>8.5</v>
      </c>
      <c r="AL6" s="7">
        <v>9.5</v>
      </c>
      <c r="AM6" s="11" t="s">
        <v>28</v>
      </c>
      <c r="AP6" s="2" t="s">
        <v>29</v>
      </c>
    </row>
    <row r="7" spans="1:43" x14ac:dyDescent="0.25">
      <c r="A7" s="4">
        <v>0.1</v>
      </c>
      <c r="B7" s="9">
        <v>0.40442898384781301</v>
      </c>
      <c r="C7" s="9">
        <v>0.42872757986482901</v>
      </c>
      <c r="D7" s="9">
        <v>0.45337473368039799</v>
      </c>
      <c r="E7" s="9">
        <v>0.47219105051256199</v>
      </c>
      <c r="F7" s="9">
        <v>0.48501370292386098</v>
      </c>
      <c r="G7" s="9">
        <v>0.49785611589198098</v>
      </c>
      <c r="H7" s="9">
        <v>0.51070135822027396</v>
      </c>
      <c r="I7" s="9">
        <v>0.52353248379097295</v>
      </c>
      <c r="J7" s="9">
        <v>0.53633262088447697</v>
      </c>
      <c r="K7" s="9">
        <v>0.54908506066691598</v>
      </c>
      <c r="M7" s="2" t="s">
        <v>30</v>
      </c>
      <c r="N7" s="4">
        <v>0.1</v>
      </c>
      <c r="O7" s="2">
        <f>B7*($T$6+2)+(1-B7)*($T$6)</f>
        <v>6.3088579676956265</v>
      </c>
      <c r="P7" s="2">
        <f>C7*($T$6+2)+(1-C7)*($T$6)</f>
        <v>6.3574551597296578</v>
      </c>
      <c r="Q7" s="2">
        <f>D7*($T$6+2)+(1-D7)*($T$6)</f>
        <v>6.4067494673607968</v>
      </c>
      <c r="R7" s="2">
        <f>E7*($T$6+2)+(1-E7)*($T$6+2)</f>
        <v>7.5</v>
      </c>
      <c r="S7" s="2">
        <f>F7*($T$6+2)+(1-F7)*($T$6+2)</f>
        <v>7.5</v>
      </c>
      <c r="T7" s="2">
        <f>G7*($T$6+2)+(1-G7)*($T$6+2)</f>
        <v>7.5</v>
      </c>
      <c r="U7" s="2">
        <f>H7*($T$6+2)+(1-H7)*($T$6+2)</f>
        <v>7.5</v>
      </c>
      <c r="V7" s="2">
        <f>I7*($T$6+2)+(1-I7)*($T$6+2)</f>
        <v>7.5</v>
      </c>
      <c r="W7" s="2">
        <f>J7*($T$6+2)+(1-J7)*($T$6+2)</f>
        <v>7.5</v>
      </c>
      <c r="X7" s="2">
        <f>K7*($T$6+2)+(1-K7)*($T$6+2)</f>
        <v>7.5</v>
      </c>
      <c r="Y7" s="2">
        <f>SUM(O7:X7)/10</f>
        <v>7.1573062594786077</v>
      </c>
      <c r="AA7" s="2" t="s">
        <v>31</v>
      </c>
      <c r="AB7" s="4">
        <v>0.1</v>
      </c>
      <c r="AC7" s="2">
        <f>B7*($AH$6+2)+(1-B7)*(7)</f>
        <v>7.2022144919239066</v>
      </c>
      <c r="AD7" s="2">
        <f>C7*($AH$6+2)+(1-C7)*(7)</f>
        <v>7.2143637899324142</v>
      </c>
      <c r="AE7" s="2">
        <f>D7*($AH$6+2)+(1-D7)*(7)</f>
        <v>7.2266873668401992</v>
      </c>
      <c r="AF7" s="2">
        <f>E7*($AH$6+2)+(1-E7)*(7)</f>
        <v>7.2360955252562817</v>
      </c>
      <c r="AG7" s="2">
        <f>F7*($AH$6+2)+(1-F7)*(7)</f>
        <v>7.24250685146193</v>
      </c>
      <c r="AH7" s="2">
        <f>G7*($AH$6+2)+(1-G7)*(7)</f>
        <v>7.2489280579459905</v>
      </c>
      <c r="AI7" s="2">
        <f>H7*($AH$6+2)+(1-H7)*(7)</f>
        <v>7.255350679110137</v>
      </c>
      <c r="AJ7" s="2">
        <f>I7*($AH$6+2)+(1-I7)*(7)</f>
        <v>7.2617662418954865</v>
      </c>
      <c r="AK7" s="2">
        <f>J7*($AH$6+2)+(1-J7)*(7)</f>
        <v>7.2681663104422389</v>
      </c>
      <c r="AL7" s="2">
        <f>K7*($AH$6+2)+(1-K7)*(7)</f>
        <v>7.2745425303334574</v>
      </c>
      <c r="AM7" s="2">
        <f>SUM(AC7:AL7)/10</f>
        <v>7.243062184514204</v>
      </c>
      <c r="AP7" s="2">
        <f>(EXP(A7*Y7))/(EXP(A7*Y7)+EXP(A7*AM7))</f>
        <v>0.49785611501267635</v>
      </c>
      <c r="AQ7" s="9"/>
    </row>
    <row r="8" spans="1:43" x14ac:dyDescent="0.25">
      <c r="A8" s="4">
        <v>0.2</v>
      </c>
      <c r="B8" s="9">
        <v>0.31249614923508301</v>
      </c>
      <c r="C8" s="9">
        <v>0.35698477095341602</v>
      </c>
      <c r="D8" s="9">
        <v>0.40408439801219598</v>
      </c>
      <c r="E8" s="9">
        <v>0.441365813516926</v>
      </c>
      <c r="F8" s="9">
        <v>0.46756763657390499</v>
      </c>
      <c r="G8" s="9">
        <v>0.49394956963445202</v>
      </c>
      <c r="H8" s="9">
        <v>0.52036523982288396</v>
      </c>
      <c r="I8" s="9">
        <v>0.54666752498157301</v>
      </c>
      <c r="J8" s="9">
        <v>0.57271181550379102</v>
      </c>
      <c r="K8" s="9">
        <v>0.59835915870199896</v>
      </c>
      <c r="N8" s="4">
        <v>0.2</v>
      </c>
      <c r="O8" s="2">
        <f>B8*($T$6+2)+(1-B8)*($T$6)</f>
        <v>6.1249922984701657</v>
      </c>
      <c r="P8" s="2">
        <f>C8*($T$6+2)+(1-C8)*($T$6)</f>
        <v>6.2139695419068319</v>
      </c>
      <c r="Q8" s="2">
        <f>D8*($T$6+2)+(1-D8)*($T$6)</f>
        <v>6.3081687960243915</v>
      </c>
      <c r="R8" s="2">
        <f t="shared" ref="R8:R21" si="0">E8*($T$6+2)+(1-E8)*($T$6+2)</f>
        <v>7.5</v>
      </c>
      <c r="S8" s="2">
        <f>F8*($T$6+2)+(1-F8)*($T$6+2)</f>
        <v>7.5</v>
      </c>
      <c r="T8" s="2">
        <f>G8*($T$6+2)+(1-G8)*($T$6+2)</f>
        <v>7.5</v>
      </c>
      <c r="U8" s="2">
        <f>H8*($T$6+2)+(1-H8)*($T$6+2)</f>
        <v>7.5</v>
      </c>
      <c r="V8" s="2">
        <f>I8*($T$6+2)+(1-I8)*($T$6+2)</f>
        <v>7.5</v>
      </c>
      <c r="W8" s="2">
        <f>J8*($T$6+2)+(1-J8)*($T$6+2)</f>
        <v>7.5</v>
      </c>
      <c r="X8" s="2">
        <f>K8*($T$6+2)+(1-K8)*($T$6+2)</f>
        <v>7.5</v>
      </c>
      <c r="Y8" s="2">
        <f t="shared" ref="Y8:Y21" si="1">SUM(O8:X8)/10</f>
        <v>7.1147130636401386</v>
      </c>
      <c r="AB8" s="4">
        <v>0.2</v>
      </c>
      <c r="AC8" s="2">
        <f t="shared" ref="AC8:AC21" si="2">B8*($AH$6+2)+(1-B8)*(7)</f>
        <v>7.1562480746175412</v>
      </c>
      <c r="AD8" s="2">
        <f>C8*($AH$6+2)+(1-C8)*(7)</f>
        <v>7.1784923854767078</v>
      </c>
      <c r="AE8" s="2">
        <f>D8*($AH$6+2)+(1-D8)*(7)</f>
        <v>7.2020421990060974</v>
      </c>
      <c r="AF8" s="2">
        <f>E8*($AH$6+2)+(1-E8)*(7)</f>
        <v>7.2206829067584621</v>
      </c>
      <c r="AG8" s="2">
        <f>F8*($AH$6+2)+(1-F8)*(7)</f>
        <v>7.2337838182869518</v>
      </c>
      <c r="AH8" s="2">
        <f>G8*($AH$6+2)+(1-G8)*(7)</f>
        <v>7.2469747848172261</v>
      </c>
      <c r="AI8" s="2">
        <f>H8*($AH$6+2)+(1-H8)*(7)</f>
        <v>7.2601826199114416</v>
      </c>
      <c r="AJ8" s="2">
        <f>I8*($AH$6+2)+(1-I8)*(7)</f>
        <v>7.273333762490787</v>
      </c>
      <c r="AK8" s="2">
        <f>J8*($AH$6+2)+(1-J8)*(7)</f>
        <v>7.2863559077518953</v>
      </c>
      <c r="AL8" s="2">
        <f>K8*($AH$6+2)+(1-K8)*(7)</f>
        <v>7.2991795793509997</v>
      </c>
      <c r="AM8" s="2">
        <f t="shared" ref="AM8:AM21" si="3">SUM(AC8:AL8)/10</f>
        <v>7.2357276038468115</v>
      </c>
      <c r="AP8" s="2">
        <f>(EXP(A8*Y8))/(EXP(A8*Y8)+EXP(A8*AM8))</f>
        <v>0.4939495683389864</v>
      </c>
      <c r="AQ8" s="9"/>
    </row>
    <row r="9" spans="1:43" x14ac:dyDescent="0.25">
      <c r="A9" s="4">
        <v>0.3</v>
      </c>
      <c r="B9" s="9">
        <v>0.23088158137309001</v>
      </c>
      <c r="C9" s="9">
        <v>0.28836460929150298</v>
      </c>
      <c r="D9" s="9">
        <v>0.35357992546189099</v>
      </c>
      <c r="E9" s="9">
        <v>0.40807894829546998</v>
      </c>
      <c r="F9" s="9">
        <v>0.447925068594001</v>
      </c>
      <c r="G9" s="9">
        <v>0.488451296339734</v>
      </c>
      <c r="H9" s="9">
        <v>0.52912991439502399</v>
      </c>
      <c r="I9" s="9">
        <v>0.569425243160536</v>
      </c>
      <c r="J9" s="9">
        <v>0.60882154583693704</v>
      </c>
      <c r="K9" s="9">
        <v>0.64684876487494403</v>
      </c>
      <c r="N9" s="4">
        <v>0.3</v>
      </c>
      <c r="O9" s="2">
        <f>B9*($T$6+2)+(1-B9)*($T$6)</f>
        <v>5.9617631627461796</v>
      </c>
      <c r="P9" s="2">
        <f>C9*($T$6+2)+(1-C9)*($T$6)</f>
        <v>6.0767292185830062</v>
      </c>
      <c r="Q9" s="2">
        <f>D9*($T$6+2)+(1-D9)*($T$6)</f>
        <v>6.207159850923782</v>
      </c>
      <c r="R9" s="2">
        <f t="shared" si="0"/>
        <v>7.5</v>
      </c>
      <c r="S9" s="2">
        <f>F9*($T$6+2)+(1-F9)*($T$6+2)</f>
        <v>7.5</v>
      </c>
      <c r="T9" s="2">
        <f>G9*($T$6+2)+(1-G9)*($T$6+2)</f>
        <v>7.5</v>
      </c>
      <c r="U9" s="2">
        <f>H9*($T$6+2)+(1-H9)*($T$6+2)</f>
        <v>7.5</v>
      </c>
      <c r="V9" s="2">
        <f>I9*($T$6+2)+(1-I9)*($T$6+2)</f>
        <v>7.5</v>
      </c>
      <c r="W9" s="2">
        <f>J9*($T$6+2)+(1-J9)*($T$6+2)</f>
        <v>7.5</v>
      </c>
      <c r="X9" s="2">
        <f>K9*($T$6+2)+(1-K9)*($T$6+2)</f>
        <v>7.5</v>
      </c>
      <c r="Y9" s="2">
        <f t="shared" si="1"/>
        <v>7.0745652232252967</v>
      </c>
      <c r="AB9" s="4">
        <v>0.3</v>
      </c>
      <c r="AC9" s="2">
        <f t="shared" si="2"/>
        <v>7.1154407906865451</v>
      </c>
      <c r="AD9" s="2">
        <f>C9*($AH$6+2)+(1-C9)*(7)</f>
        <v>7.1441823046457511</v>
      </c>
      <c r="AE9" s="2">
        <f>D9*($AH$6+2)+(1-D9)*(7)</f>
        <v>7.176789962730945</v>
      </c>
      <c r="AF9" s="2">
        <f>E9*($AH$6+2)+(1-E9)*(7)</f>
        <v>7.2040394741477352</v>
      </c>
      <c r="AG9" s="2">
        <f>F9*($AH$6+2)+(1-F9)*(7)</f>
        <v>7.2239625342969997</v>
      </c>
      <c r="AH9" s="2">
        <f>G9*($AH$6+2)+(1-G9)*(7)</f>
        <v>7.2442256481698664</v>
      </c>
      <c r="AI9" s="2">
        <f>H9*($AH$6+2)+(1-H9)*(7)</f>
        <v>7.2645649571975124</v>
      </c>
      <c r="AJ9" s="2">
        <f>I9*($AH$6+2)+(1-I9)*(7)</f>
        <v>7.284712621580268</v>
      </c>
      <c r="AK9" s="2">
        <f>J9*($AH$6+2)+(1-J9)*(7)</f>
        <v>7.3044107729184686</v>
      </c>
      <c r="AL9" s="2">
        <f>K9*($AH$6+2)+(1-K9)*(7)</f>
        <v>7.3234243824374721</v>
      </c>
      <c r="AM9" s="2">
        <f t="shared" si="3"/>
        <v>7.2285753448811558</v>
      </c>
      <c r="AP9" s="2">
        <f>(EXP(A9*Y9))/(EXP(A9*Y9)+EXP(A9*AM9))</f>
        <v>0.48845129524086495</v>
      </c>
      <c r="AQ9" s="9"/>
    </row>
    <row r="10" spans="1:43" x14ac:dyDescent="0.25">
      <c r="A10" s="4">
        <v>0.4</v>
      </c>
      <c r="B10" s="9">
        <v>0.163955660593642</v>
      </c>
      <c r="C10" s="9">
        <v>0.22634150350263499</v>
      </c>
      <c r="D10" s="9">
        <v>0.303838445379152</v>
      </c>
      <c r="E10" s="9">
        <v>0.373336044668649</v>
      </c>
      <c r="F10" s="9">
        <v>0.42662775978874501</v>
      </c>
      <c r="G10" s="9">
        <v>0.481679449313349</v>
      </c>
      <c r="H10" s="9">
        <v>0.53717954998183104</v>
      </c>
      <c r="I10" s="9">
        <v>0.59177341790736304</v>
      </c>
      <c r="J10" s="9">
        <v>0.64419294735230903</v>
      </c>
      <c r="K10" s="9">
        <v>0.69336914372909697</v>
      </c>
      <c r="N10" s="4">
        <v>0.4</v>
      </c>
      <c r="O10" s="2">
        <f>B10*($T$6+2)+(1-B10)*($T$6)</f>
        <v>5.8279113211872842</v>
      </c>
      <c r="P10" s="2">
        <f>C10*($T$6+2)+(1-C10)*($T$6)</f>
        <v>5.9526830070052696</v>
      </c>
      <c r="Q10" s="2">
        <f>D10*($T$6+2)+(1-D10)*($T$6)</f>
        <v>6.1076768907583041</v>
      </c>
      <c r="R10" s="2">
        <f t="shared" si="0"/>
        <v>7.5</v>
      </c>
      <c r="S10" s="2">
        <f>F10*($T$6+2)+(1-F10)*($T$6+2)</f>
        <v>7.5</v>
      </c>
      <c r="T10" s="2">
        <f>G10*($T$6+2)+(1-G10)*($T$6+2)</f>
        <v>7.5</v>
      </c>
      <c r="U10" s="2">
        <f>H10*($T$6+2)+(1-H10)*($T$6+2)</f>
        <v>7.5</v>
      </c>
      <c r="V10" s="2">
        <f>I10*($T$6+2)+(1-I10)*($T$6+2)</f>
        <v>7.5</v>
      </c>
      <c r="W10" s="2">
        <f>J10*($T$6+2)+(1-J10)*($T$6+2)</f>
        <v>7.5</v>
      </c>
      <c r="X10" s="2">
        <f>K10*($T$6+2)+(1-K10)*($T$6+2)</f>
        <v>7.5</v>
      </c>
      <c r="Y10" s="2">
        <f t="shared" si="1"/>
        <v>7.0388271218950846</v>
      </c>
      <c r="AB10" s="4">
        <v>0.4</v>
      </c>
      <c r="AC10" s="2">
        <f t="shared" si="2"/>
        <v>7.0819778302968208</v>
      </c>
      <c r="AD10" s="2">
        <f>C10*($AH$6+2)+(1-C10)*(7)</f>
        <v>7.1131707517513174</v>
      </c>
      <c r="AE10" s="2">
        <f>D10*($AH$6+2)+(1-D10)*(7)</f>
        <v>7.1519192226895756</v>
      </c>
      <c r="AF10" s="2">
        <f>E10*($AH$6+2)+(1-E10)*(7)</f>
        <v>7.1866680223343247</v>
      </c>
      <c r="AG10" s="2">
        <f>F10*($AH$6+2)+(1-F10)*(7)</f>
        <v>7.2133138798943719</v>
      </c>
      <c r="AH10" s="2">
        <f>G10*($AH$6+2)+(1-G10)*(7)</f>
        <v>7.2408397246566754</v>
      </c>
      <c r="AI10" s="2">
        <f>H10*($AH$6+2)+(1-H10)*(7)</f>
        <v>7.2685897749909154</v>
      </c>
      <c r="AJ10" s="2">
        <f>I10*($AH$6+2)+(1-I10)*(7)</f>
        <v>7.295886708953681</v>
      </c>
      <c r="AK10" s="2">
        <f>J10*($AH$6+2)+(1-J10)*(7)</f>
        <v>7.3220964736761545</v>
      </c>
      <c r="AL10" s="2">
        <f>K10*($AH$6+2)+(1-K10)*(7)</f>
        <v>7.3466845718645484</v>
      </c>
      <c r="AM10" s="2">
        <f t="shared" si="3"/>
        <v>7.2221146961108378</v>
      </c>
      <c r="AP10" s="2">
        <f>(EXP(A10*Y10))/(EXP(A10*Y10)+EXP(A10*AM10))</f>
        <v>0.48167944806678514</v>
      </c>
      <c r="AQ10" s="9"/>
    </row>
    <row r="11" spans="1:43" x14ac:dyDescent="0.25">
      <c r="A11" s="4">
        <v>0.5</v>
      </c>
      <c r="B11" s="9">
        <v>0.11280615276738901</v>
      </c>
      <c r="C11" s="9">
        <v>0.17330358979709301</v>
      </c>
      <c r="D11" s="9">
        <v>0.25685248746779399</v>
      </c>
      <c r="E11" s="9">
        <v>0.338335548464053</v>
      </c>
      <c r="F11" s="9">
        <v>0.40434913954712598</v>
      </c>
      <c r="G11" s="9">
        <v>0.47401554269273599</v>
      </c>
      <c r="H11" s="9">
        <v>0.54470848998590404</v>
      </c>
      <c r="I11" s="9">
        <v>0.61364437266947802</v>
      </c>
      <c r="J11" s="9">
        <v>0.67830687284999902</v>
      </c>
      <c r="K11" s="9">
        <v>0.73678911526048496</v>
      </c>
      <c r="N11" s="4">
        <v>0.5</v>
      </c>
      <c r="O11" s="2">
        <f>B11*($T$6+2)+(1-B11)*($T$6)</f>
        <v>5.7256123055347778</v>
      </c>
      <c r="P11" s="2">
        <f>C11*($T$6+2)+(1-C11)*($T$6)</f>
        <v>5.8466071795941854</v>
      </c>
      <c r="Q11" s="2">
        <f>D11*($T$6+2)+(1-D11)*($T$6)</f>
        <v>6.013704974935588</v>
      </c>
      <c r="R11" s="2">
        <f t="shared" si="0"/>
        <v>7.5</v>
      </c>
      <c r="S11" s="2">
        <f>F11*($T$6+2)+(1-F11)*($T$6+2)</f>
        <v>7.5</v>
      </c>
      <c r="T11" s="2">
        <f>G11*($T$6+2)+(1-G11)*($T$6+2)</f>
        <v>7.5</v>
      </c>
      <c r="U11" s="2">
        <f>H11*($T$6+2)+(1-H11)*($T$6+2)</f>
        <v>7.5</v>
      </c>
      <c r="V11" s="2">
        <f>I11*($T$6+2)+(1-I11)*($T$6+2)</f>
        <v>7.5</v>
      </c>
      <c r="W11" s="2">
        <f>J11*($T$6+2)+(1-J11)*($T$6+2)</f>
        <v>7.5</v>
      </c>
      <c r="X11" s="2">
        <f>K11*($T$6+2)+(1-K11)*($T$6+2)</f>
        <v>7.5</v>
      </c>
      <c r="Y11" s="2">
        <f t="shared" si="1"/>
        <v>7.008592446006455</v>
      </c>
      <c r="AB11" s="4">
        <v>0.5</v>
      </c>
      <c r="AC11" s="2">
        <f t="shared" si="2"/>
        <v>7.0564030763836945</v>
      </c>
      <c r="AD11" s="2">
        <f>C11*($AH$6+2)+(1-C11)*(7)</f>
        <v>7.0866517948985459</v>
      </c>
      <c r="AE11" s="2">
        <f>D11*($AH$6+2)+(1-D11)*(7)</f>
        <v>7.1284262437338972</v>
      </c>
      <c r="AF11" s="2">
        <f>E11*($AH$6+2)+(1-E11)*(7)</f>
        <v>7.1691677742320259</v>
      </c>
      <c r="AG11" s="2">
        <f>F11*($AH$6+2)+(1-F11)*(7)</f>
        <v>7.2021745697735629</v>
      </c>
      <c r="AH11" s="2">
        <f>G11*($AH$6+2)+(1-G11)*(7)</f>
        <v>7.2370077713463683</v>
      </c>
      <c r="AI11" s="2">
        <f>H11*($AH$6+2)+(1-H11)*(7)</f>
        <v>7.2723542449929521</v>
      </c>
      <c r="AJ11" s="2">
        <f>I11*($AH$6+2)+(1-I11)*(7)</f>
        <v>7.3068221863347391</v>
      </c>
      <c r="AK11" s="2">
        <f>J11*($AH$6+2)+(1-J11)*(7)</f>
        <v>7.3391534364249988</v>
      </c>
      <c r="AL11" s="2">
        <f>K11*($AH$6+2)+(1-K11)*(7)</f>
        <v>7.3683945576302428</v>
      </c>
      <c r="AM11" s="2">
        <f t="shared" si="3"/>
        <v>7.2166555655751026</v>
      </c>
      <c r="AP11" s="2">
        <f>(EXP(A11*Y11))/(EXP(A11*Y11)+EXP(A11*AM11))</f>
        <v>0.47401554070382723</v>
      </c>
      <c r="AQ11" s="9"/>
    </row>
    <row r="12" spans="1:43" x14ac:dyDescent="0.25">
      <c r="A12" s="4">
        <v>0.6</v>
      </c>
      <c r="B12" s="9">
        <v>7.5850370220890598E-2</v>
      </c>
      <c r="C12" s="9">
        <v>0.130095865461167</v>
      </c>
      <c r="D12" s="9">
        <v>0.214146267296944</v>
      </c>
      <c r="E12" s="9">
        <v>0.30417800910191101</v>
      </c>
      <c r="F12" s="9">
        <v>0.38172815476720301</v>
      </c>
      <c r="G12" s="9">
        <v>0.46581385538519299</v>
      </c>
      <c r="H12" s="9">
        <v>0.55188826528718304</v>
      </c>
      <c r="I12" s="9">
        <v>0.63496213021216896</v>
      </c>
      <c r="J12" s="9">
        <v>0.71070808653409301</v>
      </c>
      <c r="K12" s="9">
        <v>0.77627457599310801</v>
      </c>
      <c r="N12" s="4">
        <v>0.6</v>
      </c>
      <c r="O12" s="2">
        <f>B12*($T$6+2)+(1-B12)*($T$6)</f>
        <v>5.6517007404417807</v>
      </c>
      <c r="P12" s="2">
        <f>C12*($T$6+2)+(1-C12)*($T$6)</f>
        <v>5.7601917309223332</v>
      </c>
      <c r="Q12" s="2">
        <f>D12*($T$6+2)+(1-D12)*($T$6)</f>
        <v>5.9282925345938882</v>
      </c>
      <c r="R12" s="2">
        <f t="shared" si="0"/>
        <v>7.5</v>
      </c>
      <c r="S12" s="2">
        <f>F12*($T$6+2)+(1-F12)*($T$6+2)</f>
        <v>7.5</v>
      </c>
      <c r="T12" s="2">
        <f>G12*($T$6+2)+(1-G12)*($T$6+2)</f>
        <v>7.5</v>
      </c>
      <c r="U12" s="2">
        <f>H12*($T$6+2)+(1-H12)*($T$6+2)</f>
        <v>7.5</v>
      </c>
      <c r="V12" s="2">
        <f>I12*($T$6+2)+(1-I12)*($T$6+2)</f>
        <v>7.5</v>
      </c>
      <c r="W12" s="2">
        <f>J12*($T$6+2)+(1-J12)*($T$6+2)</f>
        <v>7.5</v>
      </c>
      <c r="X12" s="2">
        <f>K12*($T$6+2)+(1-K12)*($T$6+2)</f>
        <v>7.5</v>
      </c>
      <c r="Y12" s="2">
        <f t="shared" si="1"/>
        <v>6.9840185005958002</v>
      </c>
      <c r="AB12" s="4">
        <v>0.6</v>
      </c>
      <c r="AC12" s="2">
        <f t="shared" si="2"/>
        <v>7.0379251851104456</v>
      </c>
      <c r="AD12" s="2">
        <f>C12*($AH$6+2)+(1-C12)*(7)</f>
        <v>7.0650479327305824</v>
      </c>
      <c r="AE12" s="2">
        <f>D12*($AH$6+2)+(1-D12)*(7)</f>
        <v>7.1070731336484725</v>
      </c>
      <c r="AF12" s="2">
        <f>E12*($AH$6+2)+(1-E12)*(7)</f>
        <v>7.1520890045509553</v>
      </c>
      <c r="AG12" s="2">
        <f>F12*($AH$6+2)+(1-F12)*(7)</f>
        <v>7.1908640773836012</v>
      </c>
      <c r="AH12" s="2">
        <f>G12*($AH$6+2)+(1-G12)*(7)</f>
        <v>7.2329069276925964</v>
      </c>
      <c r="AI12" s="2">
        <f>H12*($AH$6+2)+(1-H12)*(7)</f>
        <v>7.2759441326435921</v>
      </c>
      <c r="AJ12" s="2">
        <f>I12*($AH$6+2)+(1-I12)*(7)</f>
        <v>7.317481065106084</v>
      </c>
      <c r="AK12" s="2">
        <f>J12*($AH$6+2)+(1-J12)*(7)</f>
        <v>7.355354043267047</v>
      </c>
      <c r="AL12" s="2">
        <f>K12*($AH$6+2)+(1-K12)*(7)</f>
        <v>7.3881372879965541</v>
      </c>
      <c r="AM12" s="2">
        <f t="shared" si="3"/>
        <v>7.2122822790129932</v>
      </c>
      <c r="AP12" s="2">
        <f>(EXP(A12*Y12))/(EXP(A12*Y12)+EXP(A12*AM12))</f>
        <v>0.46581385394912028</v>
      </c>
      <c r="AQ12" s="9"/>
    </row>
    <row r="13" spans="1:43" x14ac:dyDescent="0.25">
      <c r="A13" s="4">
        <v>0.7</v>
      </c>
      <c r="B13" s="9">
        <v>5.0220013021829303E-2</v>
      </c>
      <c r="C13" s="9">
        <v>9.6231477587317996E-2</v>
      </c>
      <c r="D13" s="9">
        <v>0.17656191472115701</v>
      </c>
      <c r="E13" s="9">
        <v>0.27169157825408202</v>
      </c>
      <c r="F13" s="9">
        <v>0.359269121183664</v>
      </c>
      <c r="G13" s="9">
        <v>0.45734928770079802</v>
      </c>
      <c r="H13" s="9">
        <v>0.558851163950421</v>
      </c>
      <c r="I13" s="9">
        <v>0.65566166370618395</v>
      </c>
      <c r="J13" s="9">
        <v>0.74107041790460604</v>
      </c>
      <c r="K13" s="9">
        <v>0.81138868335945702</v>
      </c>
      <c r="N13" s="4">
        <v>0.7</v>
      </c>
      <c r="O13" s="2">
        <f>B13*($T$6+2)+(1-B13)*($T$6)</f>
        <v>5.6004400260436578</v>
      </c>
      <c r="P13" s="2">
        <f>C13*($T$6+2)+(1-C13)*($T$6)</f>
        <v>5.6924629551746353</v>
      </c>
      <c r="Q13" s="2">
        <f>D13*($T$6+2)+(1-D13)*($T$6)</f>
        <v>5.853123829442314</v>
      </c>
      <c r="R13" s="2">
        <f t="shared" si="0"/>
        <v>7.5</v>
      </c>
      <c r="S13" s="2">
        <f>F13*($T$6+2)+(1-F13)*($T$6+2)</f>
        <v>7.4999999999999991</v>
      </c>
      <c r="T13" s="2">
        <f>G13*($T$6+2)+(1-G13)*($T$6+2)</f>
        <v>7.4999999999999991</v>
      </c>
      <c r="U13" s="2">
        <f>H13*($T$6+2)+(1-H13)*($T$6+2)</f>
        <v>7.5</v>
      </c>
      <c r="V13" s="2">
        <f>I13*($T$6+2)+(1-I13)*($T$6+2)</f>
        <v>7.5</v>
      </c>
      <c r="W13" s="2">
        <f>J13*($T$6+2)+(1-J13)*($T$6+2)</f>
        <v>7.5</v>
      </c>
      <c r="X13" s="2">
        <f>K13*($T$6+2)+(1-K13)*($T$6+2)</f>
        <v>7.5</v>
      </c>
      <c r="Y13" s="2">
        <f t="shared" si="1"/>
        <v>6.9646026810660597</v>
      </c>
      <c r="AB13" s="4">
        <v>0.7</v>
      </c>
      <c r="AC13" s="2">
        <f t="shared" si="2"/>
        <v>7.0251100065109142</v>
      </c>
      <c r="AD13" s="2">
        <f>C13*($AH$6+2)+(1-C13)*(7)</f>
        <v>7.0481157387936584</v>
      </c>
      <c r="AE13" s="2">
        <f>D13*($AH$6+2)+(1-D13)*(7)</f>
        <v>7.0882809573605785</v>
      </c>
      <c r="AF13" s="2">
        <f>E13*($AH$6+2)+(1-E13)*(7)</f>
        <v>7.1358457891270408</v>
      </c>
      <c r="AG13" s="2">
        <f>F13*($AH$6+2)+(1-F13)*(7)</f>
        <v>7.1796345605918317</v>
      </c>
      <c r="AH13" s="2">
        <f>G13*($AH$6+2)+(1-G13)*(7)</f>
        <v>7.2286746438503986</v>
      </c>
      <c r="AI13" s="2">
        <f>H13*($AH$6+2)+(1-H13)*(7)</f>
        <v>7.2794255819752101</v>
      </c>
      <c r="AJ13" s="2">
        <f>I13*($AH$6+2)+(1-I13)*(7)</f>
        <v>7.3278308318530918</v>
      </c>
      <c r="AK13" s="2">
        <f>J13*($AH$6+2)+(1-J13)*(7)</f>
        <v>7.3705352089523029</v>
      </c>
      <c r="AL13" s="2">
        <f>K13*($AH$6+2)+(1-K13)*(7)</f>
        <v>7.4056943416797285</v>
      </c>
      <c r="AM13" s="2">
        <f t="shared" si="3"/>
        <v>7.2089147660694746</v>
      </c>
      <c r="AP13" s="2">
        <f>(EXP(A13*Y13))/(EXP(A13*Y13)+EXP(A13*AM13))</f>
        <v>0.45734928605470787</v>
      </c>
      <c r="AQ13" s="9"/>
    </row>
    <row r="14" spans="1:43" x14ac:dyDescent="0.25">
      <c r="A14" s="4">
        <v>0.8</v>
      </c>
      <c r="B14" s="9">
        <v>3.2929171006006203E-2</v>
      </c>
      <c r="C14" s="9">
        <v>7.0442439184481398E-2</v>
      </c>
      <c r="D14" s="9">
        <v>0.14431389904794101</v>
      </c>
      <c r="E14" s="9">
        <v>0.241398558086489</v>
      </c>
      <c r="F14" s="9">
        <v>0.33732094945991598</v>
      </c>
      <c r="G14" s="9">
        <v>0.44880882803788102</v>
      </c>
      <c r="H14" s="9">
        <v>0.56568973425869495</v>
      </c>
      <c r="I14" s="9">
        <v>0.67569510439847202</v>
      </c>
      <c r="J14" s="9">
        <v>0.76920525749983604</v>
      </c>
      <c r="K14" s="9">
        <v>0.84205525131679504</v>
      </c>
      <c r="N14" s="4">
        <v>0.8</v>
      </c>
      <c r="O14" s="2">
        <f>B14*($T$6+2)+(1-B14)*($T$6)</f>
        <v>5.565858342012012</v>
      </c>
      <c r="P14" s="2">
        <f>C14*($T$6+2)+(1-C14)*($T$6)</f>
        <v>5.6408848783689631</v>
      </c>
      <c r="Q14" s="2">
        <f>D14*($T$6+2)+(1-D14)*($T$6)</f>
        <v>5.7886277980958827</v>
      </c>
      <c r="R14" s="2">
        <f t="shared" si="0"/>
        <v>7.5</v>
      </c>
      <c r="S14" s="2">
        <f>F14*($T$6+2)+(1-F14)*($T$6+2)</f>
        <v>7.5</v>
      </c>
      <c r="T14" s="2">
        <f>G14*($T$6+2)+(1-G14)*($T$6+2)</f>
        <v>7.5</v>
      </c>
      <c r="U14" s="2">
        <f>H14*($T$6+2)+(1-H14)*($T$6+2)</f>
        <v>7.5</v>
      </c>
      <c r="V14" s="2">
        <f>I14*($T$6+2)+(1-I14)*($T$6+2)</f>
        <v>7.5</v>
      </c>
      <c r="W14" s="2">
        <f>J14*($T$6+2)+(1-J14)*($T$6+2)</f>
        <v>7.5</v>
      </c>
      <c r="X14" s="2">
        <f>K14*($T$6+2)+(1-K14)*($T$6+2)</f>
        <v>7.5</v>
      </c>
      <c r="Y14" s="2">
        <f t="shared" si="1"/>
        <v>6.9495371018476861</v>
      </c>
      <c r="AB14" s="4">
        <v>0.8</v>
      </c>
      <c r="AC14" s="2">
        <f t="shared" si="2"/>
        <v>7.0164645855030026</v>
      </c>
      <c r="AD14" s="2">
        <f>C14*($AH$6+2)+(1-C14)*(7)</f>
        <v>7.0352212195922412</v>
      </c>
      <c r="AE14" s="2">
        <f>D14*($AH$6+2)+(1-D14)*(7)</f>
        <v>7.0721569495239711</v>
      </c>
      <c r="AF14" s="2">
        <f>E14*($AH$6+2)+(1-E14)*(7)</f>
        <v>7.1206992790432446</v>
      </c>
      <c r="AG14" s="2">
        <f>F14*($AH$6+2)+(1-F14)*(7)</f>
        <v>7.1686604747299576</v>
      </c>
      <c r="AH14" s="2">
        <f>G14*($AH$6+2)+(1-G14)*(7)</f>
        <v>7.2244044140189398</v>
      </c>
      <c r="AI14" s="2">
        <f>H14*($AH$6+2)+(1-H14)*(7)</f>
        <v>7.2828448671293469</v>
      </c>
      <c r="AJ14" s="2">
        <f>I14*($AH$6+2)+(1-I14)*(7)</f>
        <v>7.3378475521992366</v>
      </c>
      <c r="AK14" s="2">
        <f>J14*($AH$6+2)+(1-J14)*(7)</f>
        <v>7.384602628749918</v>
      </c>
      <c r="AL14" s="2">
        <f>K14*($AH$6+2)+(1-K14)*(7)</f>
        <v>7.4210276256583976</v>
      </c>
      <c r="AM14" s="2">
        <f t="shared" si="3"/>
        <v>7.206392959614826</v>
      </c>
      <c r="AP14" s="2">
        <f>(EXP(A14*Y14))/(EXP(A14*Y14)+EXP(A14*AM14))</f>
        <v>0.44880882630435076</v>
      </c>
      <c r="AQ14" s="9"/>
    </row>
    <row r="15" spans="1:43" x14ac:dyDescent="0.25">
      <c r="A15" s="4">
        <v>0.9</v>
      </c>
      <c r="B15" s="9">
        <v>2.1468123235588499E-2</v>
      </c>
      <c r="C15" s="9">
        <v>5.1198752572128199E-2</v>
      </c>
      <c r="D15" s="9">
        <v>0.117172338541058</v>
      </c>
      <c r="E15" s="9">
        <v>0.21356474335990799</v>
      </c>
      <c r="F15" s="9">
        <v>0.31610223665210002</v>
      </c>
      <c r="G15" s="9">
        <v>0.44030726848909402</v>
      </c>
      <c r="H15" s="9">
        <v>0.57246428127564097</v>
      </c>
      <c r="I15" s="9">
        <v>0.69502968845661905</v>
      </c>
      <c r="J15" s="9">
        <v>0.79503839709186097</v>
      </c>
      <c r="K15" s="9">
        <v>0.86845826772509804</v>
      </c>
      <c r="N15" s="4">
        <v>0.9</v>
      </c>
      <c r="O15" s="2">
        <f>B15*($T$6+2)+(1-B15)*($T$6)</f>
        <v>5.5429362464711778</v>
      </c>
      <c r="P15" s="2">
        <f>C15*($T$6+2)+(1-C15)*($T$6)</f>
        <v>5.6023975051442561</v>
      </c>
      <c r="Q15" s="2">
        <f>D15*($T$6+2)+(1-D15)*($T$6)</f>
        <v>5.7343446770821158</v>
      </c>
      <c r="R15" s="2">
        <f t="shared" si="0"/>
        <v>7.5000000000000009</v>
      </c>
      <c r="S15" s="2">
        <f>F15*($T$6+2)+(1-F15)*($T$6+2)</f>
        <v>7.5</v>
      </c>
      <c r="T15" s="2">
        <f>G15*($T$6+2)+(1-G15)*($T$6+2)</f>
        <v>7.5</v>
      </c>
      <c r="U15" s="2">
        <f>H15*($T$6+2)+(1-H15)*($T$6+2)</f>
        <v>7.5</v>
      </c>
      <c r="V15" s="2">
        <f>I15*($T$6+2)+(1-I15)*($T$6+2)</f>
        <v>7.5</v>
      </c>
      <c r="W15" s="2">
        <f>J15*($T$6+2)+(1-J15)*($T$6+2)</f>
        <v>7.5</v>
      </c>
      <c r="X15" s="2">
        <f>K15*($T$6+2)+(1-K15)*($T$6+2)</f>
        <v>7.5</v>
      </c>
      <c r="Y15" s="2">
        <f t="shared" si="1"/>
        <v>6.9379678428697549</v>
      </c>
      <c r="AB15" s="4">
        <v>0.9</v>
      </c>
      <c r="AC15" s="2">
        <f t="shared" si="2"/>
        <v>7.0107340616177947</v>
      </c>
      <c r="AD15" s="2">
        <f>C15*($AH$6+2)+(1-C15)*(7)</f>
        <v>7.0255993762860642</v>
      </c>
      <c r="AE15" s="2">
        <f>D15*($AH$6+2)+(1-D15)*(7)</f>
        <v>7.0585861692705292</v>
      </c>
      <c r="AF15" s="2">
        <f>E15*($AH$6+2)+(1-E15)*(7)</f>
        <v>7.1067823716799543</v>
      </c>
      <c r="AG15" s="2">
        <f>F15*($AH$6+2)+(1-F15)*(7)</f>
        <v>7.1580511183260498</v>
      </c>
      <c r="AH15" s="2">
        <f>G15*($AH$6+2)+(1-G15)*(7)</f>
        <v>7.2201536342445465</v>
      </c>
      <c r="AI15" s="2">
        <f>H15*($AH$6+2)+(1-H15)*(7)</f>
        <v>7.2862321406378205</v>
      </c>
      <c r="AJ15" s="2">
        <f>I15*($AH$6+2)+(1-I15)*(7)</f>
        <v>7.3475148442283089</v>
      </c>
      <c r="AK15" s="2">
        <f>J15*($AH$6+2)+(1-J15)*(7)</f>
        <v>7.3975191985459308</v>
      </c>
      <c r="AL15" s="2">
        <f>K15*($AH$6+2)+(1-K15)*(7)</f>
        <v>7.4342291338625497</v>
      </c>
      <c r="AM15" s="2">
        <f t="shared" si="3"/>
        <v>7.2045402048699545</v>
      </c>
      <c r="AP15" s="2">
        <f>(EXP(A15*Y15))/(EXP(A15*Y15)+EXP(A15*AM15))</f>
        <v>0.44030726675113102</v>
      </c>
      <c r="AQ15" s="9"/>
    </row>
    <row r="16" spans="1:43" x14ac:dyDescent="0.25">
      <c r="A16" s="4">
        <v>1</v>
      </c>
      <c r="B16" s="9">
        <v>1.39519717338344E-2</v>
      </c>
      <c r="C16" s="9">
        <v>3.7037475907668697E-2</v>
      </c>
      <c r="D16" s="9">
        <v>9.4654412762345499E-2</v>
      </c>
      <c r="E16" s="9">
        <v>0.18827148044206801</v>
      </c>
      <c r="F16" s="9">
        <v>0.29573842620644403</v>
      </c>
      <c r="G16" s="9">
        <v>0.43190869015031103</v>
      </c>
      <c r="H16" s="9">
        <v>0.57921178873636503</v>
      </c>
      <c r="I16" s="9">
        <v>0.71364330768213902</v>
      </c>
      <c r="J16" s="9">
        <v>0.81857929048572398</v>
      </c>
      <c r="K16" s="9">
        <v>0.89093797729597202</v>
      </c>
      <c r="N16" s="4">
        <v>1</v>
      </c>
      <c r="O16" s="2">
        <f>B16*($T$6+2)+(1-B16)*($T$6)</f>
        <v>5.5279039434676687</v>
      </c>
      <c r="P16" s="2">
        <f>C16*($T$6+2)+(1-C16)*($T$6)</f>
        <v>5.5740749518153372</v>
      </c>
      <c r="Q16" s="2">
        <f>D16*($T$6+2)+(1-D16)*($T$6)</f>
        <v>5.6893088255246909</v>
      </c>
      <c r="R16" s="2">
        <f t="shared" si="0"/>
        <v>7.5</v>
      </c>
      <c r="S16" s="2">
        <f>F16*($T$6+2)+(1-F16)*($T$6+2)</f>
        <v>7.5</v>
      </c>
      <c r="T16" s="2">
        <f>G16*($T$6+2)+(1-G16)*($T$6+2)</f>
        <v>7.5</v>
      </c>
      <c r="U16" s="2">
        <f>H16*($T$6+2)+(1-H16)*($T$6+2)</f>
        <v>7.5</v>
      </c>
      <c r="V16" s="2">
        <f>I16*($T$6+2)+(1-I16)*($T$6+2)</f>
        <v>7.5</v>
      </c>
      <c r="W16" s="2">
        <f>J16*($T$6+2)+(1-J16)*($T$6+2)</f>
        <v>7.5</v>
      </c>
      <c r="X16" s="2">
        <f>K16*($T$6+2)+(1-K16)*($T$6+2)</f>
        <v>7.5</v>
      </c>
      <c r="Y16" s="2">
        <f t="shared" si="1"/>
        <v>6.9291287720807704</v>
      </c>
      <c r="AB16" s="4">
        <v>1</v>
      </c>
      <c r="AC16" s="2">
        <f t="shared" si="2"/>
        <v>7.0069759858669167</v>
      </c>
      <c r="AD16" s="2">
        <f>C16*($AH$6+2)+(1-C16)*(7)</f>
        <v>7.0185187379538343</v>
      </c>
      <c r="AE16" s="2">
        <f>D16*($AH$6+2)+(1-D16)*(7)</f>
        <v>7.0473272063811727</v>
      </c>
      <c r="AF16" s="2">
        <f>E16*($AH$6+2)+(1-E16)*(7)</f>
        <v>7.0941357402210343</v>
      </c>
      <c r="AG16" s="2">
        <f>F16*($AH$6+2)+(1-F16)*(7)</f>
        <v>7.1478692131032222</v>
      </c>
      <c r="AH16" s="2">
        <f>G16*($AH$6+2)+(1-G16)*(7)</f>
        <v>7.2159543450751551</v>
      </c>
      <c r="AI16" s="2">
        <f>H16*($AH$6+2)+(1-H16)*(7)</f>
        <v>7.2896058943681821</v>
      </c>
      <c r="AJ16" s="2">
        <f>I16*($AH$6+2)+(1-I16)*(7)</f>
        <v>7.3568216538410702</v>
      </c>
      <c r="AK16" s="2">
        <f>J16*($AH$6+2)+(1-J16)*(7)</f>
        <v>7.409289645242862</v>
      </c>
      <c r="AL16" s="2">
        <f>K16*($AH$6+2)+(1-K16)*(7)</f>
        <v>7.4454689886479866</v>
      </c>
      <c r="AM16" s="2">
        <f t="shared" si="3"/>
        <v>7.2031967410701441</v>
      </c>
      <c r="AP16" s="2">
        <f>(EXP(A16*Y16))/(EXP(A16*Y16)+EXP(A16*AM16))</f>
        <v>0.43190868845212865</v>
      </c>
      <c r="AQ16" s="9"/>
    </row>
    <row r="17" spans="1:43" x14ac:dyDescent="0.25">
      <c r="A17" s="4">
        <v>1.1000000000000001</v>
      </c>
      <c r="B17" s="9">
        <v>9.0530887655242507E-3</v>
      </c>
      <c r="C17" s="9">
        <v>2.6712315832777001E-2</v>
      </c>
      <c r="D17" s="9">
        <v>7.6170380163699106E-2</v>
      </c>
      <c r="E17" s="9">
        <v>0.16547953026590201</v>
      </c>
      <c r="F17" s="9">
        <v>0.27629407638943998</v>
      </c>
      <c r="G17" s="9">
        <v>0.42364476818770502</v>
      </c>
      <c r="H17" s="9">
        <v>0.585953351354774</v>
      </c>
      <c r="I17" s="9">
        <v>0.73152075280291196</v>
      </c>
      <c r="J17" s="9">
        <v>0.83989437762891594</v>
      </c>
      <c r="K17" s="9">
        <v>0.90990969810511102</v>
      </c>
      <c r="N17" s="4">
        <v>1.1000000000000001</v>
      </c>
      <c r="O17" s="2">
        <f>B17*($T$6+2)+(1-B17)*($T$6)</f>
        <v>5.518106177531048</v>
      </c>
      <c r="P17" s="2">
        <f>C17*($T$6+2)+(1-C17)*($T$6)</f>
        <v>5.5534246316655542</v>
      </c>
      <c r="Q17" s="2">
        <f>D17*($T$6+2)+(1-D17)*($T$6)</f>
        <v>5.6523407603273981</v>
      </c>
      <c r="R17" s="2">
        <f t="shared" si="0"/>
        <v>7.5</v>
      </c>
      <c r="S17" s="2">
        <f>F17*($T$6+2)+(1-F17)*($T$6+2)</f>
        <v>7.5000000000000009</v>
      </c>
      <c r="T17" s="2">
        <f>G17*($T$6+2)+(1-G17)*($T$6+2)</f>
        <v>7.5</v>
      </c>
      <c r="U17" s="2">
        <f>H17*($T$6+2)+(1-H17)*($T$6+2)</f>
        <v>7.5</v>
      </c>
      <c r="V17" s="2">
        <f>I17*($T$6+2)+(1-I17)*($T$6+2)</f>
        <v>7.5</v>
      </c>
      <c r="W17" s="2">
        <f>J17*($T$6+2)+(1-J17)*($T$6+2)</f>
        <v>7.5</v>
      </c>
      <c r="X17" s="2">
        <f>K17*($T$6+2)+(1-K17)*($T$6+2)</f>
        <v>7.5</v>
      </c>
      <c r="Y17" s="2">
        <f t="shared" si="1"/>
        <v>6.9223871569523991</v>
      </c>
      <c r="AB17" s="4">
        <v>1.1000000000000001</v>
      </c>
      <c r="AC17" s="2">
        <f t="shared" si="2"/>
        <v>7.0045265443827622</v>
      </c>
      <c r="AD17" s="2">
        <f>C17*($AH$6+2)+(1-C17)*(7)</f>
        <v>7.0133561579163883</v>
      </c>
      <c r="AE17" s="2">
        <f>D17*($AH$6+2)+(1-D17)*(7)</f>
        <v>7.0380851900818495</v>
      </c>
      <c r="AF17" s="2">
        <f>E17*($AH$6+2)+(1-E17)*(7)</f>
        <v>7.0827397651329509</v>
      </c>
      <c r="AG17" s="2">
        <f>F17*($AH$6+2)+(1-F17)*(7)</f>
        <v>7.1381470381947203</v>
      </c>
      <c r="AH17" s="2">
        <f>G17*($AH$6+2)+(1-G17)*(7)</f>
        <v>7.2118223840938525</v>
      </c>
      <c r="AI17" s="2">
        <f>H17*($AH$6+2)+(1-H17)*(7)</f>
        <v>7.2929766756773873</v>
      </c>
      <c r="AJ17" s="2">
        <f>I17*($AH$6+2)+(1-I17)*(7)</f>
        <v>7.3657603764014565</v>
      </c>
      <c r="AK17" s="2">
        <f>J17*($AH$6+2)+(1-J17)*(7)</f>
        <v>7.4199471888144579</v>
      </c>
      <c r="AL17" s="2">
        <f>K17*($AH$6+2)+(1-K17)*(7)</f>
        <v>7.4549548490525561</v>
      </c>
      <c r="AM17" s="2">
        <f t="shared" si="3"/>
        <v>7.2022316169748368</v>
      </c>
      <c r="AP17" s="2">
        <f>(EXP(A17*Y17))/(EXP(A17*Y17)+EXP(A17*AM17))</f>
        <v>0.423644766546527</v>
      </c>
      <c r="AQ17" s="9"/>
    </row>
    <row r="18" spans="1:43" x14ac:dyDescent="0.25">
      <c r="A18" s="4">
        <v>1.2</v>
      </c>
      <c r="B18" s="9">
        <v>5.8706593498258804E-3</v>
      </c>
      <c r="C18" s="9">
        <v>1.9229358688517901E-2</v>
      </c>
      <c r="D18" s="9">
        <v>6.11170213715517E-2</v>
      </c>
      <c r="E18" s="9">
        <v>0.145076313607509</v>
      </c>
      <c r="F18" s="9">
        <v>0.25779591091098703</v>
      </c>
      <c r="G18" s="9">
        <v>0.41552778673519603</v>
      </c>
      <c r="H18" s="9">
        <v>0.59269955804536001</v>
      </c>
      <c r="I18" s="9">
        <v>0.748651431081514</v>
      </c>
      <c r="J18" s="9">
        <v>0.85908718840641296</v>
      </c>
      <c r="K18" s="9">
        <v>0.92580901704984597</v>
      </c>
      <c r="N18" s="4">
        <v>1.2</v>
      </c>
      <c r="O18" s="2">
        <f>B18*($T$6+2)+(1-B18)*($T$6)</f>
        <v>5.5117413186996513</v>
      </c>
      <c r="P18" s="2">
        <f>C18*($T$6+2)+(1-C18)*($T$6)</f>
        <v>5.5384587173770354</v>
      </c>
      <c r="Q18" s="2">
        <f>D18*($T$6+2)+(1-D18)*($T$6)</f>
        <v>5.622234042743103</v>
      </c>
      <c r="R18" s="2">
        <f t="shared" si="0"/>
        <v>7.5</v>
      </c>
      <c r="S18" s="2">
        <f>F18*($T$6+2)+(1-F18)*($T$6+2)</f>
        <v>7.5</v>
      </c>
      <c r="T18" s="2">
        <f>G18*($T$6+2)+(1-G18)*($T$6+2)</f>
        <v>7.5</v>
      </c>
      <c r="U18" s="2">
        <f>H18*($T$6+2)+(1-H18)*($T$6+2)</f>
        <v>7.5</v>
      </c>
      <c r="V18" s="2">
        <f>I18*($T$6+2)+(1-I18)*($T$6+2)</f>
        <v>7.5</v>
      </c>
      <c r="W18" s="2">
        <f>J18*($T$6+2)+(1-J18)*($T$6+2)</f>
        <v>7.5</v>
      </c>
      <c r="X18" s="2">
        <f>K18*($T$6+2)+(1-K18)*($T$6+2)</f>
        <v>7.5</v>
      </c>
      <c r="Y18" s="2">
        <f t="shared" si="1"/>
        <v>6.9172434078819789</v>
      </c>
      <c r="AB18" s="4">
        <v>1.2</v>
      </c>
      <c r="AC18" s="2">
        <f t="shared" si="2"/>
        <v>7.0029353296749131</v>
      </c>
      <c r="AD18" s="2">
        <f>C18*($AH$6+2)+(1-C18)*(7)</f>
        <v>7.0096146793442591</v>
      </c>
      <c r="AE18" s="2">
        <f>D18*($AH$6+2)+(1-D18)*(7)</f>
        <v>7.0305585106857755</v>
      </c>
      <c r="AF18" s="2">
        <f>E18*($AH$6+2)+(1-E18)*(7)</f>
        <v>7.0725381568037546</v>
      </c>
      <c r="AG18" s="2">
        <f>F18*($AH$6+2)+(1-F18)*(7)</f>
        <v>7.1288979554554937</v>
      </c>
      <c r="AH18" s="2">
        <f>G18*($AH$6+2)+(1-G18)*(7)</f>
        <v>7.2077638933675976</v>
      </c>
      <c r="AI18" s="2">
        <f>H18*($AH$6+2)+(1-H18)*(7)</f>
        <v>7.2963497790226794</v>
      </c>
      <c r="AJ18" s="2">
        <f>I18*($AH$6+2)+(1-I18)*(7)</f>
        <v>7.3743257155407571</v>
      </c>
      <c r="AK18" s="2">
        <f>J18*($AH$6+2)+(1-J18)*(7)</f>
        <v>7.4295435942032064</v>
      </c>
      <c r="AL18" s="2">
        <f>K18*($AH$6+2)+(1-K18)*(7)</f>
        <v>7.4629045085249235</v>
      </c>
      <c r="AM18" s="2">
        <f t="shared" si="3"/>
        <v>7.2015432122623366</v>
      </c>
      <c r="AP18" s="2">
        <f>(EXP(A18*Y18))/(EXP(A18*Y18)+EXP(A18*AM18))</f>
        <v>0.41552778375428878</v>
      </c>
      <c r="AQ18" s="9"/>
    </row>
    <row r="19" spans="1:43" x14ac:dyDescent="0.25">
      <c r="A19" s="4">
        <v>1.3</v>
      </c>
      <c r="B19" s="9">
        <v>3.8065940132316102E-3</v>
      </c>
      <c r="C19" s="9">
        <v>1.38270260799939E-2</v>
      </c>
      <c r="D19" s="9">
        <v>4.8929546577562398E-2</v>
      </c>
      <c r="E19" s="9">
        <v>0.126908010819895</v>
      </c>
      <c r="F19" s="9">
        <v>0.24024772534135699</v>
      </c>
      <c r="G19" s="9">
        <v>0.407559075739654</v>
      </c>
      <c r="H19" s="9">
        <v>0.59945416420663</v>
      </c>
      <c r="I19" s="9">
        <v>0.76502832521563202</v>
      </c>
      <c r="J19" s="9">
        <v>0.87628430773243904</v>
      </c>
      <c r="K19" s="9">
        <v>0.93905836527226305</v>
      </c>
      <c r="N19" s="4">
        <v>1.3</v>
      </c>
      <c r="O19" s="2">
        <f>B19*($T$6+2)+(1-B19)*($T$6)</f>
        <v>5.5076131880264638</v>
      </c>
      <c r="P19" s="2">
        <f>C19*($T$6+2)+(1-C19)*($T$6)</f>
        <v>5.5276540521599875</v>
      </c>
      <c r="Q19" s="2">
        <f>D19*($T$6+2)+(1-D19)*($T$6)</f>
        <v>5.5978590931551242</v>
      </c>
      <c r="R19" s="2">
        <f t="shared" si="0"/>
        <v>7.5</v>
      </c>
      <c r="S19" s="2">
        <f>F19*($T$6+2)+(1-F19)*($T$6+2)</f>
        <v>7.5</v>
      </c>
      <c r="T19" s="2">
        <f>G19*($T$6+2)+(1-G19)*($T$6+2)</f>
        <v>7.5</v>
      </c>
      <c r="U19" s="2">
        <f>H19*($T$6+2)+(1-H19)*($T$6+2)</f>
        <v>7.5</v>
      </c>
      <c r="V19" s="2">
        <f>I19*($T$6+2)+(1-I19)*($T$6+2)</f>
        <v>7.5</v>
      </c>
      <c r="W19" s="2">
        <f>J19*($T$6+2)+(1-J19)*($T$6+2)</f>
        <v>7.5</v>
      </c>
      <c r="X19" s="2">
        <f>K19*($T$6+2)+(1-K19)*($T$6+2)</f>
        <v>7.5</v>
      </c>
      <c r="Y19" s="2">
        <f t="shared" si="1"/>
        <v>6.9133126333341579</v>
      </c>
      <c r="AB19" s="4">
        <v>1.3</v>
      </c>
      <c r="AC19" s="2">
        <f t="shared" si="2"/>
        <v>7.0019032970066162</v>
      </c>
      <c r="AD19" s="2">
        <f>C19*($AH$6+2)+(1-C19)*(7)</f>
        <v>7.0069135130399971</v>
      </c>
      <c r="AE19" s="2">
        <f>D19*($AH$6+2)+(1-D19)*(7)</f>
        <v>7.0244647732887806</v>
      </c>
      <c r="AF19" s="2">
        <f>E19*($AH$6+2)+(1-E19)*(7)</f>
        <v>7.0634540054099473</v>
      </c>
      <c r="AG19" s="2">
        <f>F19*($AH$6+2)+(1-F19)*(7)</f>
        <v>7.1201238626706784</v>
      </c>
      <c r="AH19" s="2">
        <f>G19*($AH$6+2)+(1-G19)*(7)</f>
        <v>7.2037795378698268</v>
      </c>
      <c r="AI19" s="2">
        <f>H19*($AH$6+2)+(1-H19)*(7)</f>
        <v>7.2997270821033151</v>
      </c>
      <c r="AJ19" s="2">
        <f>I19*($AH$6+2)+(1-I19)*(7)</f>
        <v>7.3825141626078166</v>
      </c>
      <c r="AK19" s="2">
        <f>J19*($AH$6+2)+(1-J19)*(7)</f>
        <v>7.4381421538662194</v>
      </c>
      <c r="AL19" s="2">
        <f>K19*($AH$6+2)+(1-K19)*(7)</f>
        <v>7.4695291826361316</v>
      </c>
      <c r="AM19" s="2">
        <f t="shared" si="3"/>
        <v>7.2010551570499342</v>
      </c>
      <c r="AP19" s="2">
        <f>(EXP(A19*Y19))/(EXP(A19*Y19)+EXP(A19*AM19))</f>
        <v>0.40755907284321946</v>
      </c>
      <c r="AQ19" s="9"/>
    </row>
    <row r="20" spans="1:43" x14ac:dyDescent="0.25">
      <c r="A20" s="4">
        <v>1.4</v>
      </c>
      <c r="B20" s="9">
        <v>2.46869387146212E-3</v>
      </c>
      <c r="C20" s="9">
        <v>9.9361042901433601E-3</v>
      </c>
      <c r="D20" s="9">
        <v>3.9105763167726099E-2</v>
      </c>
      <c r="E20" s="9">
        <v>0.11080051968921199</v>
      </c>
      <c r="F20" s="9">
        <v>0.223639534718203</v>
      </c>
      <c r="G20" s="9">
        <v>0.399734218610028</v>
      </c>
      <c r="H20" s="9">
        <v>0.606216540676214</v>
      </c>
      <c r="I20" s="9">
        <v>0.78064769681665003</v>
      </c>
      <c r="J20" s="9">
        <v>0.89162551812014301</v>
      </c>
      <c r="K20" s="9">
        <v>0.95004858554701199</v>
      </c>
      <c r="N20" s="4">
        <v>1.4</v>
      </c>
      <c r="O20" s="2">
        <f>B20*($T$6+2)+(1-B20)*($T$6)</f>
        <v>5.504937387742924</v>
      </c>
      <c r="P20" s="2">
        <f>C20*($T$6+2)+(1-C20)*($T$6)</f>
        <v>5.5198722085802876</v>
      </c>
      <c r="Q20" s="2">
        <f>D20*($T$6+2)+(1-D20)*($T$6)</f>
        <v>5.5782115263354521</v>
      </c>
      <c r="R20" s="2">
        <f t="shared" si="0"/>
        <v>7.5</v>
      </c>
      <c r="S20" s="2">
        <f>F20*($T$6+2)+(1-F20)*($T$6+2)</f>
        <v>7.5</v>
      </c>
      <c r="T20" s="2">
        <f>G20*($T$6+2)+(1-G20)*($T$6+2)</f>
        <v>7.5</v>
      </c>
      <c r="U20" s="2">
        <f>H20*($T$6+2)+(1-H20)*($T$6+2)</f>
        <v>7.5</v>
      </c>
      <c r="V20" s="2">
        <f>I20*($T$6+2)+(1-I20)*($T$6+2)</f>
        <v>7.5</v>
      </c>
      <c r="W20" s="2">
        <f>J20*($T$6+2)+(1-J20)*($T$6+2)</f>
        <v>7.5</v>
      </c>
      <c r="X20" s="2">
        <f>K20*($T$6+2)+(1-K20)*($T$6+2)</f>
        <v>7.5</v>
      </c>
      <c r="Y20" s="2">
        <f t="shared" si="1"/>
        <v>6.9103021122658657</v>
      </c>
      <c r="AB20" s="4">
        <v>1.4</v>
      </c>
      <c r="AC20" s="2">
        <f t="shared" si="2"/>
        <v>7.001234346935731</v>
      </c>
      <c r="AD20" s="2">
        <f>C20*($AH$6+2)+(1-C20)*(7)</f>
        <v>7.0049680521450721</v>
      </c>
      <c r="AE20" s="2">
        <f>D20*($AH$6+2)+(1-D20)*(7)</f>
        <v>7.0195528815838628</v>
      </c>
      <c r="AF20" s="2">
        <f>E20*($AH$6+2)+(1-E20)*(7)</f>
        <v>7.0554002598446059</v>
      </c>
      <c r="AG20" s="2">
        <f>F20*($AH$6+2)+(1-F20)*(7)</f>
        <v>7.1118197673591013</v>
      </c>
      <c r="AH20" s="2">
        <f>G20*($AH$6+2)+(1-G20)*(7)</f>
        <v>7.1998671093050142</v>
      </c>
      <c r="AI20" s="2">
        <f>H20*($AH$6+2)+(1-H20)*(7)</f>
        <v>7.3031082703381065</v>
      </c>
      <c r="AJ20" s="2">
        <f>I20*($AH$6+2)+(1-I20)*(7)</f>
        <v>7.3903238484083245</v>
      </c>
      <c r="AK20" s="2">
        <f>J20*($AH$6+2)+(1-J20)*(7)</f>
        <v>7.4458127590600709</v>
      </c>
      <c r="AL20" s="2">
        <f>K20*($AH$6+2)+(1-K20)*(7)</f>
        <v>7.4750242927735062</v>
      </c>
      <c r="AM20" s="2">
        <f t="shared" si="3"/>
        <v>7.2007111587753396</v>
      </c>
      <c r="AP20" s="2">
        <f>(EXP(A20*Y20))/(EXP(A20*Y20)+EXP(A20*AM20))</f>
        <v>0.3997342157830629</v>
      </c>
      <c r="AQ20" s="9"/>
    </row>
    <row r="21" spans="1:43" x14ac:dyDescent="0.25">
      <c r="A21" s="4">
        <v>1.5</v>
      </c>
      <c r="B21" s="9">
        <v>1.60153082787501E-3</v>
      </c>
      <c r="C21" s="9">
        <v>7.1377612122202E-3</v>
      </c>
      <c r="D21" s="9">
        <v>3.1213523067795301E-2</v>
      </c>
      <c r="E21" s="9">
        <v>9.6572822815072998E-2</v>
      </c>
      <c r="F21" s="9">
        <v>0.207952972933511</v>
      </c>
      <c r="G21" s="9">
        <v>0.39204613686696799</v>
      </c>
      <c r="H21" s="9">
        <v>0.61298330556672198</v>
      </c>
      <c r="I21" s="9">
        <v>0.79550916478459699</v>
      </c>
      <c r="J21" s="9">
        <v>0.90525679652478896</v>
      </c>
      <c r="K21" s="9">
        <v>0.95913029607573097</v>
      </c>
      <c r="N21" s="4">
        <v>1.5</v>
      </c>
      <c r="O21" s="2">
        <f>B21*($T$6+2)+(1-B21)*($T$6)</f>
        <v>5.503203061655749</v>
      </c>
      <c r="P21" s="2">
        <f>C21*($T$6+2)+(1-C21)*($T$6)</f>
        <v>5.5142755224244402</v>
      </c>
      <c r="Q21" s="2">
        <f>D21*($T$6+2)+(1-D21)*($T$6)</f>
        <v>5.56242704613559</v>
      </c>
      <c r="R21" s="2">
        <f t="shared" si="0"/>
        <v>7.5</v>
      </c>
      <c r="S21" s="2">
        <f>F21*($T$6+2)+(1-F21)*($T$6+2)</f>
        <v>7.5</v>
      </c>
      <c r="T21" s="2">
        <f>G21*($T$6+2)+(1-G21)*($T$6+2)</f>
        <v>7.5</v>
      </c>
      <c r="U21" s="2">
        <f>H21*($T$6+2)+(1-H21)*($T$6+2)</f>
        <v>7.5</v>
      </c>
      <c r="V21" s="2">
        <f>I21*($T$6+2)+(1-I21)*($T$6+2)</f>
        <v>7.5</v>
      </c>
      <c r="W21" s="2">
        <f>J21*($T$6+2)+(1-J21)*($T$6+2)</f>
        <v>7.5</v>
      </c>
      <c r="X21" s="2">
        <f>K21*($T$6+2)+(1-K21)*($T$6+2)</f>
        <v>7.5</v>
      </c>
      <c r="Y21" s="2">
        <f t="shared" si="1"/>
        <v>6.9079905630215777</v>
      </c>
      <c r="AB21" s="4">
        <v>1.5</v>
      </c>
      <c r="AC21" s="2">
        <f t="shared" si="2"/>
        <v>7.0008007654139366</v>
      </c>
      <c r="AD21" s="2">
        <f>C21*($AH$6+2)+(1-C21)*(7)</f>
        <v>7.0035688806061103</v>
      </c>
      <c r="AE21" s="2">
        <f>D21*($AH$6+2)+(1-D21)*(7)</f>
        <v>7.0156067615338973</v>
      </c>
      <c r="AF21" s="2">
        <f>E21*($AH$6+2)+(1-E21)*(7)</f>
        <v>7.0482864114075365</v>
      </c>
      <c r="AG21" s="2">
        <f>F21*($AH$6+2)+(1-F21)*(7)</f>
        <v>7.1039764864667561</v>
      </c>
      <c r="AH21" s="2">
        <f>G21*($AH$6+2)+(1-G21)*(7)</f>
        <v>7.196023068433484</v>
      </c>
      <c r="AI21" s="2">
        <f>H21*($AH$6+2)+(1-H21)*(7)</f>
        <v>7.306491652783361</v>
      </c>
      <c r="AJ21" s="2">
        <f>I21*($AH$6+2)+(1-I21)*(7)</f>
        <v>7.3977545823922988</v>
      </c>
      <c r="AK21" s="2">
        <f>J21*($AH$6+2)+(1-J21)*(7)</f>
        <v>7.4526283982623944</v>
      </c>
      <c r="AL21" s="2">
        <f>K21*($AH$6+2)+(1-K21)*(7)</f>
        <v>7.4795651480378655</v>
      </c>
      <c r="AM21" s="2">
        <f t="shared" si="3"/>
        <v>7.2004702155337625</v>
      </c>
      <c r="AP21" s="2">
        <f>(EXP(A21*Y21))/(EXP(A21*Y21)+EXP(A21*AM21))</f>
        <v>0.39204613409255468</v>
      </c>
      <c r="AQ21" s="9"/>
    </row>
    <row r="22" spans="1:43" x14ac:dyDescent="0.25">
      <c r="A22" s="4">
        <v>1.6</v>
      </c>
      <c r="B22" s="9">
        <v>1.0393450445644701E-3</v>
      </c>
      <c r="C22" s="9">
        <v>5.1268439066653798E-3</v>
      </c>
      <c r="D22" s="9">
        <v>2.4889007255687299E-2</v>
      </c>
      <c r="E22" s="9">
        <v>8.4045421395168102E-2</v>
      </c>
      <c r="F22" s="9">
        <v>0.19316444364291599</v>
      </c>
      <c r="G22" s="9">
        <v>0.38448687289649902</v>
      </c>
      <c r="H22" s="9">
        <v>0.61974941567166497</v>
      </c>
      <c r="I22" s="9">
        <v>0.80961587196575502</v>
      </c>
      <c r="J22" s="9">
        <v>0.91732522458566002</v>
      </c>
      <c r="K22" s="9">
        <v>0.96661129922719402</v>
      </c>
      <c r="N22" s="4">
        <v>1.6</v>
      </c>
      <c r="O22" s="2">
        <f t="shared" ref="O22:O26" si="4">B22*($T$6+2)+(1-B22)*($T$6)</f>
        <v>5.502078690089129</v>
      </c>
      <c r="P22" s="2">
        <f t="shared" ref="P22:P26" si="5">C22*($T$6+2)+(1-C22)*($T$6)</f>
        <v>5.5102536878133304</v>
      </c>
      <c r="Q22" s="2">
        <f t="shared" ref="Q22:Q26" si="6">D22*($T$6+2)+(1-D22)*($T$6)</f>
        <v>5.5497780145113742</v>
      </c>
      <c r="R22" s="2">
        <f t="shared" ref="R22:R26" si="7">E22*($T$6+2)+(1-E22)*($T$6+2)</f>
        <v>7.4999999999999991</v>
      </c>
      <c r="S22" s="2">
        <f t="shared" ref="S22:S26" si="8">F22*($T$6+2)+(1-F22)*($T$6+2)</f>
        <v>7.5</v>
      </c>
      <c r="T22" s="2">
        <f t="shared" ref="T22:T26" si="9">G22*($T$6+2)+(1-G22)*($T$6+2)</f>
        <v>7.5</v>
      </c>
      <c r="U22" s="2">
        <f t="shared" ref="U22:U26" si="10">H22*($T$6+2)+(1-H22)*($T$6+2)</f>
        <v>7.5</v>
      </c>
      <c r="V22" s="2">
        <f t="shared" ref="V22:V26" si="11">I22*($T$6+2)+(1-I22)*($T$6+2)</f>
        <v>7.5</v>
      </c>
      <c r="W22" s="2">
        <f t="shared" ref="W22:W26" si="12">J22*($T$6+2)+(1-J22)*($T$6+2)</f>
        <v>7.5</v>
      </c>
      <c r="X22" s="2">
        <f t="shared" ref="X22:X26" si="13">K22*($T$6+2)+(1-K22)*($T$6+2)</f>
        <v>7.5</v>
      </c>
      <c r="Y22" s="2">
        <f t="shared" ref="Y22:Y26" si="14">SUM(O22:X22)/10</f>
        <v>6.9062110392413842</v>
      </c>
      <c r="AB22" s="4">
        <v>1.6</v>
      </c>
      <c r="AC22" s="2">
        <f t="shared" ref="AC22:AC26" si="15">B22*($AH$6+2)+(1-B22)*(7)</f>
        <v>7.000519672522282</v>
      </c>
      <c r="AD22" s="2">
        <f>C22*($AH$6+2)+(1-C22)*(7)</f>
        <v>7.0025634219533321</v>
      </c>
      <c r="AE22" s="2">
        <f>D22*($AH$6+2)+(1-D22)*(7)</f>
        <v>7.0124445036278438</v>
      </c>
      <c r="AF22" s="2">
        <f>E22*($AH$6+2)+(1-E22)*(7)</f>
        <v>7.0420227106975837</v>
      </c>
      <c r="AG22" s="2">
        <f>F22*($AH$6+2)+(1-F22)*(7)</f>
        <v>7.0965822218214578</v>
      </c>
      <c r="AH22" s="2">
        <f>G22*($AH$6+2)+(1-G22)*(7)</f>
        <v>7.1922434364482495</v>
      </c>
      <c r="AI22" s="2">
        <f>H22*($AH$6+2)+(1-H22)*(7)</f>
        <v>7.3098747078358324</v>
      </c>
      <c r="AJ22" s="2">
        <f>I22*($AH$6+2)+(1-I22)*(7)</f>
        <v>7.4048079359828769</v>
      </c>
      <c r="AK22" s="2">
        <f>J22*($AH$6+2)+(1-J22)*(7)</f>
        <v>7.4586626122928301</v>
      </c>
      <c r="AL22" s="2">
        <f>K22*($AH$6+2)+(1-K22)*(7)</f>
        <v>7.4833056496135963</v>
      </c>
      <c r="AM22" s="2">
        <f t="shared" ref="AM22:AM26" si="16">SUM(AC22:AL22)/10</f>
        <v>7.2003026872795886</v>
      </c>
      <c r="AP22" s="2">
        <f>(EXP(A22*Y22))/(EXP(A22*Y22)+EXP(A22*AM22))</f>
        <v>0.38448687015806149</v>
      </c>
    </row>
    <row r="23" spans="1:43" x14ac:dyDescent="0.25">
      <c r="A23" s="4">
        <v>1.7</v>
      </c>
      <c r="B23" s="9">
        <v>6.7474406533403204E-4</v>
      </c>
      <c r="C23" s="9">
        <v>3.6823951402507899E-3</v>
      </c>
      <c r="D23" s="9">
        <v>1.9830530380222901E-2</v>
      </c>
      <c r="E23" s="9">
        <v>7.3045553787182999E-2</v>
      </c>
      <c r="F23" s="9">
        <v>0.179246946344054</v>
      </c>
      <c r="G23" s="9">
        <v>0.37704857711728401</v>
      </c>
      <c r="H23" s="9">
        <v>0.62650890133437998</v>
      </c>
      <c r="I23" s="9">
        <v>0.82297460282653001</v>
      </c>
      <c r="J23" s="9">
        <v>0.92797526328486302</v>
      </c>
      <c r="K23" s="9">
        <v>0.97275755817462595</v>
      </c>
      <c r="N23" s="4">
        <v>1.7</v>
      </c>
      <c r="O23" s="2">
        <f t="shared" si="4"/>
        <v>5.5013494881306686</v>
      </c>
      <c r="P23" s="2">
        <f t="shared" si="5"/>
        <v>5.5073647902805014</v>
      </c>
      <c r="Q23" s="2">
        <f t="shared" si="6"/>
        <v>5.5396610607604462</v>
      </c>
      <c r="R23" s="2">
        <f t="shared" si="7"/>
        <v>7.5</v>
      </c>
      <c r="S23" s="2">
        <f t="shared" si="8"/>
        <v>7.5</v>
      </c>
      <c r="T23" s="2">
        <f t="shared" si="9"/>
        <v>7.5</v>
      </c>
      <c r="U23" s="2">
        <f t="shared" si="10"/>
        <v>7.5</v>
      </c>
      <c r="V23" s="2">
        <f t="shared" si="11"/>
        <v>7.5</v>
      </c>
      <c r="W23" s="2">
        <f t="shared" si="12"/>
        <v>7.5</v>
      </c>
      <c r="X23" s="2">
        <f t="shared" si="13"/>
        <v>7.5</v>
      </c>
      <c r="Y23" s="2">
        <f t="shared" si="14"/>
        <v>6.9048375339171617</v>
      </c>
      <c r="AB23" s="4">
        <v>1.7</v>
      </c>
      <c r="AC23" s="2">
        <f t="shared" si="15"/>
        <v>7.0003373720326669</v>
      </c>
      <c r="AD23" s="2">
        <f>C23*($AH$6+2)+(1-C23)*(7)</f>
        <v>7.0018411975701254</v>
      </c>
      <c r="AE23" s="2">
        <f>D23*($AH$6+2)+(1-D23)*(7)</f>
        <v>7.009915265190112</v>
      </c>
      <c r="AF23" s="2">
        <f>E23*($AH$6+2)+(1-E23)*(7)</f>
        <v>7.036522776893591</v>
      </c>
      <c r="AG23" s="2">
        <f>F23*($AH$6+2)+(1-F23)*(7)</f>
        <v>7.0896234731720265</v>
      </c>
      <c r="AH23" s="2">
        <f>G23*($AH$6+2)+(1-G23)*(7)</f>
        <v>7.188524288558642</v>
      </c>
      <c r="AI23" s="2">
        <f>H23*($AH$6+2)+(1-H23)*(7)</f>
        <v>7.3132544506671895</v>
      </c>
      <c r="AJ23" s="2">
        <f>I23*($AH$6+2)+(1-I23)*(7)</f>
        <v>7.4114873014132652</v>
      </c>
      <c r="AK23" s="2">
        <f>J23*($AH$6+2)+(1-J23)*(7)</f>
        <v>7.4639876316424321</v>
      </c>
      <c r="AL23" s="2">
        <f>K23*($AH$6+2)+(1-K23)*(7)</f>
        <v>7.4863787790873131</v>
      </c>
      <c r="AM23" s="2">
        <f t="shared" si="16"/>
        <v>7.2001872536227367</v>
      </c>
      <c r="AP23" s="2">
        <f>(EXP(A23*Y23))/(EXP(A23*Y23)+EXP(A23*AM23))</f>
        <v>0.37704857439961187</v>
      </c>
    </row>
    <row r="24" spans="1:43" x14ac:dyDescent="0.25">
      <c r="A24" s="4">
        <v>1.8</v>
      </c>
      <c r="B24" s="9">
        <v>4.3818890969195902E-4</v>
      </c>
      <c r="C24" s="9">
        <v>2.64503341808381E-3</v>
      </c>
      <c r="D24" s="9">
        <v>1.5790610331535799E-2</v>
      </c>
      <c r="E24" s="9">
        <v>6.3410313898579596E-2</v>
      </c>
      <c r="F24" s="9">
        <v>0.16617115426564799</v>
      </c>
      <c r="G24" s="9">
        <v>0.36972402105076801</v>
      </c>
      <c r="H24" s="9">
        <v>0.63325536212274303</v>
      </c>
      <c r="I24" s="9">
        <v>0.83559578532518397</v>
      </c>
      <c r="J24" s="9">
        <v>0.93734604808306898</v>
      </c>
      <c r="K24" s="9">
        <v>0.97779613153335398</v>
      </c>
      <c r="N24" s="4">
        <v>1.8</v>
      </c>
      <c r="O24" s="2">
        <f t="shared" si="4"/>
        <v>5.5008763778193837</v>
      </c>
      <c r="P24" s="2">
        <f t="shared" si="5"/>
        <v>5.5052900668361673</v>
      </c>
      <c r="Q24" s="2">
        <f t="shared" si="6"/>
        <v>5.531581220663071</v>
      </c>
      <c r="R24" s="2">
        <f t="shared" si="7"/>
        <v>7.5</v>
      </c>
      <c r="S24" s="2">
        <f t="shared" si="8"/>
        <v>7.5</v>
      </c>
      <c r="T24" s="2">
        <f t="shared" si="9"/>
        <v>7.5</v>
      </c>
      <c r="U24" s="2">
        <f t="shared" si="10"/>
        <v>7.5</v>
      </c>
      <c r="V24" s="2">
        <f t="shared" si="11"/>
        <v>7.5</v>
      </c>
      <c r="W24" s="2">
        <f t="shared" si="12"/>
        <v>7.5</v>
      </c>
      <c r="X24" s="2">
        <f t="shared" si="13"/>
        <v>7.5</v>
      </c>
      <c r="Y24" s="2">
        <f t="shared" si="14"/>
        <v>6.9037747665318623</v>
      </c>
      <c r="AB24" s="4">
        <v>1.8</v>
      </c>
      <c r="AC24" s="2">
        <f t="shared" si="15"/>
        <v>7.0002190944548461</v>
      </c>
      <c r="AD24" s="2">
        <f>C24*($AH$6+2)+(1-C24)*(7)</f>
        <v>7.0013225167090409</v>
      </c>
      <c r="AE24" s="2">
        <f>D24*($AH$6+2)+(1-D24)*(7)</f>
        <v>7.0078953051657669</v>
      </c>
      <c r="AF24" s="2">
        <f>E24*($AH$6+2)+(1-E24)*(7)</f>
        <v>7.0317051569492897</v>
      </c>
      <c r="AG24" s="2">
        <f>F24*($AH$6+2)+(1-F24)*(7)</f>
        <v>7.0830855771328238</v>
      </c>
      <c r="AH24" s="2">
        <f>G24*($AH$6+2)+(1-G24)*(7)</f>
        <v>7.184862010525384</v>
      </c>
      <c r="AI24" s="2">
        <f>H24*($AH$6+2)+(1-H24)*(7)</f>
        <v>7.3166276810613713</v>
      </c>
      <c r="AJ24" s="2">
        <f>I24*($AH$6+2)+(1-I24)*(7)</f>
        <v>7.417797892662592</v>
      </c>
      <c r="AK24" s="2">
        <f>J24*($AH$6+2)+(1-J24)*(7)</f>
        <v>7.468673024041534</v>
      </c>
      <c r="AL24" s="2">
        <f>K24*($AH$6+2)+(1-K24)*(7)</f>
        <v>7.4888980657666764</v>
      </c>
      <c r="AM24" s="2">
        <f t="shared" si="16"/>
        <v>7.2001086324469323</v>
      </c>
      <c r="AP24" s="2">
        <f>(EXP(A24*Y24))/(EXP(A24*Y24)+EXP(A24*AM24))</f>
        <v>0.36972401834039648</v>
      </c>
    </row>
    <row r="25" spans="1:43" x14ac:dyDescent="0.25">
      <c r="A25" s="4">
        <v>1.9</v>
      </c>
      <c r="B25" s="9">
        <v>2.8464942987861197E-4</v>
      </c>
      <c r="C25" s="9">
        <v>1.90005818056503E-3</v>
      </c>
      <c r="D25" s="9">
        <v>1.2567809113447501E-2</v>
      </c>
      <c r="E25" s="9">
        <v>5.4988378541448002E-2</v>
      </c>
      <c r="F25" s="9">
        <v>0.15390608258295699</v>
      </c>
      <c r="G25" s="9">
        <v>0.362506831235338</v>
      </c>
      <c r="H25" s="9">
        <v>0.63998229938184503</v>
      </c>
      <c r="I25" s="9">
        <v>0.84749336175372403</v>
      </c>
      <c r="J25" s="9">
        <v>0.94556948491936499</v>
      </c>
      <c r="K25" s="9">
        <v>0.98191905022872605</v>
      </c>
      <c r="N25" s="4">
        <v>1.9</v>
      </c>
      <c r="O25" s="2">
        <f t="shared" si="4"/>
        <v>5.5005692988597579</v>
      </c>
      <c r="P25" s="2">
        <f t="shared" si="5"/>
        <v>5.5038001163611296</v>
      </c>
      <c r="Q25" s="2">
        <f t="shared" si="6"/>
        <v>5.5251356182268951</v>
      </c>
      <c r="R25" s="2">
        <f t="shared" si="7"/>
        <v>7.5</v>
      </c>
      <c r="S25" s="2">
        <f t="shared" si="8"/>
        <v>7.5</v>
      </c>
      <c r="T25" s="2">
        <f t="shared" si="9"/>
        <v>7.5</v>
      </c>
      <c r="U25" s="2">
        <f t="shared" si="10"/>
        <v>7.5</v>
      </c>
      <c r="V25" s="2">
        <f t="shared" si="11"/>
        <v>7.5</v>
      </c>
      <c r="W25" s="2">
        <f t="shared" si="12"/>
        <v>7.5</v>
      </c>
      <c r="X25" s="2">
        <f t="shared" si="13"/>
        <v>7.5</v>
      </c>
      <c r="Y25" s="2">
        <f t="shared" si="14"/>
        <v>6.902950503344778</v>
      </c>
      <c r="AB25" s="4">
        <v>1.9</v>
      </c>
      <c r="AC25" s="2">
        <f t="shared" si="15"/>
        <v>7.0001423247149397</v>
      </c>
      <c r="AD25" s="2">
        <f>C25*($AH$6+2)+(1-C25)*(7)</f>
        <v>7.0009500290902826</v>
      </c>
      <c r="AE25" s="2">
        <f>D25*($AH$6+2)+(1-D25)*(7)</f>
        <v>7.0062839045567236</v>
      </c>
      <c r="AF25" s="2">
        <f>E25*($AH$6+2)+(1-E25)*(7)</f>
        <v>7.0274941892707234</v>
      </c>
      <c r="AG25" s="2">
        <f>F25*($AH$6+2)+(1-F25)*(7)</f>
        <v>7.0769530412914783</v>
      </c>
      <c r="AH25" s="2">
        <f>G25*($AH$6+2)+(1-G25)*(7)</f>
        <v>7.1812534156176691</v>
      </c>
      <c r="AI25" s="2">
        <f>H25*($AH$6+2)+(1-H25)*(7)</f>
        <v>7.3199911496909227</v>
      </c>
      <c r="AJ25" s="2">
        <f>I25*($AH$6+2)+(1-I25)*(7)</f>
        <v>7.423746680876862</v>
      </c>
      <c r="AK25" s="2">
        <f>J25*($AH$6+2)+(1-J25)*(7)</f>
        <v>7.4727847424596829</v>
      </c>
      <c r="AL25" s="2">
        <f>K25*($AH$6+2)+(1-K25)*(7)</f>
        <v>7.4909595251143628</v>
      </c>
      <c r="AM25" s="2">
        <f t="shared" si="16"/>
        <v>7.2000559002683646</v>
      </c>
      <c r="AP25" s="2">
        <f>(EXP(A25*Y25))/(EXP(A25*Y25)+EXP(A25*AM25))</f>
        <v>0.3625068285206044</v>
      </c>
    </row>
    <row r="26" spans="1:43" x14ac:dyDescent="0.25">
      <c r="A26" s="4">
        <v>2</v>
      </c>
      <c r="B26" s="9">
        <v>1.84955997321038E-4</v>
      </c>
      <c r="C26" s="9">
        <v>1.36503421643009E-3</v>
      </c>
      <c r="D26" s="9">
        <v>9.9991064513665906E-3</v>
      </c>
      <c r="E26" s="9">
        <v>4.7640801949604801E-2</v>
      </c>
      <c r="F26" s="9">
        <v>0.142419540432555</v>
      </c>
      <c r="G26" s="9">
        <v>0.35539156178601999</v>
      </c>
      <c r="H26" s="9">
        <v>0.64668333587505999</v>
      </c>
      <c r="I26" s="9">
        <v>0.85868454108047898</v>
      </c>
      <c r="J26" s="9">
        <v>0.95276899112231095</v>
      </c>
      <c r="K26" s="9">
        <v>0.98528751029329498</v>
      </c>
      <c r="N26" s="4">
        <v>2</v>
      </c>
      <c r="O26" s="2">
        <f t="shared" si="4"/>
        <v>5.5003699119946416</v>
      </c>
      <c r="P26" s="2">
        <f t="shared" si="5"/>
        <v>5.5027300684328599</v>
      </c>
      <c r="Q26" s="2">
        <f t="shared" si="6"/>
        <v>5.519998212902733</v>
      </c>
      <c r="R26" s="2">
        <f t="shared" si="7"/>
        <v>7.5</v>
      </c>
      <c r="S26" s="2">
        <f t="shared" si="8"/>
        <v>7.5</v>
      </c>
      <c r="T26" s="2">
        <f t="shared" si="9"/>
        <v>7.5</v>
      </c>
      <c r="U26" s="2">
        <f t="shared" si="10"/>
        <v>7.5</v>
      </c>
      <c r="V26" s="2">
        <f t="shared" si="11"/>
        <v>7.5</v>
      </c>
      <c r="W26" s="2">
        <f t="shared" si="12"/>
        <v>7.5</v>
      </c>
      <c r="X26" s="2">
        <f t="shared" si="13"/>
        <v>7.5</v>
      </c>
      <c r="Y26" s="2">
        <f t="shared" si="14"/>
        <v>6.9023098193330243</v>
      </c>
      <c r="AB26" s="4">
        <v>2</v>
      </c>
      <c r="AC26" s="2">
        <f t="shared" si="15"/>
        <v>7.0000924779986606</v>
      </c>
      <c r="AD26" s="2">
        <f>C26*($AH$6+2)+(1-C26)*(7)</f>
        <v>7.0006825171082152</v>
      </c>
      <c r="AE26" s="2">
        <f>D26*($AH$6+2)+(1-D26)*(7)</f>
        <v>7.0049995532256828</v>
      </c>
      <c r="AF26" s="2">
        <f>E26*($AH$6+2)+(1-E26)*(7)</f>
        <v>7.0238204009748024</v>
      </c>
      <c r="AG26" s="2">
        <f>F26*($AH$6+2)+(1-F26)*(7)</f>
        <v>7.0712097702162779</v>
      </c>
      <c r="AH26" s="2">
        <f>G26*($AH$6+2)+(1-G26)*(7)</f>
        <v>7.1776957808930097</v>
      </c>
      <c r="AI26" s="2">
        <f>H26*($AH$6+2)+(1-H26)*(7)</f>
        <v>7.3233416679375303</v>
      </c>
      <c r="AJ26" s="2">
        <f>I26*($AH$6+2)+(1-I26)*(7)</f>
        <v>7.4293422705402401</v>
      </c>
      <c r="AK26" s="2">
        <f>J26*($AH$6+2)+(1-J26)*(7)</f>
        <v>7.476384495561156</v>
      </c>
      <c r="AL26" s="2">
        <f>K26*($AH$6+2)+(1-K26)*(7)</f>
        <v>7.4926437551466476</v>
      </c>
      <c r="AM26" s="2">
        <f t="shared" si="16"/>
        <v>7.2000212689602225</v>
      </c>
      <c r="AP26" s="2">
        <f>(EXP(A26*Y26))/(EXP(A26*Y26)+EXP(A26*AM26))</f>
        <v>0.35539155905698289</v>
      </c>
      <c r="AQ26" s="9"/>
    </row>
    <row r="27" spans="1:43" x14ac:dyDescent="0.25">
      <c r="A27" s="4">
        <v>2.1</v>
      </c>
      <c r="B27" s="9">
        <v>1.20203997706392E-4</v>
      </c>
      <c r="C27" s="9">
        <v>9.8075810883776603E-4</v>
      </c>
      <c r="D27" s="9">
        <v>7.9531371832935807E-3</v>
      </c>
      <c r="E27" s="9">
        <v>4.1241180847959802E-2</v>
      </c>
      <c r="F27" s="9">
        <v>0.131678473260602</v>
      </c>
      <c r="G27" s="9">
        <v>0.34837367650949402</v>
      </c>
      <c r="H27" s="9">
        <v>0.653352356474875</v>
      </c>
      <c r="I27" s="9">
        <v>0.86918945843812001</v>
      </c>
      <c r="J27" s="9">
        <v>0.95905875795404105</v>
      </c>
      <c r="K27" s="9">
        <v>0.98803600880665199</v>
      </c>
      <c r="AQ27" s="9"/>
    </row>
    <row r="28" spans="1:43" x14ac:dyDescent="0.25">
      <c r="A28" s="4">
        <v>2.2000000000000002</v>
      </c>
      <c r="B28" s="9">
        <v>7.8135179127436906E-5</v>
      </c>
      <c r="C28" s="9">
        <v>7.0472542427232302E-4</v>
      </c>
      <c r="D28" s="9">
        <v>6.32438562970003E-3</v>
      </c>
      <c r="E28" s="9">
        <v>3.5675396864856199E-2</v>
      </c>
      <c r="F28" s="9">
        <v>0.12164925109776301</v>
      </c>
      <c r="G28" s="9">
        <v>0.34144948310631201</v>
      </c>
      <c r="H28" s="9">
        <v>0.65998359343333801</v>
      </c>
      <c r="I28" s="9">
        <v>0.87903077148031405</v>
      </c>
      <c r="J28" s="9">
        <v>0.964543429906493</v>
      </c>
      <c r="K28" s="9">
        <v>0.99027621393906795</v>
      </c>
      <c r="AQ28" s="9"/>
    </row>
    <row r="29" spans="1:43" x14ac:dyDescent="0.25">
      <c r="A29" s="4">
        <v>2.2999999999999998</v>
      </c>
      <c r="B29" s="9">
        <v>5.0797024971115401E-5</v>
      </c>
      <c r="C29" s="9">
        <v>5.0642375938953204E-4</v>
      </c>
      <c r="D29" s="9">
        <v>5.0283064779737896E-3</v>
      </c>
      <c r="E29" s="9">
        <v>3.0841081121063402E-2</v>
      </c>
      <c r="F29" s="9">
        <v>0.11229792928359</v>
      </c>
      <c r="G29" s="9">
        <v>0.33461604480490398</v>
      </c>
      <c r="H29" s="9">
        <v>0.66657167286469798</v>
      </c>
      <c r="I29" s="9">
        <v>0.88823322220179102</v>
      </c>
      <c r="J29" s="9">
        <v>0.96931810881582203</v>
      </c>
      <c r="K29" s="9">
        <v>0.99210046463443602</v>
      </c>
      <c r="AQ29" s="9"/>
    </row>
    <row r="30" spans="1:43" x14ac:dyDescent="0.25">
      <c r="A30" s="4">
        <v>2.4</v>
      </c>
      <c r="B30" s="9">
        <v>3.3028031011876799E-5</v>
      </c>
      <c r="C30" s="9">
        <v>3.6394866212686398E-4</v>
      </c>
      <c r="D30" s="9">
        <v>3.9972838706287704E-3</v>
      </c>
      <c r="E30" s="9">
        <v>2.6646904538513001E-2</v>
      </c>
      <c r="F30" s="9">
        <v>0.10359049220222601</v>
      </c>
      <c r="G30" s="9">
        <v>0.32787108433238699</v>
      </c>
      <c r="H30" s="9">
        <v>0.67311163436521704</v>
      </c>
      <c r="I30" s="9">
        <v>0.89682318899416003</v>
      </c>
      <c r="J30" s="9">
        <v>0.97346860233757004</v>
      </c>
      <c r="K30" s="9">
        <v>0.99358486096213094</v>
      </c>
      <c r="AQ30" s="9"/>
    </row>
    <row r="31" spans="1:43" x14ac:dyDescent="0.25">
      <c r="A31" s="4">
        <v>2.5</v>
      </c>
      <c r="B31" s="9">
        <v>2.14768487023248E-5</v>
      </c>
      <c r="C31" s="9">
        <v>2.61573553087741E-4</v>
      </c>
      <c r="D31" s="9">
        <v>3.1773192405925698E-3</v>
      </c>
      <c r="E31" s="9">
        <v>2.3011768713232499E-2</v>
      </c>
      <c r="F31" s="9">
        <v>9.5493082376326394E-2</v>
      </c>
      <c r="G31" s="9">
        <v>0.32121288876973297</v>
      </c>
      <c r="H31" s="9">
        <v>0.67959893238688496</v>
      </c>
      <c r="I31" s="9">
        <v>0.90482824878527301</v>
      </c>
      <c r="J31" s="9">
        <v>0.97707184766901201</v>
      </c>
      <c r="K31" s="9">
        <v>0.99479194585598296</v>
      </c>
      <c r="AQ31" s="9"/>
    </row>
    <row r="32" spans="1:43" x14ac:dyDescent="0.25">
      <c r="A32" s="4">
        <v>2.6</v>
      </c>
      <c r="B32" s="9">
        <v>1.3966721323844899E-5</v>
      </c>
      <c r="C32" s="9">
        <v>1.88005746822776E-4</v>
      </c>
      <c r="D32" s="9">
        <v>2.5253368295144601E-3</v>
      </c>
      <c r="E32" s="9">
        <v>1.9863951475812502E-2</v>
      </c>
      <c r="F32" s="9">
        <v>8.7972213532915497E-2</v>
      </c>
      <c r="G32" s="9">
        <v>0.31464021996513603</v>
      </c>
      <c r="H32" s="9">
        <v>0.68602942560131397</v>
      </c>
      <c r="I32" s="9">
        <v>0.91227676404615798</v>
      </c>
      <c r="J32" s="9">
        <v>0.98019645270522804</v>
      </c>
      <c r="K32" s="9">
        <v>0.99577300169674898</v>
      </c>
      <c r="AQ32" s="9"/>
    </row>
    <row r="33" spans="1:43" x14ac:dyDescent="0.25">
      <c r="A33" s="4">
        <v>2.7</v>
      </c>
      <c r="B33" s="9">
        <v>9.0834060329684602E-6</v>
      </c>
      <c r="C33" s="9">
        <v>1.3513514540107401E-4</v>
      </c>
      <c r="D33" s="9">
        <v>2.0070038448934098E-3</v>
      </c>
      <c r="E33" s="9">
        <v>1.7140245867049399E-2</v>
      </c>
      <c r="F33" s="9">
        <v>8.0994965026519206E-2</v>
      </c>
      <c r="G33" s="9">
        <v>0.30815223282746101</v>
      </c>
      <c r="H33" s="9">
        <v>0.69239935874862901</v>
      </c>
      <c r="I33" s="9">
        <v>0.91919750478817097</v>
      </c>
      <c r="J33" s="9">
        <v>0.98290330770447398</v>
      </c>
      <c r="K33" s="9">
        <v>0.99656999693472903</v>
      </c>
      <c r="AQ33" s="9"/>
    </row>
    <row r="34" spans="1:43" x14ac:dyDescent="0.25">
      <c r="A34" s="4">
        <v>2.8</v>
      </c>
      <c r="B34" s="9">
        <v>5.9078487270975297E-6</v>
      </c>
      <c r="C34" s="9">
        <v>9.7136431082682896E-5</v>
      </c>
      <c r="D34" s="9">
        <v>1.59497427711307E-3</v>
      </c>
      <c r="E34" s="9">
        <v>1.47851196208235E-2</v>
      </c>
      <c r="F34" s="9">
        <v>7.4529155093134999E-2</v>
      </c>
      <c r="G34" s="9">
        <v>0.30174840240805001</v>
      </c>
      <c r="H34" s="9">
        <v>0.69870534017970298</v>
      </c>
      <c r="I34" s="9">
        <v>0.92561931167884004</v>
      </c>
      <c r="J34" s="9">
        <v>0.98524623059236605</v>
      </c>
      <c r="K34" s="9">
        <v>0.99721722270404101</v>
      </c>
      <c r="O34" s="5" t="s">
        <v>6</v>
      </c>
      <c r="P34" s="5"/>
      <c r="Q34" s="5"/>
      <c r="R34" s="5"/>
      <c r="S34" s="5"/>
      <c r="T34" s="5"/>
      <c r="U34" s="5"/>
      <c r="V34" s="5"/>
      <c r="W34" s="5"/>
      <c r="X34" s="5"/>
      <c r="Y34" s="8"/>
      <c r="AC34" s="5" t="s">
        <v>6</v>
      </c>
      <c r="AD34" s="5"/>
      <c r="AE34" s="5"/>
      <c r="AF34" s="5"/>
      <c r="AG34" s="5"/>
      <c r="AH34" s="5"/>
      <c r="AI34" s="5"/>
      <c r="AJ34" s="5"/>
      <c r="AK34" s="5"/>
      <c r="AL34" s="5"/>
      <c r="AM34" s="8"/>
      <c r="AQ34" s="9"/>
    </row>
    <row r="35" spans="1:43" x14ac:dyDescent="0.25">
      <c r="A35" s="4">
        <v>2.9</v>
      </c>
      <c r="B35" s="9">
        <v>3.8426799032777998E-6</v>
      </c>
      <c r="C35" s="9">
        <v>6.9824818353869805E-5</v>
      </c>
      <c r="D35" s="9">
        <v>1.2674784756512799E-3</v>
      </c>
      <c r="E35" s="9">
        <v>1.27499133992026E-2</v>
      </c>
      <c r="F35" s="9">
        <v>6.8543491110082996E-2</v>
      </c>
      <c r="G35" s="9">
        <v>0.29542845984683203</v>
      </c>
      <c r="H35" s="9">
        <v>0.70494431734629404</v>
      </c>
      <c r="I35" s="9">
        <v>0.93157080316838403</v>
      </c>
      <c r="J35" s="9">
        <v>0.987272617940115</v>
      </c>
      <c r="K35" s="9">
        <v>0.99774265984608301</v>
      </c>
      <c r="N35" s="6" t="s">
        <v>0</v>
      </c>
      <c r="O35" s="7">
        <v>0.5</v>
      </c>
      <c r="P35" s="7">
        <v>1.5</v>
      </c>
      <c r="Q35" s="7">
        <v>2.5</v>
      </c>
      <c r="R35" s="7">
        <v>3.5</v>
      </c>
      <c r="S35" s="7">
        <v>4.5</v>
      </c>
      <c r="T35" s="7">
        <v>5.5</v>
      </c>
      <c r="U35" s="7">
        <v>6.5</v>
      </c>
      <c r="V35" s="7">
        <v>7.5</v>
      </c>
      <c r="W35" s="7">
        <v>8.5</v>
      </c>
      <c r="X35" s="7">
        <v>9.5</v>
      </c>
      <c r="Y35" s="11" t="s">
        <v>35</v>
      </c>
      <c r="AB35" s="6" t="s">
        <v>0</v>
      </c>
      <c r="AC35" s="7">
        <v>0.5</v>
      </c>
      <c r="AD35" s="7">
        <v>1.5</v>
      </c>
      <c r="AE35" s="7">
        <v>2.5</v>
      </c>
      <c r="AF35" s="7">
        <v>3.5</v>
      </c>
      <c r="AG35" s="7">
        <v>4.5</v>
      </c>
      <c r="AH35" s="7">
        <v>5.5</v>
      </c>
      <c r="AI35" s="7">
        <v>6.5</v>
      </c>
      <c r="AJ35" s="7">
        <v>7.5</v>
      </c>
      <c r="AK35" s="7">
        <v>8.5</v>
      </c>
      <c r="AL35" s="7">
        <v>9.5</v>
      </c>
      <c r="AM35" s="11" t="s">
        <v>28</v>
      </c>
      <c r="AP35" s="2" t="s">
        <v>36</v>
      </c>
      <c r="AQ35" s="9"/>
    </row>
    <row r="36" spans="1:43" x14ac:dyDescent="0.25">
      <c r="A36" s="4">
        <v>3</v>
      </c>
      <c r="B36" s="9">
        <v>2.4995574751633302E-6</v>
      </c>
      <c r="C36" s="9">
        <v>5.0193672522538803E-5</v>
      </c>
      <c r="D36" s="9">
        <v>1.00719312073873E-3</v>
      </c>
      <c r="E36" s="9">
        <v>1.09920893194735E-2</v>
      </c>
      <c r="F36" s="9">
        <v>6.30076959465075E-2</v>
      </c>
      <c r="G36" s="9">
        <v>0.28919233678728101</v>
      </c>
      <c r="H36" s="9">
        <v>0.71111355178751401</v>
      </c>
      <c r="I36" s="9">
        <v>0.93708012702478904</v>
      </c>
      <c r="J36" s="9">
        <v>0.98902408124879704</v>
      </c>
      <c r="K36" s="9">
        <v>0.99816911473220504</v>
      </c>
      <c r="M36" s="2" t="s">
        <v>33</v>
      </c>
      <c r="N36" s="4">
        <v>0.1</v>
      </c>
      <c r="O36" s="2">
        <f>B7*($U$35+2)+(1-B7)*($U$35)</f>
        <v>7.3088579676956265</v>
      </c>
      <c r="P36" s="2">
        <f>C7*($U$35+2)+(1-C7)*($U$35)</f>
        <v>7.3574551597296587</v>
      </c>
      <c r="Q36" s="2">
        <f>D7*($U$35+2)+(1-D7)*($U$35)</f>
        <v>7.4067494673607968</v>
      </c>
      <c r="R36" s="2">
        <f>E7*($U$35+2)+(1-E7)*($U$35+2)</f>
        <v>8.5</v>
      </c>
      <c r="S36" s="2">
        <f>F7*($U$35+2)+(1-F7)*($U$35+2)</f>
        <v>8.5</v>
      </c>
      <c r="T36" s="2">
        <f>G7*($U$35+2)+(1-G7)*($U$35+2)</f>
        <v>8.5</v>
      </c>
      <c r="U36" s="2">
        <f>H7*($U$35+2)+(1-H7)*($U$35+2)</f>
        <v>8.5</v>
      </c>
      <c r="V36" s="2">
        <f>I7*($U$35+2)+(1-I7)*($U$35+2)</f>
        <v>8.5</v>
      </c>
      <c r="W36" s="2">
        <f>J7*($U$35+2)+(1-J7)*($U$35+2)</f>
        <v>8.5</v>
      </c>
      <c r="X36" s="2">
        <f>K7*($U$35+2)+(1-K7)*($U$35+2)</f>
        <v>8.5</v>
      </c>
      <c r="Y36" s="2">
        <f>SUM(O36:X36)/10</f>
        <v>8.1573062594786077</v>
      </c>
      <c r="AA36" s="2" t="s">
        <v>34</v>
      </c>
      <c r="AB36" s="4">
        <v>0.1</v>
      </c>
      <c r="AC36" s="2">
        <f>B7*($AI$35+2)+(1-B7)*(7)</f>
        <v>7.6066434757717198</v>
      </c>
      <c r="AD36" s="2">
        <f>C7*($AI$35+2)+(1-C7)*(7)</f>
        <v>7.6430913697972436</v>
      </c>
      <c r="AE36" s="2">
        <f>D7*($AI$35+2)+(1-D7)*(7)</f>
        <v>7.6800621005205976</v>
      </c>
      <c r="AF36" s="2">
        <f>E7*($AI$35+2)+(1-E7)*(7)</f>
        <v>7.7082865757688435</v>
      </c>
      <c r="AG36" s="2">
        <f>F7*($AI$35+2)+(1-F7)*(7)</f>
        <v>7.7275205543857908</v>
      </c>
      <c r="AH36" s="2">
        <f>G7*($AI$35+2)+(1-G7)*(7)</f>
        <v>7.7467841738379715</v>
      </c>
      <c r="AI36" s="2">
        <f>H7*($AI$35+2)+(1-H7)*(7)</f>
        <v>7.7660520373304109</v>
      </c>
      <c r="AJ36" s="2">
        <f>I7*($AI$35+2)+(1-I7)*(7)</f>
        <v>7.7852987256864594</v>
      </c>
      <c r="AK36" s="2">
        <f>J7*($AI$35+2)+(1-J7)*(7)</f>
        <v>7.804498931326715</v>
      </c>
      <c r="AL36" s="2">
        <f>K7*($AI$35+2)+(1-K7)*(7)</f>
        <v>7.8236275910003741</v>
      </c>
      <c r="AM36" s="2">
        <f>SUM(AC36:AL36)/10</f>
        <v>7.729186553542613</v>
      </c>
      <c r="AP36" s="2">
        <f>(EXP(A7*Y36))/(EXP(A7*Y36)+EXP(A7*AM36))</f>
        <v>0.51070135818641071</v>
      </c>
      <c r="AQ36" s="9"/>
    </row>
    <row r="37" spans="1:43" x14ac:dyDescent="0.25">
      <c r="A37" s="4">
        <v>3.1</v>
      </c>
      <c r="B37" s="9">
        <v>1.6259925063796401E-6</v>
      </c>
      <c r="C37" s="9">
        <v>3.6082588063336997E-5</v>
      </c>
      <c r="D37" s="9">
        <v>8.0033750940850705E-4</v>
      </c>
      <c r="E37" s="9">
        <v>9.4745362853756003E-3</v>
      </c>
      <c r="F37" s="9">
        <v>5.7892610385380003E-2</v>
      </c>
      <c r="G37" s="9">
        <v>0.28304011761701597</v>
      </c>
      <c r="H37" s="9">
        <v>0.71721059464129</v>
      </c>
      <c r="I37" s="9">
        <v>0.942174754851414</v>
      </c>
      <c r="J37" s="9">
        <v>0.990537054434667</v>
      </c>
      <c r="K37" s="9">
        <v>0.99851515893096898</v>
      </c>
      <c r="N37" s="4">
        <v>0.2</v>
      </c>
      <c r="O37" s="2">
        <f>B8*($U$35+2)+(1-B8)*($U$35)</f>
        <v>7.1249922984701657</v>
      </c>
      <c r="P37" s="2">
        <f>C8*($U$35+2)+(1-C8)*($U$35)</f>
        <v>7.2139695419068328</v>
      </c>
      <c r="Q37" s="2">
        <f>D8*($U$35+2)+(1-D8)*($U$35)</f>
        <v>7.3081687960243915</v>
      </c>
      <c r="R37" s="2">
        <f>E8*($U$35+2)+(1-E8)*($U$35+2)</f>
        <v>8.5</v>
      </c>
      <c r="S37" s="2">
        <f>F8*($U$35+2)+(1-F8)*($U$35+2)</f>
        <v>8.5</v>
      </c>
      <c r="T37" s="2">
        <f>G8*($U$35+2)+(1-G8)*($U$35+2)</f>
        <v>8.5</v>
      </c>
      <c r="U37" s="2">
        <f>H8*($U$35+2)+(1-H8)*($U$35+2)</f>
        <v>8.5</v>
      </c>
      <c r="V37" s="2">
        <f>I8*($U$35+2)+(1-I8)*($U$35+2)</f>
        <v>8.5</v>
      </c>
      <c r="W37" s="2">
        <f>J8*($U$35+2)+(1-J8)*($U$35+2)</f>
        <v>8.5</v>
      </c>
      <c r="X37" s="2">
        <f>K8*($U$35+2)+(1-K8)*($U$35+2)</f>
        <v>8.5</v>
      </c>
      <c r="Y37" s="2">
        <f t="shared" ref="Y37:Y50" si="17">SUM(O37:X37)/10</f>
        <v>8.1147130636401386</v>
      </c>
      <c r="AB37" s="4">
        <v>0.2</v>
      </c>
      <c r="AC37" s="2">
        <f>B8*($AI$35+2)+(1-B8)*(7)</f>
        <v>7.4687442238526245</v>
      </c>
      <c r="AD37" s="2">
        <f>C8*($AI$35+2)+(1-C8)*(7)</f>
        <v>7.5354771564301242</v>
      </c>
      <c r="AE37" s="2">
        <f>D8*($AI$35+2)+(1-D8)*(7)</f>
        <v>7.6061265970182941</v>
      </c>
      <c r="AF37" s="2">
        <f>E8*($AI$35+2)+(1-E8)*(7)</f>
        <v>7.6620487202753882</v>
      </c>
      <c r="AG37" s="2">
        <f>F8*($AI$35+2)+(1-F8)*(7)</f>
        <v>7.7013514548608573</v>
      </c>
      <c r="AH37" s="2">
        <f>G8*($AI$35+2)+(1-G8)*(7)</f>
        <v>7.7409243544516784</v>
      </c>
      <c r="AI37" s="2">
        <f>H8*($AI$35+2)+(1-H8)*(7)</f>
        <v>7.7805478597343258</v>
      </c>
      <c r="AJ37" s="2">
        <f>I8*($AI$35+2)+(1-I8)*(7)</f>
        <v>7.8200012874723592</v>
      </c>
      <c r="AK37" s="2">
        <f>J8*($AI$35+2)+(1-J8)*(7)</f>
        <v>7.859067723255686</v>
      </c>
      <c r="AL37" s="2">
        <f>K8*($AI$35+2)+(1-K8)*(7)</f>
        <v>7.8975387380529991</v>
      </c>
      <c r="AM37" s="2">
        <f t="shared" ref="AM37:AM50" si="18">SUM(AC37:AL37)/10</f>
        <v>7.7071828115404344</v>
      </c>
      <c r="AP37" s="2">
        <f>(EXP(A8*Y37))/(EXP(A8*Y37)+EXP(A8*AM37))</f>
        <v>0.5203652395949121</v>
      </c>
      <c r="AQ37" s="9"/>
    </row>
    <row r="38" spans="1:43" x14ac:dyDescent="0.25">
      <c r="A38" s="4">
        <v>3.2</v>
      </c>
      <c r="B38" s="9">
        <v>1.0578066177844E-6</v>
      </c>
      <c r="C38" s="9">
        <v>2.5939069203231199E-5</v>
      </c>
      <c r="D38" s="9">
        <v>6.3595185497035997E-4</v>
      </c>
      <c r="E38" s="9">
        <v>8.1649349308426204E-3</v>
      </c>
      <c r="F38" s="9">
        <v>5.3170272369732298E-2</v>
      </c>
      <c r="G38" s="9">
        <v>0.27697199878052298</v>
      </c>
      <c r="H38" s="9">
        <v>0.72323326333045301</v>
      </c>
      <c r="I38" s="9">
        <v>0.94688131690834998</v>
      </c>
      <c r="J38" s="9">
        <v>0.99184336341379198</v>
      </c>
      <c r="K38" s="9">
        <v>0.99879590385635197</v>
      </c>
      <c r="N38" s="4">
        <v>0.3</v>
      </c>
      <c r="O38" s="2">
        <f>B9*($U$35+2)+(1-B9)*($U$35)</f>
        <v>6.9617631627461805</v>
      </c>
      <c r="P38" s="2">
        <f>C9*($U$35+2)+(1-C9)*($U$35)</f>
        <v>7.0767292185830062</v>
      </c>
      <c r="Q38" s="2">
        <f>D9*($U$35+2)+(1-D9)*($U$35)</f>
        <v>7.207159850923782</v>
      </c>
      <c r="R38" s="2">
        <f>E9*($U$35+2)+(1-E9)*($U$35+2)</f>
        <v>8.5</v>
      </c>
      <c r="S38" s="2">
        <f>F9*($U$35+2)+(1-F9)*($U$35+2)</f>
        <v>8.5</v>
      </c>
      <c r="T38" s="2">
        <f>G9*($U$35+2)+(1-G9)*($U$35+2)</f>
        <v>8.5</v>
      </c>
      <c r="U38" s="2">
        <f>H9*($U$35+2)+(1-H9)*($U$35+2)</f>
        <v>8.5</v>
      </c>
      <c r="V38" s="2">
        <f>I9*($U$35+2)+(1-I9)*($U$35+2)</f>
        <v>8.5</v>
      </c>
      <c r="W38" s="2">
        <f>J9*($U$35+2)+(1-J9)*($U$35+2)</f>
        <v>8.5</v>
      </c>
      <c r="X38" s="2">
        <f>K9*($U$35+2)+(1-K9)*($U$35+2)</f>
        <v>8.5</v>
      </c>
      <c r="Y38" s="2">
        <f t="shared" si="17"/>
        <v>8.0745652232252958</v>
      </c>
      <c r="AB38" s="4">
        <v>0.3</v>
      </c>
      <c r="AC38" s="2">
        <f>B9*($AI$35+2)+(1-B9)*(7)</f>
        <v>7.3463223720596353</v>
      </c>
      <c r="AD38" s="2">
        <f>C9*($AI$35+2)+(1-C9)*(7)</f>
        <v>7.4325469139372551</v>
      </c>
      <c r="AE38" s="2">
        <f>D9*($AI$35+2)+(1-D9)*(7)</f>
        <v>7.5303698881928369</v>
      </c>
      <c r="AF38" s="2">
        <f>E9*($AI$35+2)+(1-E9)*(7)</f>
        <v>7.6121184224432055</v>
      </c>
      <c r="AG38" s="2">
        <f>F9*($AI$35+2)+(1-F9)*(7)</f>
        <v>7.671887602891001</v>
      </c>
      <c r="AH38" s="2">
        <f>G9*($AI$35+2)+(1-G9)*(7)</f>
        <v>7.7326769445096009</v>
      </c>
      <c r="AI38" s="2">
        <f>H9*($AI$35+2)+(1-H9)*(7)</f>
        <v>7.7936948715925363</v>
      </c>
      <c r="AJ38" s="2">
        <f>I9*($AI$35+2)+(1-I9)*(7)</f>
        <v>7.854137864740804</v>
      </c>
      <c r="AK38" s="2">
        <f>J9*($AI$35+2)+(1-J9)*(7)</f>
        <v>7.9132323187554059</v>
      </c>
      <c r="AL38" s="2">
        <f>K9*($AI$35+2)+(1-K9)*(7)</f>
        <v>7.9702731473124162</v>
      </c>
      <c r="AM38" s="2">
        <f t="shared" si="18"/>
        <v>7.6857260346434702</v>
      </c>
      <c r="AP38" s="2">
        <f>(EXP(A9*Y38))/(EXP(A9*Y38)+EXP(A9*AM38))</f>
        <v>0.52912991420261768</v>
      </c>
      <c r="AQ38" s="9"/>
    </row>
    <row r="39" spans="1:43" x14ac:dyDescent="0.25">
      <c r="A39" s="4">
        <v>3.3</v>
      </c>
      <c r="B39" s="9">
        <v>6.8823541750559701E-7</v>
      </c>
      <c r="C39" s="9">
        <v>1.8647383833158599E-5</v>
      </c>
      <c r="D39" s="9">
        <v>5.0532157395607004E-4</v>
      </c>
      <c r="E39" s="9">
        <v>7.0351823219375401E-3</v>
      </c>
      <c r="F39" s="9">
        <v>4.8813974429336E-2</v>
      </c>
      <c r="G39" s="9">
        <v>0.27098825438333302</v>
      </c>
      <c r="H39" s="9">
        <v>0.72917961980049995</v>
      </c>
      <c r="I39" s="9">
        <v>0.95122547377161304</v>
      </c>
      <c r="J39" s="9">
        <v>0.99297075256153</v>
      </c>
      <c r="K39" s="9">
        <v>0.99902363752498702</v>
      </c>
      <c r="N39" s="4">
        <v>0.4</v>
      </c>
      <c r="O39" s="2">
        <f>B10*($U$35+2)+(1-B10)*($U$35)</f>
        <v>6.8279113211872851</v>
      </c>
      <c r="P39" s="2">
        <f>C10*($U$35+2)+(1-C10)*($U$35)</f>
        <v>6.9526830070052696</v>
      </c>
      <c r="Q39" s="2">
        <f>D10*($U$35+2)+(1-D10)*($U$35)</f>
        <v>7.1076768907583032</v>
      </c>
      <c r="R39" s="2">
        <f>E10*($U$35+2)+(1-E10)*($U$35+2)</f>
        <v>8.5</v>
      </c>
      <c r="S39" s="2">
        <f>F10*($U$35+2)+(1-F10)*($U$35+2)</f>
        <v>8.5</v>
      </c>
      <c r="T39" s="2">
        <f>G10*($U$35+2)+(1-G10)*($U$35+2)</f>
        <v>8.5</v>
      </c>
      <c r="U39" s="2">
        <f>H10*($U$35+2)+(1-H10)*($U$35+2)</f>
        <v>8.5</v>
      </c>
      <c r="V39" s="2">
        <f>I10*($U$35+2)+(1-I10)*($U$35+2)</f>
        <v>8.5</v>
      </c>
      <c r="W39" s="2">
        <f>J10*($U$35+2)+(1-J10)*($U$35+2)</f>
        <v>8.5</v>
      </c>
      <c r="X39" s="2">
        <f>K10*($U$35+2)+(1-K10)*($U$35+2)</f>
        <v>8.5</v>
      </c>
      <c r="Y39" s="2">
        <f t="shared" si="17"/>
        <v>8.0388271218950855</v>
      </c>
      <c r="AB39" s="4">
        <v>0.4</v>
      </c>
      <c r="AC39" s="2">
        <f>B10*($AI$35+2)+(1-B10)*(7)</f>
        <v>7.2459334908904633</v>
      </c>
      <c r="AD39" s="2">
        <f>C10*($AI$35+2)+(1-C10)*(7)</f>
        <v>7.3395122552539522</v>
      </c>
      <c r="AE39" s="2">
        <f>D10*($AI$35+2)+(1-D10)*(7)</f>
        <v>7.4557576680687276</v>
      </c>
      <c r="AF39" s="2">
        <f>E10*($AI$35+2)+(1-E10)*(7)</f>
        <v>7.560004067002974</v>
      </c>
      <c r="AG39" s="2">
        <f>F10*($AI$35+2)+(1-F10)*(7)</f>
        <v>7.6399416396831175</v>
      </c>
      <c r="AH39" s="2">
        <f>G10*($AI$35+2)+(1-G10)*(7)</f>
        <v>7.7225191739700243</v>
      </c>
      <c r="AI39" s="2">
        <f>H10*($AI$35+2)+(1-H10)*(7)</f>
        <v>7.8057693249727462</v>
      </c>
      <c r="AJ39" s="2">
        <f>I10*($AI$35+2)+(1-I10)*(7)</f>
        <v>7.8876601268610447</v>
      </c>
      <c r="AK39" s="2">
        <f>J10*($AI$35+2)+(1-J10)*(7)</f>
        <v>7.9662894210284634</v>
      </c>
      <c r="AL39" s="2">
        <f>K10*($AI$35+2)+(1-K10)*(7)</f>
        <v>8.0400537155936451</v>
      </c>
      <c r="AM39" s="2">
        <f t="shared" si="18"/>
        <v>7.6663440883325169</v>
      </c>
      <c r="AP39" s="2">
        <f>(EXP(A10*Y39))/(EXP(A10*Y39)+EXP(A10*AM39))</f>
        <v>0.53717954979031302</v>
      </c>
      <c r="AQ39" s="9"/>
    </row>
    <row r="40" spans="1:43" x14ac:dyDescent="0.25">
      <c r="A40" s="4">
        <v>3.4</v>
      </c>
      <c r="B40" s="9">
        <v>4.4784581344013101E-7</v>
      </c>
      <c r="C40" s="9">
        <v>1.3405635595906799E-5</v>
      </c>
      <c r="D40" s="9">
        <v>4.0151842188203599E-4</v>
      </c>
      <c r="E40" s="9">
        <v>6.0608747122120003E-3</v>
      </c>
      <c r="F40" s="9">
        <v>4.4798301073033203E-2</v>
      </c>
      <c r="G40" s="9">
        <v>0.265089207328571</v>
      </c>
      <c r="H40" s="9">
        <v>0.73504795049337701</v>
      </c>
      <c r="I40" s="9">
        <v>0.95523182094189996</v>
      </c>
      <c r="J40" s="9">
        <v>0.99394336573548703</v>
      </c>
      <c r="K40" s="9">
        <v>0.99920834671559</v>
      </c>
      <c r="N40" s="4">
        <v>0.5</v>
      </c>
      <c r="O40" s="2">
        <f>B11*($U$35+2)+(1-B11)*($U$35)</f>
        <v>6.7256123055347778</v>
      </c>
      <c r="P40" s="2">
        <f>C11*($U$35+2)+(1-C11)*($U$35)</f>
        <v>6.8466071795941854</v>
      </c>
      <c r="Q40" s="2">
        <f>D11*($U$35+2)+(1-D11)*($U$35)</f>
        <v>7.013704974935588</v>
      </c>
      <c r="R40" s="2">
        <f>E11*($U$35+2)+(1-E11)*($U$35+2)</f>
        <v>8.5</v>
      </c>
      <c r="S40" s="2">
        <f>F11*($U$35+2)+(1-F11)*($U$35+2)</f>
        <v>8.5</v>
      </c>
      <c r="T40" s="2">
        <f>G11*($U$35+2)+(1-G11)*($U$35+2)</f>
        <v>8.5</v>
      </c>
      <c r="U40" s="2">
        <f>H11*($U$35+2)+(1-H11)*($U$35+2)</f>
        <v>8.5</v>
      </c>
      <c r="V40" s="2">
        <f>I11*($U$35+2)+(1-I11)*($U$35+2)</f>
        <v>8.5</v>
      </c>
      <c r="W40" s="2">
        <f>J11*($U$35+2)+(1-J11)*($U$35+2)</f>
        <v>8.5</v>
      </c>
      <c r="X40" s="2">
        <f>K11*($U$35+2)+(1-K11)*($U$35+2)</f>
        <v>8.5</v>
      </c>
      <c r="Y40" s="2">
        <f t="shared" si="17"/>
        <v>8.008592446006455</v>
      </c>
      <c r="AB40" s="4">
        <v>0.5</v>
      </c>
      <c r="AC40" s="2">
        <f>B11*($AI$35+2)+(1-B11)*(7)</f>
        <v>7.1692092291510834</v>
      </c>
      <c r="AD40" s="2">
        <f>C11*($AI$35+2)+(1-C11)*(7)</f>
        <v>7.2599553846956386</v>
      </c>
      <c r="AE40" s="2">
        <f>D11*($AI$35+2)+(1-D11)*(7)</f>
        <v>7.3852787312016916</v>
      </c>
      <c r="AF40" s="2">
        <f>E11*($AI$35+2)+(1-E11)*(7)</f>
        <v>7.5075033226960795</v>
      </c>
      <c r="AG40" s="2">
        <f>F11*($AI$35+2)+(1-F11)*(7)</f>
        <v>7.6065237093206886</v>
      </c>
      <c r="AH40" s="2">
        <f>G11*($AI$35+2)+(1-G11)*(7)</f>
        <v>7.711023314039104</v>
      </c>
      <c r="AI40" s="2">
        <f>H11*($AI$35+2)+(1-H11)*(7)</f>
        <v>7.8170627349788564</v>
      </c>
      <c r="AJ40" s="2">
        <f>I11*($AI$35+2)+(1-I11)*(7)</f>
        <v>7.9204665590042174</v>
      </c>
      <c r="AK40" s="2">
        <f>J11*($AI$35+2)+(1-J11)*(7)</f>
        <v>8.0174603092749983</v>
      </c>
      <c r="AL40" s="2">
        <f>K11*($AI$35+2)+(1-K11)*(7)</f>
        <v>8.1051836728907283</v>
      </c>
      <c r="AM40" s="2">
        <f t="shared" si="18"/>
        <v>7.6499666967253095</v>
      </c>
      <c r="AP40" s="2">
        <f>(EXP(A11*Y40))/(EXP(A11*Y40)+EXP(A11*AM40))</f>
        <v>0.5447084897351292</v>
      </c>
      <c r="AQ40" s="9"/>
    </row>
    <row r="41" spans="1:43" x14ac:dyDescent="0.25">
      <c r="A41" s="4">
        <v>3.5</v>
      </c>
      <c r="B41" s="9">
        <v>2.9148026346780001E-7</v>
      </c>
      <c r="C41" s="9">
        <v>9.6374556711308999E-6</v>
      </c>
      <c r="D41" s="9">
        <v>3.1903500534922498E-4</v>
      </c>
      <c r="E41" s="9">
        <v>5.22084542144688E-3</v>
      </c>
      <c r="F41" s="9">
        <v>4.1099148200824998E-2</v>
      </c>
      <c r="G41" s="9">
        <v>0.25927520527537501</v>
      </c>
      <c r="H41" s="9">
        <v>0.74083674810882705</v>
      </c>
      <c r="I41" s="9">
        <v>0.95892382236735996</v>
      </c>
      <c r="J41" s="9">
        <v>0.99478218166648003</v>
      </c>
      <c r="K41" s="9">
        <v>0.999358144308094</v>
      </c>
      <c r="N41" s="4">
        <v>0.6</v>
      </c>
      <c r="O41" s="2">
        <f>B12*($U$35+2)+(1-B12)*($U$35)</f>
        <v>6.6517007404417816</v>
      </c>
      <c r="P41" s="2">
        <f>C12*($U$35+2)+(1-C12)*($U$35)</f>
        <v>6.7601917309223341</v>
      </c>
      <c r="Q41" s="2">
        <f>D12*($U$35+2)+(1-D12)*($U$35)</f>
        <v>6.9282925345938882</v>
      </c>
      <c r="R41" s="2">
        <f>E12*($U$35+2)+(1-E12)*($U$35+2)</f>
        <v>8.5</v>
      </c>
      <c r="S41" s="2">
        <f>F12*($U$35+2)+(1-F12)*($U$35+2)</f>
        <v>8.5</v>
      </c>
      <c r="T41" s="2">
        <f>G12*($U$35+2)+(1-G12)*($U$35+2)</f>
        <v>8.5</v>
      </c>
      <c r="U41" s="2">
        <f>H12*($U$35+2)+(1-H12)*($U$35+2)</f>
        <v>8.5</v>
      </c>
      <c r="V41" s="2">
        <f>I12*($U$35+2)+(1-I12)*($U$35+2)</f>
        <v>8.5</v>
      </c>
      <c r="W41" s="2">
        <f>J12*($U$35+2)+(1-J12)*($U$35+2)</f>
        <v>8.5</v>
      </c>
      <c r="X41" s="2">
        <f>K12*($U$35+2)+(1-K12)*($U$35+2)</f>
        <v>8.5</v>
      </c>
      <c r="Y41" s="2">
        <f t="shared" si="17"/>
        <v>7.9840185005958002</v>
      </c>
      <c r="AB41" s="4">
        <v>0.6</v>
      </c>
      <c r="AC41" s="2">
        <f>B12*($AI$35+2)+(1-B12)*(7)</f>
        <v>7.113775555331336</v>
      </c>
      <c r="AD41" s="2">
        <f>C12*($AI$35+2)+(1-C12)*(7)</f>
        <v>7.1951437981917499</v>
      </c>
      <c r="AE41" s="2">
        <f>D12*($AI$35+2)+(1-D12)*(7)</f>
        <v>7.3212194009454166</v>
      </c>
      <c r="AF41" s="2">
        <f>E12*($AI$35+2)+(1-E12)*(7)</f>
        <v>7.4562670136528659</v>
      </c>
      <c r="AG41" s="2">
        <f>F12*($AI$35+2)+(1-F12)*(7)</f>
        <v>7.5725922321508055</v>
      </c>
      <c r="AH41" s="2">
        <f>G12*($AI$35+2)+(1-G12)*(7)</f>
        <v>7.6987207830777891</v>
      </c>
      <c r="AI41" s="2">
        <f>H12*($AI$35+2)+(1-H12)*(7)</f>
        <v>7.8278323979307745</v>
      </c>
      <c r="AJ41" s="2">
        <f>I12*($AI$35+2)+(1-I12)*(7)</f>
        <v>7.9524431953182537</v>
      </c>
      <c r="AK41" s="2">
        <f>J12*($AI$35+2)+(1-J12)*(7)</f>
        <v>8.0660621298011392</v>
      </c>
      <c r="AL41" s="2">
        <f>K12*($AI$35+2)+(1-K12)*(7)</f>
        <v>8.1644118639896615</v>
      </c>
      <c r="AM41" s="2">
        <f t="shared" si="18"/>
        <v>7.6368468370389788</v>
      </c>
      <c r="AP41" s="2">
        <f>(EXP(A12*Y41))/(EXP(A12*Y41)+EXP(A12*AM41))</f>
        <v>0.55188826515447997</v>
      </c>
      <c r="AQ41" s="9"/>
    </row>
    <row r="42" spans="1:43" x14ac:dyDescent="0.25">
      <c r="A42" s="4">
        <v>3.6</v>
      </c>
      <c r="B42" s="9">
        <v>1.89768153677559E-7</v>
      </c>
      <c r="C42" s="9">
        <v>6.92855597130262E-6</v>
      </c>
      <c r="D42" s="9">
        <v>2.5349382056785502E-4</v>
      </c>
      <c r="E42" s="9">
        <v>4.4967541557899603E-3</v>
      </c>
      <c r="F42" s="9">
        <v>3.76937267225783E-2</v>
      </c>
      <c r="G42" s="9">
        <v>0.25354660077062502</v>
      </c>
      <c r="H42" s="9">
        <v>0.74654469511618005</v>
      </c>
      <c r="I42" s="9">
        <v>0.96232376889639404</v>
      </c>
      <c r="J42" s="9">
        <v>0.99550540499812401</v>
      </c>
      <c r="K42" s="9">
        <v>0.99947961844857203</v>
      </c>
      <c r="N42" s="4">
        <v>0.7</v>
      </c>
      <c r="O42" s="2">
        <f>B13*($U$35+2)+(1-B13)*($U$35)</f>
        <v>6.6004400260436586</v>
      </c>
      <c r="P42" s="2">
        <f>C13*($U$35+2)+(1-C13)*($U$35)</f>
        <v>6.6924629551746362</v>
      </c>
      <c r="Q42" s="2">
        <f>D13*($U$35+2)+(1-D13)*($U$35)</f>
        <v>6.853123829442314</v>
      </c>
      <c r="R42" s="2">
        <f>E13*($U$35+2)+(1-E13)*($U$35+2)</f>
        <v>8.5</v>
      </c>
      <c r="S42" s="2">
        <f>F13*($U$35+2)+(1-F13)*($U$35+2)</f>
        <v>8.5</v>
      </c>
      <c r="T42" s="2">
        <f>G13*($U$35+2)+(1-G13)*($U$35+2)</f>
        <v>8.5</v>
      </c>
      <c r="U42" s="2">
        <f>H13*($U$35+2)+(1-H13)*($U$35+2)</f>
        <v>8.5</v>
      </c>
      <c r="V42" s="2">
        <f>I13*($U$35+2)+(1-I13)*($U$35+2)</f>
        <v>8.5</v>
      </c>
      <c r="W42" s="2">
        <f>J13*($U$35+2)+(1-J13)*($U$35+2)</f>
        <v>8.5</v>
      </c>
      <c r="X42" s="2">
        <f>K13*($U$35+2)+(1-K13)*($U$35+2)</f>
        <v>8.5</v>
      </c>
      <c r="Y42" s="2">
        <f t="shared" si="17"/>
        <v>7.9646026810660597</v>
      </c>
      <c r="AB42" s="4">
        <v>0.7</v>
      </c>
      <c r="AC42" s="2">
        <f>B13*($AI$35+2)+(1-B13)*(7)</f>
        <v>7.0753300195327435</v>
      </c>
      <c r="AD42" s="2">
        <f>C13*($AI$35+2)+(1-C13)*(7)</f>
        <v>7.1443472163809769</v>
      </c>
      <c r="AE42" s="2">
        <f>D13*($AI$35+2)+(1-D13)*(7)</f>
        <v>7.2648428720817355</v>
      </c>
      <c r="AF42" s="2">
        <f>E13*($AI$35+2)+(1-E13)*(7)</f>
        <v>7.4075373673811225</v>
      </c>
      <c r="AG42" s="2">
        <f>F13*($AI$35+2)+(1-F13)*(7)</f>
        <v>7.538903681775496</v>
      </c>
      <c r="AH42" s="2">
        <f>G13*($AI$35+2)+(1-G13)*(7)</f>
        <v>7.6860239315511967</v>
      </c>
      <c r="AI42" s="2">
        <f>H13*($AI$35+2)+(1-H13)*(7)</f>
        <v>7.8382767459256319</v>
      </c>
      <c r="AJ42" s="2">
        <f>I13*($AI$35+2)+(1-I13)*(7)</f>
        <v>7.9834924955592754</v>
      </c>
      <c r="AK42" s="2">
        <f>J13*($AI$35+2)+(1-J13)*(7)</f>
        <v>8.1116056268569086</v>
      </c>
      <c r="AL42" s="2">
        <f>K13*($AI$35+2)+(1-K13)*(7)</f>
        <v>8.2170830250391855</v>
      </c>
      <c r="AM42" s="2">
        <f t="shared" si="18"/>
        <v>7.6267442982084273</v>
      </c>
      <c r="AP42" s="2">
        <f>(EXP(A13*Y42))/(EXP(A13*Y42)+EXP(A13*AM42))</f>
        <v>0.55885116385910527</v>
      </c>
      <c r="AQ42" s="9"/>
    </row>
    <row r="43" spans="1:43" x14ac:dyDescent="0.25">
      <c r="A43" s="4">
        <v>3.7</v>
      </c>
      <c r="B43" s="9">
        <v>1.23606076555794E-7</v>
      </c>
      <c r="C43" s="9">
        <v>4.9811393227675302E-6</v>
      </c>
      <c r="D43" s="9">
        <v>2.0141571627367699E-4</v>
      </c>
      <c r="E43" s="9">
        <v>3.8727236867267798E-3</v>
      </c>
      <c r="F43" s="9">
        <v>3.4560552593847903E-2</v>
      </c>
      <c r="G43" s="9">
        <v>0.24790373497224699</v>
      </c>
      <c r="H43" s="9">
        <v>0.752170648923291</v>
      </c>
      <c r="I43" s="9">
        <v>0.96545275786463602</v>
      </c>
      <c r="J43" s="9">
        <v>0.99612881523198404</v>
      </c>
      <c r="K43" s="9">
        <v>0.99957811745347402</v>
      </c>
      <c r="N43" s="4">
        <v>0.8</v>
      </c>
      <c r="O43" s="2">
        <f>B14*($U$35+2)+(1-B14)*($U$35)</f>
        <v>6.565858342012012</v>
      </c>
      <c r="P43" s="2">
        <f>C14*($U$35+2)+(1-C14)*($U$35)</f>
        <v>6.6408848783689631</v>
      </c>
      <c r="Q43" s="2">
        <f>D14*($U$35+2)+(1-D14)*($U$35)</f>
        <v>6.7886277980958818</v>
      </c>
      <c r="R43" s="2">
        <f>E14*($U$35+2)+(1-E14)*($U$35+2)</f>
        <v>8.5</v>
      </c>
      <c r="S43" s="2">
        <f>F14*($U$35+2)+(1-F14)*($U$35+2)</f>
        <v>8.5</v>
      </c>
      <c r="T43" s="2">
        <f>G14*($U$35+2)+(1-G14)*($U$35+2)</f>
        <v>8.5</v>
      </c>
      <c r="U43" s="2">
        <f>H14*($U$35+2)+(1-H14)*($U$35+2)</f>
        <v>8.5</v>
      </c>
      <c r="V43" s="2">
        <f>I14*($U$35+2)+(1-I14)*($U$35+2)</f>
        <v>8.5</v>
      </c>
      <c r="W43" s="2">
        <f>J14*($U$35+2)+(1-J14)*($U$35+2)</f>
        <v>8.5</v>
      </c>
      <c r="X43" s="2">
        <f>K14*($U$35+2)+(1-K14)*($U$35+2)</f>
        <v>8.5</v>
      </c>
      <c r="Y43" s="2">
        <f t="shared" si="17"/>
        <v>7.9495371018476861</v>
      </c>
      <c r="AB43" s="4">
        <v>0.8</v>
      </c>
      <c r="AC43" s="2">
        <f>B14*($AI$35+2)+(1-B14)*(7)</f>
        <v>7.0493937565090086</v>
      </c>
      <c r="AD43" s="2">
        <f>C14*($AI$35+2)+(1-C14)*(7)</f>
        <v>7.1056636587767228</v>
      </c>
      <c r="AE43" s="2">
        <f>D14*($AI$35+2)+(1-D14)*(7)</f>
        <v>7.2164708485719116</v>
      </c>
      <c r="AF43" s="2">
        <f>E14*($AI$35+2)+(1-E14)*(7)</f>
        <v>7.362097837129733</v>
      </c>
      <c r="AG43" s="2">
        <f>F14*($AI$35+2)+(1-F14)*(7)</f>
        <v>7.5059814241898746</v>
      </c>
      <c r="AH43" s="2">
        <f>G14*($AI$35+2)+(1-G14)*(7)</f>
        <v>7.6732132420568213</v>
      </c>
      <c r="AI43" s="2">
        <f>H14*($AI$35+2)+(1-H14)*(7)</f>
        <v>7.8485346013880424</v>
      </c>
      <c r="AJ43" s="2">
        <f>I14*($AI$35+2)+(1-I14)*(7)</f>
        <v>8.013542656597707</v>
      </c>
      <c r="AK43" s="2">
        <f>J14*($AI$35+2)+(1-J14)*(7)</f>
        <v>8.1538078862497549</v>
      </c>
      <c r="AL43" s="2">
        <f>K14*($AI$35+2)+(1-K14)*(7)</f>
        <v>8.2630828769751936</v>
      </c>
      <c r="AM43" s="2">
        <f t="shared" si="18"/>
        <v>7.619178878844477</v>
      </c>
      <c r="AP43" s="2">
        <f>(EXP(A14*Y43))/(EXP(A14*Y43)+EXP(A14*AM43))</f>
        <v>0.5656897342323477</v>
      </c>
      <c r="AQ43" s="9"/>
    </row>
    <row r="44" spans="1:43" x14ac:dyDescent="0.25">
      <c r="A44" s="4">
        <v>3.8</v>
      </c>
      <c r="B44" s="9">
        <v>8.0568338373311301E-8</v>
      </c>
      <c r="C44" s="9">
        <v>3.5811376736799901E-6</v>
      </c>
      <c r="D44" s="9">
        <v>1.6003570364482499E-4</v>
      </c>
      <c r="E44" s="9">
        <v>3.3350196604088498E-3</v>
      </c>
      <c r="F44" s="9">
        <v>3.1679425420109798E-2</v>
      </c>
      <c r="G44" s="9">
        <v>0.24234692444890599</v>
      </c>
      <c r="H44" s="9">
        <v>0.75771362857647095</v>
      </c>
      <c r="I44" s="9">
        <v>0.968330690295783</v>
      </c>
      <c r="J44" s="9">
        <v>0.99666607643097005</v>
      </c>
      <c r="K44" s="9">
        <v>0.9996579820182</v>
      </c>
      <c r="N44" s="4">
        <v>0.9</v>
      </c>
      <c r="O44" s="2">
        <f>B15*($U$35+2)+(1-B15)*($U$35)</f>
        <v>6.5429362464711769</v>
      </c>
      <c r="P44" s="2">
        <f>C15*($U$35+2)+(1-C15)*($U$35)</f>
        <v>6.6023975051442561</v>
      </c>
      <c r="Q44" s="2">
        <f>D15*($U$35+2)+(1-D15)*($U$35)</f>
        <v>6.7343446770821158</v>
      </c>
      <c r="R44" s="2">
        <f>E15*($U$35+2)+(1-E15)*($U$35+2)</f>
        <v>8.5</v>
      </c>
      <c r="S44" s="2">
        <f>F15*($U$35+2)+(1-F15)*($U$35+2)</f>
        <v>8.5</v>
      </c>
      <c r="T44" s="2">
        <f>G15*($U$35+2)+(1-G15)*($U$35+2)</f>
        <v>8.5</v>
      </c>
      <c r="U44" s="2">
        <f>H15*($U$35+2)+(1-H15)*($U$35+2)</f>
        <v>8.5</v>
      </c>
      <c r="V44" s="2">
        <f>I15*($U$35+2)+(1-I15)*($U$35+2)</f>
        <v>8.5</v>
      </c>
      <c r="W44" s="2">
        <f>J15*($U$35+2)+(1-J15)*($U$35+2)</f>
        <v>8.5</v>
      </c>
      <c r="X44" s="2">
        <f>K15*($U$35+2)+(1-K15)*($U$35+2)</f>
        <v>8.5</v>
      </c>
      <c r="Y44" s="2">
        <f t="shared" si="17"/>
        <v>7.9379678428697549</v>
      </c>
      <c r="AB44" s="4">
        <v>0.9</v>
      </c>
      <c r="AC44" s="2">
        <f>B15*($AI$35+2)+(1-B15)*(7)</f>
        <v>7.0322021848533831</v>
      </c>
      <c r="AD44" s="2">
        <f>C15*($AI$35+2)+(1-C15)*(7)</f>
        <v>7.0767981288581918</v>
      </c>
      <c r="AE44" s="2">
        <f>D15*($AI$35+2)+(1-D15)*(7)</f>
        <v>7.1757585078115875</v>
      </c>
      <c r="AF44" s="2">
        <f>E15*($AI$35+2)+(1-E15)*(7)</f>
        <v>7.320347115039862</v>
      </c>
      <c r="AG44" s="2">
        <f>F15*($AI$35+2)+(1-F15)*(7)</f>
        <v>7.4741533549781494</v>
      </c>
      <c r="AH44" s="2">
        <f>G15*($AI$35+2)+(1-G15)*(7)</f>
        <v>7.6604609027336403</v>
      </c>
      <c r="AI44" s="2">
        <f>H15*($AI$35+2)+(1-H15)*(7)</f>
        <v>7.8586964219134616</v>
      </c>
      <c r="AJ44" s="2">
        <f>I15*($AI$35+2)+(1-I15)*(7)</f>
        <v>8.0425445326849285</v>
      </c>
      <c r="AK44" s="2">
        <f>J15*($AI$35+2)+(1-J15)*(7)</f>
        <v>8.1925575956377923</v>
      </c>
      <c r="AL44" s="2">
        <f>K15*($AI$35+2)+(1-K15)*(7)</f>
        <v>8.3026874015876473</v>
      </c>
      <c r="AM44" s="2">
        <f t="shared" si="18"/>
        <v>7.6136206146098644</v>
      </c>
      <c r="AP44" s="2">
        <f>(EXP(A15*Y44))/(EXP(A15*Y44)+EXP(A15*AM44))</f>
        <v>0.57246428132334082</v>
      </c>
      <c r="AQ44" s="9"/>
    </row>
    <row r="45" spans="1:43" x14ac:dyDescent="0.25">
      <c r="A45" s="4">
        <v>3.9</v>
      </c>
      <c r="B45" s="9">
        <v>5.2572546322462E-8</v>
      </c>
      <c r="C45" s="9">
        <v>2.57466690488877E-6</v>
      </c>
      <c r="D45" s="9">
        <v>1.27156468246511E-4</v>
      </c>
      <c r="E45" s="9">
        <v>2.8717693421193399E-3</v>
      </c>
      <c r="F45" s="9">
        <v>2.9031397662298002E-2</v>
      </c>
      <c r="G45" s="9">
        <v>0.236876450604248</v>
      </c>
      <c r="H45" s="9">
        <v>0.76317280284893696</v>
      </c>
      <c r="I45" s="9">
        <v>0.97097628252104495</v>
      </c>
      <c r="J45" s="9">
        <v>0.99712901084700201</v>
      </c>
      <c r="K45" s="9">
        <v>0.99972273429986802</v>
      </c>
      <c r="N45" s="4">
        <v>1</v>
      </c>
      <c r="O45" s="2">
        <f>B16*($U$35+2)+(1-B16)*($U$35)</f>
        <v>6.5279039434676687</v>
      </c>
      <c r="P45" s="2">
        <f>C16*($U$35+2)+(1-C16)*($U$35)</f>
        <v>6.5740749518153372</v>
      </c>
      <c r="Q45" s="2">
        <f>D16*($U$35+2)+(1-D16)*($U$35)</f>
        <v>6.6893088255246909</v>
      </c>
      <c r="R45" s="2">
        <f>E16*($U$35+2)+(1-E16)*($U$35+2)</f>
        <v>8.5</v>
      </c>
      <c r="S45" s="2">
        <f>F16*($U$35+2)+(1-F16)*($U$35+2)</f>
        <v>8.5</v>
      </c>
      <c r="T45" s="2">
        <f>G16*($U$35+2)+(1-G16)*($U$35+2)</f>
        <v>8.5</v>
      </c>
      <c r="U45" s="2">
        <f>H16*($U$35+2)+(1-H16)*($U$35+2)</f>
        <v>8.5</v>
      </c>
      <c r="V45" s="2">
        <f>I16*($U$35+2)+(1-I16)*($U$35+2)</f>
        <v>8.5</v>
      </c>
      <c r="W45" s="2">
        <f>J16*($U$35+2)+(1-J16)*($U$35+2)</f>
        <v>8.5</v>
      </c>
      <c r="X45" s="2">
        <f>K16*($U$35+2)+(1-K16)*($U$35+2)</f>
        <v>8.5</v>
      </c>
      <c r="Y45" s="2">
        <f t="shared" si="17"/>
        <v>7.9291287720807704</v>
      </c>
      <c r="AB45" s="4">
        <v>1</v>
      </c>
      <c r="AC45" s="2">
        <f>B16*($AI$35+2)+(1-B16)*(7)</f>
        <v>7.0209279576007511</v>
      </c>
      <c r="AD45" s="2">
        <f>C16*($AI$35+2)+(1-C16)*(7)</f>
        <v>7.0555562138615029</v>
      </c>
      <c r="AE45" s="2">
        <f>D16*($AI$35+2)+(1-D16)*(7)</f>
        <v>7.1419816191435181</v>
      </c>
      <c r="AF45" s="2">
        <f>E16*($AI$35+2)+(1-E16)*(7)</f>
        <v>7.2824072206631021</v>
      </c>
      <c r="AG45" s="2">
        <f>F16*($AI$35+2)+(1-F16)*(7)</f>
        <v>7.4436076393096666</v>
      </c>
      <c r="AH45" s="2">
        <f>G16*($AI$35+2)+(1-G16)*(7)</f>
        <v>7.6478630352254662</v>
      </c>
      <c r="AI45" s="2">
        <f>H16*($AI$35+2)+(1-H16)*(7)</f>
        <v>7.868817683104548</v>
      </c>
      <c r="AJ45" s="2">
        <f>I16*($AI$35+2)+(1-I16)*(7)</f>
        <v>8.0704649615232089</v>
      </c>
      <c r="AK45" s="2">
        <f>J16*($AI$35+2)+(1-J16)*(7)</f>
        <v>8.227868935728587</v>
      </c>
      <c r="AL45" s="2">
        <f>K16*($AI$35+2)+(1-K16)*(7)</f>
        <v>8.3364069659439579</v>
      </c>
      <c r="AM45" s="2">
        <f t="shared" si="18"/>
        <v>7.6095902232104295</v>
      </c>
      <c r="AP45" s="2">
        <f>(EXP(A16*Y45))/(EXP(A16*Y45)+EXP(A16*AM45))</f>
        <v>0.5792117888577013</v>
      </c>
      <c r="AQ45" s="9"/>
    </row>
    <row r="46" spans="1:43" x14ac:dyDescent="0.25">
      <c r="A46" s="4">
        <v>4</v>
      </c>
      <c r="B46" s="9">
        <v>3.4361351761285699E-8</v>
      </c>
      <c r="C46" s="9">
        <v>1.8511042931215001E-6</v>
      </c>
      <c r="D46" s="9">
        <v>1.0103188995025799E-4</v>
      </c>
      <c r="E46" s="9">
        <v>2.4727152550708099E-3</v>
      </c>
      <c r="F46" s="9">
        <v>2.65987363189777E-2</v>
      </c>
      <c r="G46" s="9">
        <v>0.23149255133231</v>
      </c>
      <c r="H46" s="9">
        <v>0.76854747957050895</v>
      </c>
      <c r="I46" s="9">
        <v>0.97340708936870901</v>
      </c>
      <c r="J46" s="9">
        <v>0.99752783974872805</v>
      </c>
      <c r="K46" s="9">
        <v>0.99977523176427896</v>
      </c>
      <c r="N46" s="4">
        <v>1.1000000000000001</v>
      </c>
      <c r="O46" s="2">
        <f>B17*($U$35+2)+(1-B17)*($U$35)</f>
        <v>6.5181061775310489</v>
      </c>
      <c r="P46" s="2">
        <f>C17*($U$35+2)+(1-C17)*($U$35)</f>
        <v>6.5534246316655542</v>
      </c>
      <c r="Q46" s="2">
        <f>D17*($U$35+2)+(1-D17)*($U$35)</f>
        <v>6.6523407603273981</v>
      </c>
      <c r="R46" s="2">
        <f>E17*($U$35+2)+(1-E17)*($U$35+2)</f>
        <v>8.5</v>
      </c>
      <c r="S46" s="2">
        <f>F17*($U$35+2)+(1-F17)*($U$35+2)</f>
        <v>8.5</v>
      </c>
      <c r="T46" s="2">
        <f>G17*($U$35+2)+(1-G17)*($U$35+2)</f>
        <v>8.5</v>
      </c>
      <c r="U46" s="2">
        <f>H17*($U$35+2)+(1-H17)*($U$35+2)</f>
        <v>8.5</v>
      </c>
      <c r="V46" s="2">
        <f>I17*($U$35+2)+(1-I17)*($U$35+2)</f>
        <v>8.5</v>
      </c>
      <c r="W46" s="2">
        <f>J17*($U$35+2)+(1-J17)*($U$35+2)</f>
        <v>8.5</v>
      </c>
      <c r="X46" s="2">
        <f>K17*($U$35+2)+(1-K17)*($U$35+2)</f>
        <v>8.5</v>
      </c>
      <c r="Y46" s="2">
        <f t="shared" si="17"/>
        <v>7.9223871569523991</v>
      </c>
      <c r="AB46" s="4">
        <v>1.1000000000000001</v>
      </c>
      <c r="AC46" s="2">
        <f>B17*($AI$35+2)+(1-B17)*(7)</f>
        <v>7.0135796331482867</v>
      </c>
      <c r="AD46" s="2">
        <f>C17*($AI$35+2)+(1-C17)*(7)</f>
        <v>7.040068473749165</v>
      </c>
      <c r="AE46" s="2">
        <f>D17*($AI$35+2)+(1-D17)*(7)</f>
        <v>7.1142555702455486</v>
      </c>
      <c r="AF46" s="2">
        <f>E17*($AI$35+2)+(1-E17)*(7)</f>
        <v>7.2482192953988527</v>
      </c>
      <c r="AG46" s="2">
        <f>F17*($AI$35+2)+(1-F17)*(7)</f>
        <v>7.41444111458416</v>
      </c>
      <c r="AH46" s="2">
        <f>G17*($AI$35+2)+(1-G17)*(7)</f>
        <v>7.6354671522815574</v>
      </c>
      <c r="AI46" s="2">
        <f>H17*($AI$35+2)+(1-H17)*(7)</f>
        <v>7.8789300270321618</v>
      </c>
      <c r="AJ46" s="2">
        <f>I17*($AI$35+2)+(1-I17)*(7)</f>
        <v>8.0972811292043669</v>
      </c>
      <c r="AK46" s="2">
        <f>J17*($AI$35+2)+(1-J17)*(7)</f>
        <v>8.2598415664433738</v>
      </c>
      <c r="AL46" s="2">
        <f>K17*($AI$35+2)+(1-K17)*(7)</f>
        <v>8.3648645471576657</v>
      </c>
      <c r="AM46" s="2">
        <f t="shared" si="18"/>
        <v>7.606694850924514</v>
      </c>
      <c r="AP46" s="2">
        <f>(EXP(A17*Y46))/(EXP(A17*Y46)+EXP(A17*AM46))</f>
        <v>0.58595335154488759</v>
      </c>
    </row>
    <row r="47" spans="1:43" x14ac:dyDescent="0.25">
      <c r="A47" s="4">
        <v>4.0999999999999996</v>
      </c>
      <c r="B47" s="9">
        <v>2.2514963944849399E-8</v>
      </c>
      <c r="C47" s="9">
        <v>1.3309251841753899E-6</v>
      </c>
      <c r="D47" s="9">
        <v>8.0274438290473194E-5</v>
      </c>
      <c r="E47" s="9">
        <v>2.1289999044956402E-3</v>
      </c>
      <c r="F47" s="9">
        <v>2.4364878780083601E-2</v>
      </c>
      <c r="G47" s="9">
        <v>0.22619541456370301</v>
      </c>
      <c r="H47" s="9">
        <v>0.77383709605407103</v>
      </c>
      <c r="I47" s="9">
        <v>0.97563953642357104</v>
      </c>
      <c r="J47" s="9">
        <v>0.99787139469266395</v>
      </c>
      <c r="K47" s="9">
        <v>0.99981779228281298</v>
      </c>
      <c r="N47" s="4">
        <v>1.2</v>
      </c>
      <c r="O47" s="2">
        <f>B18*($U$35+2)+(1-B18)*($U$35)</f>
        <v>6.5117413186996522</v>
      </c>
      <c r="P47" s="2">
        <f>C18*($U$35+2)+(1-C18)*($U$35)</f>
        <v>6.5384587173770363</v>
      </c>
      <c r="Q47" s="2">
        <f>D18*($U$35+2)+(1-D18)*($U$35)</f>
        <v>6.622234042743103</v>
      </c>
      <c r="R47" s="2">
        <f>E18*($U$35+2)+(1-E18)*($U$35+2)</f>
        <v>8.5</v>
      </c>
      <c r="S47" s="2">
        <f>F18*($U$35+2)+(1-F18)*($U$35+2)</f>
        <v>8.5</v>
      </c>
      <c r="T47" s="2">
        <f>G18*($U$35+2)+(1-G18)*($U$35+2)</f>
        <v>8.5</v>
      </c>
      <c r="U47" s="2">
        <f>H18*($U$35+2)+(1-H18)*($U$35+2)</f>
        <v>8.5</v>
      </c>
      <c r="V47" s="2">
        <f>I18*($U$35+2)+(1-I18)*($U$35+2)</f>
        <v>8.5</v>
      </c>
      <c r="W47" s="2">
        <f>J18*($U$35+2)+(1-J18)*($U$35+2)</f>
        <v>8.5</v>
      </c>
      <c r="X47" s="2">
        <f>K18*($U$35+2)+(1-K18)*($U$35+2)</f>
        <v>8.5</v>
      </c>
      <c r="Y47" s="2">
        <f t="shared" si="17"/>
        <v>7.9172434078819789</v>
      </c>
      <c r="AB47" s="4">
        <v>1.2</v>
      </c>
      <c r="AC47" s="2">
        <f>B18*($AI$35+2)+(1-B18)*(7)</f>
        <v>7.0088059890247392</v>
      </c>
      <c r="AD47" s="2">
        <f>C18*($AI$35+2)+(1-C18)*(7)</f>
        <v>7.0288440380327764</v>
      </c>
      <c r="AE47" s="2">
        <f>D18*($AI$35+2)+(1-D18)*(7)</f>
        <v>7.0916755320573275</v>
      </c>
      <c r="AF47" s="2">
        <f>E18*($AI$35+2)+(1-E18)*(7)</f>
        <v>7.217614470411263</v>
      </c>
      <c r="AG47" s="2">
        <f>F18*($AI$35+2)+(1-F18)*(7)</f>
        <v>7.3866938663664801</v>
      </c>
      <c r="AH47" s="2">
        <f>G18*($AI$35+2)+(1-G18)*(7)</f>
        <v>7.6232916801027937</v>
      </c>
      <c r="AI47" s="2">
        <f>H18*($AI$35+2)+(1-H18)*(7)</f>
        <v>7.8890493370680401</v>
      </c>
      <c r="AJ47" s="2">
        <f>I18*($AI$35+2)+(1-I18)*(7)</f>
        <v>8.1229771466222704</v>
      </c>
      <c r="AK47" s="2">
        <f>J18*($AI$35+2)+(1-J18)*(7)</f>
        <v>8.2886307826096193</v>
      </c>
      <c r="AL47" s="2">
        <f>K18*($AI$35+2)+(1-K18)*(7)</f>
        <v>8.3887135255747687</v>
      </c>
      <c r="AM47" s="2">
        <f t="shared" si="18"/>
        <v>7.6046296367870081</v>
      </c>
      <c r="AP47" s="2">
        <f>(EXP(A18*Y47))/(EXP(A18*Y47)+EXP(A18*AM47))</f>
        <v>0.59269955850918732</v>
      </c>
    </row>
    <row r="48" spans="1:43" x14ac:dyDescent="0.25">
      <c r="A48" s="4">
        <v>4.2</v>
      </c>
      <c r="B48" s="9">
        <v>1.48088596027389E-8</v>
      </c>
      <c r="C48" s="9">
        <v>9.5696003117258198E-7</v>
      </c>
      <c r="D48" s="9">
        <v>6.3781558572830694E-5</v>
      </c>
      <c r="E48" s="9">
        <v>1.8329780546491601E-3</v>
      </c>
      <c r="F48" s="9">
        <v>2.2314384356659101E-2</v>
      </c>
      <c r="G48" s="9">
        <v>0.220985173409284</v>
      </c>
      <c r="H48" s="9">
        <v>0.77904121048206598</v>
      </c>
      <c r="I48" s="9">
        <v>0.97768895919194998</v>
      </c>
      <c r="J48" s="9">
        <v>0.99816730235388196</v>
      </c>
      <c r="K48" s="9">
        <v>0.99985229579757995</v>
      </c>
      <c r="N48" s="4">
        <v>1.3</v>
      </c>
      <c r="O48" s="2">
        <f>B19*($U$35+2)+(1-B19)*($U$35)</f>
        <v>6.5076131880264638</v>
      </c>
      <c r="P48" s="2">
        <f>C19*($U$35+2)+(1-C19)*($U$35)</f>
        <v>6.5276540521599875</v>
      </c>
      <c r="Q48" s="2">
        <f>D19*($U$35+2)+(1-D19)*($U$35)</f>
        <v>6.5978590931551242</v>
      </c>
      <c r="R48" s="2">
        <f>E19*($U$35+2)+(1-E19)*($U$35+2)</f>
        <v>8.5</v>
      </c>
      <c r="S48" s="2">
        <f>F19*($U$35+2)+(1-F19)*($U$35+2)</f>
        <v>8.5</v>
      </c>
      <c r="T48" s="2">
        <f>G19*($U$35+2)+(1-G19)*($U$35+2)</f>
        <v>8.5</v>
      </c>
      <c r="U48" s="2">
        <f>H19*($U$35+2)+(1-H19)*($U$35+2)</f>
        <v>8.5</v>
      </c>
      <c r="V48" s="2">
        <f>I19*($U$35+2)+(1-I19)*($U$35+2)</f>
        <v>8.5</v>
      </c>
      <c r="W48" s="2">
        <f>J19*($U$35+2)+(1-J19)*($U$35+2)</f>
        <v>8.5</v>
      </c>
      <c r="X48" s="2">
        <f>K19*($U$35+2)+(1-K19)*($U$35+2)</f>
        <v>8.5</v>
      </c>
      <c r="Y48" s="2">
        <f t="shared" si="17"/>
        <v>7.9133126333341579</v>
      </c>
      <c r="AB48" s="4">
        <v>1.3</v>
      </c>
      <c r="AC48" s="2">
        <f>B19*($AI$35+2)+(1-B19)*(7)</f>
        <v>7.0057098910198476</v>
      </c>
      <c r="AD48" s="2">
        <f>C19*($AI$35+2)+(1-C19)*(7)</f>
        <v>7.0207405391199913</v>
      </c>
      <c r="AE48" s="2">
        <f>D19*($AI$35+2)+(1-D19)*(7)</f>
        <v>7.0733943198663427</v>
      </c>
      <c r="AF48" s="2">
        <f>E19*($AI$35+2)+(1-E19)*(7)</f>
        <v>7.1903620162298418</v>
      </c>
      <c r="AG48" s="2">
        <f>F19*($AI$35+2)+(1-F19)*(7)</f>
        <v>7.3603715880120362</v>
      </c>
      <c r="AH48" s="2">
        <f>G19*($AI$35+2)+(1-G19)*(7)</f>
        <v>7.6113386136094805</v>
      </c>
      <c r="AI48" s="2">
        <f>H19*($AI$35+2)+(1-H19)*(7)</f>
        <v>7.8991812463099453</v>
      </c>
      <c r="AJ48" s="2">
        <f>I19*($AI$35+2)+(1-I19)*(7)</f>
        <v>8.147542487823447</v>
      </c>
      <c r="AK48" s="2">
        <f>J19*($AI$35+2)+(1-J19)*(7)</f>
        <v>8.3144264615986589</v>
      </c>
      <c r="AL48" s="2">
        <f>K19*($AI$35+2)+(1-K19)*(7)</f>
        <v>8.4085875479083949</v>
      </c>
      <c r="AM48" s="2">
        <f t="shared" si="18"/>
        <v>7.603165471149798</v>
      </c>
      <c r="AP48" s="2">
        <f>(EXP(A19*Y48))/(EXP(A19*Y48)+EXP(A19*AM48))</f>
        <v>0.59945416477886804</v>
      </c>
    </row>
    <row r="49" spans="1:42" x14ac:dyDescent="0.25">
      <c r="A49" s="4">
        <v>4.3</v>
      </c>
      <c r="B49" s="9">
        <v>9.7960070653816703E-9</v>
      </c>
      <c r="C49" s="9">
        <v>6.8810975383845699E-7</v>
      </c>
      <c r="D49" s="9">
        <v>5.0677160012663699E-5</v>
      </c>
      <c r="E49" s="9">
        <v>1.57805332436266E-3</v>
      </c>
      <c r="F49" s="9">
        <v>2.0432882800024001E-2</v>
      </c>
      <c r="G49" s="9">
        <v>0.21586190264972799</v>
      </c>
      <c r="H49" s="9">
        <v>0.78415949412693697</v>
      </c>
      <c r="I49" s="9">
        <v>0.97956964732285701</v>
      </c>
      <c r="J49" s="9">
        <v>0.99842214584551003</v>
      </c>
      <c r="K49" s="9">
        <v>0.99988026690717602</v>
      </c>
      <c r="N49" s="4">
        <v>1.4</v>
      </c>
      <c r="O49" s="2">
        <f>B20*($U$35+2)+(1-B20)*($U$35)</f>
        <v>6.504937387742924</v>
      </c>
      <c r="P49" s="2">
        <f>C20*($U$35+2)+(1-C20)*($U$35)</f>
        <v>6.5198722085802867</v>
      </c>
      <c r="Q49" s="2">
        <f>D20*($U$35+2)+(1-D20)*($U$35)</f>
        <v>6.578211526335453</v>
      </c>
      <c r="R49" s="2">
        <f>E20*($U$35+2)+(1-E20)*($U$35+2)</f>
        <v>8.5</v>
      </c>
      <c r="S49" s="2">
        <f>F20*($U$35+2)+(1-F20)*($U$35+2)</f>
        <v>8.5</v>
      </c>
      <c r="T49" s="2">
        <f>G20*($U$35+2)+(1-G20)*($U$35+2)</f>
        <v>8.5</v>
      </c>
      <c r="U49" s="2">
        <f>H20*($U$35+2)+(1-H20)*($U$35+2)</f>
        <v>8.5</v>
      </c>
      <c r="V49" s="2">
        <f>I20*($U$35+2)+(1-I20)*($U$35+2)</f>
        <v>8.5</v>
      </c>
      <c r="W49" s="2">
        <f>J20*($U$35+2)+(1-J20)*($U$35+2)</f>
        <v>8.5</v>
      </c>
      <c r="X49" s="2">
        <f>K20*($U$35+2)+(1-K20)*($U$35+2)</f>
        <v>8.5</v>
      </c>
      <c r="Y49" s="2">
        <f t="shared" si="17"/>
        <v>7.9103021122658657</v>
      </c>
      <c r="AB49" s="4">
        <v>1.4</v>
      </c>
      <c r="AC49" s="2">
        <f>B20*($AI$35+2)+(1-B20)*(7)</f>
        <v>7.003703040807193</v>
      </c>
      <c r="AD49" s="2">
        <f>C20*($AI$35+2)+(1-C20)*(7)</f>
        <v>7.0149041564352155</v>
      </c>
      <c r="AE49" s="2">
        <f>D20*($AI$35+2)+(1-D20)*(7)</f>
        <v>7.0586586447515884</v>
      </c>
      <c r="AF49" s="2">
        <f>E20*($AI$35+2)+(1-E20)*(7)</f>
        <v>7.1662007795338178</v>
      </c>
      <c r="AG49" s="2">
        <f>F20*($AI$35+2)+(1-F20)*(7)</f>
        <v>7.3354593020773038</v>
      </c>
      <c r="AH49" s="2">
        <f>G20*($AI$35+2)+(1-G20)*(7)</f>
        <v>7.5996013279150425</v>
      </c>
      <c r="AI49" s="2">
        <f>H20*($AI$35+2)+(1-H20)*(7)</f>
        <v>7.9093248110143213</v>
      </c>
      <c r="AJ49" s="2">
        <f>I20*($AI$35+2)+(1-I20)*(7)</f>
        <v>8.170971545224976</v>
      </c>
      <c r="AK49" s="2">
        <f>J20*($AI$35+2)+(1-J20)*(7)</f>
        <v>8.3374382771802154</v>
      </c>
      <c r="AL49" s="2">
        <f>K20*($AI$35+2)+(1-K20)*(7)</f>
        <v>8.4250728783205187</v>
      </c>
      <c r="AM49" s="2">
        <f t="shared" si="18"/>
        <v>7.6021334763260198</v>
      </c>
      <c r="AP49" s="2">
        <f>(EXP(A20*Y49))/(EXP(A20*Y49)+EXP(A20*AM49))</f>
        <v>0.6062165413480417</v>
      </c>
    </row>
    <row r="50" spans="1:42" x14ac:dyDescent="0.25">
      <c r="A50" s="4">
        <v>4.4000000000000004</v>
      </c>
      <c r="B50" s="9">
        <v>6.53511949570934E-9</v>
      </c>
      <c r="C50" s="9">
        <v>4.9482806329352895E-7</v>
      </c>
      <c r="D50" s="9">
        <v>4.0265111339021398E-5</v>
      </c>
      <c r="E50" s="9">
        <v>1.3585361695319801E-3</v>
      </c>
      <c r="F50" s="9">
        <v>1.87070209391485E-2</v>
      </c>
      <c r="G50" s="9">
        <v>0.21082561635564001</v>
      </c>
      <c r="H50" s="9">
        <v>0.78919172429150597</v>
      </c>
      <c r="I50" s="9">
        <v>0.98129489232439104</v>
      </c>
      <c r="J50" s="9">
        <v>0.99864160523582102</v>
      </c>
      <c r="K50" s="9">
        <v>0.99990294192896501</v>
      </c>
      <c r="N50" s="4">
        <v>1.5</v>
      </c>
      <c r="O50" s="2">
        <f>B21*($U$35+2)+(1-B21)*($U$35)</f>
        <v>6.5032030616557499</v>
      </c>
      <c r="P50" s="2">
        <f>C21*($U$35+2)+(1-C21)*($U$35)</f>
        <v>6.5142755224244402</v>
      </c>
      <c r="Q50" s="2">
        <f>D21*($U$35+2)+(1-D21)*($U$35)</f>
        <v>6.56242704613559</v>
      </c>
      <c r="R50" s="2">
        <f>E21*($U$35+2)+(1-E21)*($U$35+2)</f>
        <v>8.5</v>
      </c>
      <c r="S50" s="2">
        <f>F21*($U$35+2)+(1-F21)*($U$35+2)</f>
        <v>8.5</v>
      </c>
      <c r="T50" s="2">
        <f>G21*($U$35+2)+(1-G21)*($U$35+2)</f>
        <v>8.5</v>
      </c>
      <c r="U50" s="2">
        <f>H21*($U$35+2)+(1-H21)*($U$35+2)</f>
        <v>8.5</v>
      </c>
      <c r="V50" s="2">
        <f>I21*($U$35+2)+(1-I21)*($U$35+2)</f>
        <v>8.5</v>
      </c>
      <c r="W50" s="2">
        <f>J21*($U$35+2)+(1-J21)*($U$35+2)</f>
        <v>8.5</v>
      </c>
      <c r="X50" s="2">
        <f>K21*($U$35+2)+(1-K21)*($U$35+2)</f>
        <v>8.5</v>
      </c>
      <c r="Y50" s="2">
        <f t="shared" si="17"/>
        <v>7.9079905630215777</v>
      </c>
      <c r="AB50" s="4">
        <v>1.5</v>
      </c>
      <c r="AC50" s="2">
        <f>B21*($AI$35+2)+(1-B21)*(7)</f>
        <v>7.0024022962418124</v>
      </c>
      <c r="AD50" s="2">
        <f>C21*($AI$35+2)+(1-C21)*(7)</f>
        <v>7.0107066418183308</v>
      </c>
      <c r="AE50" s="2">
        <f>D21*($AI$35+2)+(1-D21)*(7)</f>
        <v>7.0468202846016927</v>
      </c>
      <c r="AF50" s="2">
        <f>E21*($AI$35+2)+(1-E21)*(7)</f>
        <v>7.1448592342226096</v>
      </c>
      <c r="AG50" s="2">
        <f>F21*($AI$35+2)+(1-F21)*(7)</f>
        <v>7.3119294594002664</v>
      </c>
      <c r="AH50" s="2">
        <f>G21*($AI$35+2)+(1-G21)*(7)</f>
        <v>7.5880692053004521</v>
      </c>
      <c r="AI50" s="2">
        <f>H21*($AI$35+2)+(1-H21)*(7)</f>
        <v>7.919474958350083</v>
      </c>
      <c r="AJ50" s="2">
        <f>I21*($AI$35+2)+(1-I21)*(7)</f>
        <v>8.1932637471768963</v>
      </c>
      <c r="AK50" s="2">
        <f>J21*($AI$35+2)+(1-J21)*(7)</f>
        <v>8.3578851947871833</v>
      </c>
      <c r="AL50" s="2">
        <f>K21*($AI$35+2)+(1-K21)*(7)</f>
        <v>8.4386954441135948</v>
      </c>
      <c r="AM50" s="2">
        <f t="shared" si="18"/>
        <v>7.6014106466012921</v>
      </c>
      <c r="AP50" s="2">
        <f>(EXP(A21*Y50))/(EXP(A21*Y50)+EXP(A21*AM50))</f>
        <v>0.61298330633078113</v>
      </c>
    </row>
    <row r="51" spans="1:42" x14ac:dyDescent="0.25">
      <c r="A51" s="4">
        <v>4.5</v>
      </c>
      <c r="B51" s="9">
        <v>4.4138913777495603E-9</v>
      </c>
      <c r="C51" s="9">
        <v>3.5587388283145498E-7</v>
      </c>
      <c r="D51" s="9">
        <v>3.1992282066679497E-5</v>
      </c>
      <c r="E51" s="9">
        <v>1.1695206170463E-3</v>
      </c>
      <c r="F51" s="9">
        <v>1.7124408391398199E-2</v>
      </c>
      <c r="G51" s="9">
        <v>0.20587626645456</v>
      </c>
      <c r="H51" s="9">
        <v>0.79413777786789796</v>
      </c>
      <c r="I51" s="9">
        <v>0.98287703747405397</v>
      </c>
      <c r="J51" s="9">
        <v>0.99883057973619005</v>
      </c>
      <c r="K51" s="9">
        <v>0.99992132333918105</v>
      </c>
      <c r="N51" s="4">
        <v>1.6</v>
      </c>
      <c r="O51" s="2">
        <f t="shared" ref="O51:Q51" si="19">B22*($U$35+2)+(1-B22)*($U$35)</f>
        <v>6.502078690089129</v>
      </c>
      <c r="P51" s="2">
        <f t="shared" si="19"/>
        <v>6.5102536878133304</v>
      </c>
      <c r="Q51" s="2">
        <f t="shared" si="19"/>
        <v>6.5497780145113751</v>
      </c>
      <c r="R51" s="2">
        <f t="shared" ref="R51:X51" si="20">E22*($U$35+2)+(1-E22)*($U$35+2)</f>
        <v>8.5</v>
      </c>
      <c r="S51" s="2">
        <f t="shared" si="20"/>
        <v>8.5</v>
      </c>
      <c r="T51" s="2">
        <f t="shared" si="20"/>
        <v>8.5</v>
      </c>
      <c r="U51" s="2">
        <f t="shared" si="20"/>
        <v>8.5</v>
      </c>
      <c r="V51" s="2">
        <f t="shared" si="20"/>
        <v>8.5</v>
      </c>
      <c r="W51" s="2">
        <f t="shared" si="20"/>
        <v>8.5</v>
      </c>
      <c r="X51" s="2">
        <f t="shared" si="20"/>
        <v>8.5</v>
      </c>
      <c r="Y51" s="2">
        <f t="shared" ref="Y51:Y55" si="21">SUM(O51:X51)/10</f>
        <v>7.9062110392413842</v>
      </c>
      <c r="AB51" s="4">
        <v>1.6</v>
      </c>
      <c r="AC51" s="2">
        <f>B22*($AI$35+2)+(1-B22)*(7)</f>
        <v>7.0015590175668461</v>
      </c>
      <c r="AD51" s="2">
        <f>C22*($AI$35+2)+(1-C22)*(7)</f>
        <v>7.0076902658599973</v>
      </c>
      <c r="AE51" s="2">
        <f>D22*($AI$35+2)+(1-D22)*(7)</f>
        <v>7.0373335108835313</v>
      </c>
      <c r="AF51" s="2">
        <f>E22*($AI$35+2)+(1-E22)*(7)</f>
        <v>7.1260681320927519</v>
      </c>
      <c r="AG51" s="2">
        <f>F22*($AI$35+2)+(1-F22)*(7)</f>
        <v>7.2897466654643743</v>
      </c>
      <c r="AH51" s="2">
        <f>G22*($AI$35+2)+(1-G22)*(7)</f>
        <v>7.5767303093447484</v>
      </c>
      <c r="AI51" s="2">
        <f>H22*($AI$35+2)+(1-H22)*(7)</f>
        <v>7.9296241235074971</v>
      </c>
      <c r="AJ51" s="2">
        <f>I22*($AI$35+2)+(1-I22)*(7)</f>
        <v>8.2144238079486325</v>
      </c>
      <c r="AK51" s="2">
        <f>J22*($AI$35+2)+(1-J22)*(7)</f>
        <v>8.3759878368784904</v>
      </c>
      <c r="AL51" s="2">
        <f>K22*($AI$35+2)+(1-K22)*(7)</f>
        <v>8.4499169488407908</v>
      </c>
      <c r="AM51" s="2">
        <f t="shared" ref="AM51:AM55" si="22">SUM(AC51:AL51)/10</f>
        <v>7.6009080618387657</v>
      </c>
      <c r="AP51" s="2">
        <f>(EXP(A22*Y51))/(EXP(A22*Y51)+EXP(A22*AM51))</f>
        <v>0.6197494165219154</v>
      </c>
    </row>
    <row r="52" spans="1:42" x14ac:dyDescent="0.25">
      <c r="A52" s="4">
        <v>4.5999999999999996</v>
      </c>
      <c r="B52" s="9">
        <v>3.03401740003588E-9</v>
      </c>
      <c r="C52" s="9">
        <v>2.5597674685715102E-7</v>
      </c>
      <c r="D52" s="9">
        <v>2.5419171515963099E-5</v>
      </c>
      <c r="E52" s="9">
        <v>1.0067773967414599E-3</v>
      </c>
      <c r="F52" s="9">
        <v>1.56735631421311E-2</v>
      </c>
      <c r="G52" s="9">
        <v>0.20101374208825601</v>
      </c>
      <c r="H52" s="9">
        <v>0.79899762542604702</v>
      </c>
      <c r="I52" s="9">
        <v>0.98432752885188701</v>
      </c>
      <c r="J52" s="9">
        <v>0.99899329379553403</v>
      </c>
      <c r="K52" s="9">
        <v>0.99993622395533599</v>
      </c>
      <c r="N52" s="4">
        <v>1.7</v>
      </c>
      <c r="O52" s="2">
        <f t="shared" ref="O52:Q52" si="23">B23*($U$35+2)+(1-B23)*($U$35)</f>
        <v>6.5013494881306677</v>
      </c>
      <c r="P52" s="2">
        <f t="shared" si="23"/>
        <v>6.5073647902805014</v>
      </c>
      <c r="Q52" s="2">
        <f t="shared" si="23"/>
        <v>6.5396610607604462</v>
      </c>
      <c r="R52" s="2">
        <f t="shared" ref="R52:X52" si="24">E23*($U$35+2)+(1-E23)*($U$35+2)</f>
        <v>8.5</v>
      </c>
      <c r="S52" s="2">
        <f t="shared" si="24"/>
        <v>8.5</v>
      </c>
      <c r="T52" s="2">
        <f t="shared" si="24"/>
        <v>8.5</v>
      </c>
      <c r="U52" s="2">
        <f t="shared" si="24"/>
        <v>8.5</v>
      </c>
      <c r="V52" s="2">
        <f t="shared" si="24"/>
        <v>8.5</v>
      </c>
      <c r="W52" s="2">
        <f t="shared" si="24"/>
        <v>8.5</v>
      </c>
      <c r="X52" s="2">
        <f t="shared" si="24"/>
        <v>8.5</v>
      </c>
      <c r="Y52" s="2">
        <f t="shared" si="21"/>
        <v>7.9048375339171617</v>
      </c>
      <c r="AB52" s="4">
        <v>1.7</v>
      </c>
      <c r="AC52" s="2">
        <f>B23*($AI$35+2)+(1-B23)*(7)</f>
        <v>7.0010121160980008</v>
      </c>
      <c r="AD52" s="2">
        <f>C23*($AI$35+2)+(1-C23)*(7)</f>
        <v>7.0055235927103761</v>
      </c>
      <c r="AE52" s="2">
        <f>D23*($AI$35+2)+(1-D23)*(7)</f>
        <v>7.0297457955703351</v>
      </c>
      <c r="AF52" s="2">
        <f>E23*($AI$35+2)+(1-E23)*(7)</f>
        <v>7.1095683306807738</v>
      </c>
      <c r="AG52" s="2">
        <f>F23*($AI$35+2)+(1-F23)*(7)</f>
        <v>7.2688704195160803</v>
      </c>
      <c r="AH52" s="2">
        <f>G23*($AI$35+2)+(1-G23)*(7)</f>
        <v>7.565572865675926</v>
      </c>
      <c r="AI52" s="2">
        <f>H23*($AI$35+2)+(1-H23)*(7)</f>
        <v>7.9397633520015702</v>
      </c>
      <c r="AJ52" s="2">
        <f>I23*($AI$35+2)+(1-I23)*(7)</f>
        <v>8.2344619042397955</v>
      </c>
      <c r="AK52" s="2">
        <f>J23*($AI$35+2)+(1-J23)*(7)</f>
        <v>8.3919628949272944</v>
      </c>
      <c r="AL52" s="2">
        <f>K23*($AI$35+2)+(1-K23)*(7)</f>
        <v>8.4591363372619384</v>
      </c>
      <c r="AM52" s="2">
        <f t="shared" si="22"/>
        <v>7.6005617608682083</v>
      </c>
      <c r="AP52" s="2">
        <f>(EXP(A23*Y52))/(EXP(A23*Y52)+EXP(A23*AM52))</f>
        <v>0.62650890226582845</v>
      </c>
    </row>
    <row r="53" spans="1:42" x14ac:dyDescent="0.25">
      <c r="A53" s="4">
        <v>4.7</v>
      </c>
      <c r="B53" s="9">
        <v>2.13639878008181E-9</v>
      </c>
      <c r="C53" s="9">
        <v>1.84158491091405E-7</v>
      </c>
      <c r="D53" s="9">
        <v>2.0196568717070902E-5</v>
      </c>
      <c r="E53" s="9">
        <v>8.6666138150577404E-4</v>
      </c>
      <c r="F53" s="9">
        <v>1.4343857644421599E-2</v>
      </c>
      <c r="G53" s="9">
        <v>0.19623786962724901</v>
      </c>
      <c r="H53" s="9">
        <v>0.80377132575461396</v>
      </c>
      <c r="I53" s="9">
        <v>0.98565696662682001</v>
      </c>
      <c r="J53" s="9">
        <v>0.99913338910580196</v>
      </c>
      <c r="K53" s="9">
        <v>0.99994830278617497</v>
      </c>
      <c r="N53" s="4">
        <v>1.8</v>
      </c>
      <c r="O53" s="2">
        <f t="shared" ref="O53:Q53" si="25">B24*($U$35+2)+(1-B24)*($U$35)</f>
        <v>6.5008763778193837</v>
      </c>
      <c r="P53" s="2">
        <f t="shared" si="25"/>
        <v>6.5052900668361673</v>
      </c>
      <c r="Q53" s="2">
        <f t="shared" si="25"/>
        <v>6.5315812206630719</v>
      </c>
      <c r="R53" s="2">
        <f t="shared" ref="R53:X53" si="26">E24*($U$35+2)+(1-E24)*($U$35+2)</f>
        <v>8.5</v>
      </c>
      <c r="S53" s="2">
        <f t="shared" si="26"/>
        <v>8.5</v>
      </c>
      <c r="T53" s="2">
        <f t="shared" si="26"/>
        <v>8.5</v>
      </c>
      <c r="U53" s="2">
        <f t="shared" si="26"/>
        <v>8.5</v>
      </c>
      <c r="V53" s="2">
        <f t="shared" si="26"/>
        <v>8.5</v>
      </c>
      <c r="W53" s="2">
        <f t="shared" si="26"/>
        <v>8.5</v>
      </c>
      <c r="X53" s="2">
        <f t="shared" si="26"/>
        <v>8.5</v>
      </c>
      <c r="Y53" s="2">
        <f t="shared" si="21"/>
        <v>7.9037747665318623</v>
      </c>
      <c r="AB53" s="4">
        <v>1.8</v>
      </c>
      <c r="AC53" s="2">
        <f>B24*($AI$35+2)+(1-B24)*(7)</f>
        <v>7.0006572833645384</v>
      </c>
      <c r="AD53" s="2">
        <f>C24*($AI$35+2)+(1-C24)*(7)</f>
        <v>7.0039675501271255</v>
      </c>
      <c r="AE53" s="2">
        <f>D24*($AI$35+2)+(1-D24)*(7)</f>
        <v>7.0236859154973033</v>
      </c>
      <c r="AF53" s="2">
        <f>E24*($AI$35+2)+(1-E24)*(7)</f>
        <v>7.0951154708478699</v>
      </c>
      <c r="AG53" s="2">
        <f>F24*($AI$35+2)+(1-F24)*(7)</f>
        <v>7.2492567313984715</v>
      </c>
      <c r="AH53" s="2">
        <f>G24*($AI$35+2)+(1-G24)*(7)</f>
        <v>7.5545860315761519</v>
      </c>
      <c r="AI53" s="2">
        <f>H24*($AI$35+2)+(1-H24)*(7)</f>
        <v>7.9498830431841139</v>
      </c>
      <c r="AJ53" s="2">
        <f>I24*($AI$35+2)+(1-I24)*(7)</f>
        <v>8.253393677987777</v>
      </c>
      <c r="AK53" s="2">
        <f>J24*($AI$35+2)+(1-J24)*(7)</f>
        <v>8.4060190721246038</v>
      </c>
      <c r="AL53" s="2">
        <f>K24*($AI$35+2)+(1-K24)*(7)</f>
        <v>8.4666941973000309</v>
      </c>
      <c r="AM53" s="2">
        <f t="shared" si="22"/>
        <v>7.6003258973407979</v>
      </c>
      <c r="AP53" s="2">
        <f>(EXP(A24*Y53))/(EXP(A24*Y53)+EXP(A24*AM53))</f>
        <v>0.63325536313118702</v>
      </c>
    </row>
    <row r="54" spans="1:42" x14ac:dyDescent="0.25">
      <c r="A54" s="4">
        <v>4.8</v>
      </c>
      <c r="B54" s="9">
        <v>1.55249059004361E-9</v>
      </c>
      <c r="C54" s="9">
        <v>1.3252672633773799E-7</v>
      </c>
      <c r="D54" s="9">
        <v>1.60470054370897E-5</v>
      </c>
      <c r="E54" s="9">
        <v>7.4603148828502502E-4</v>
      </c>
      <c r="F54" s="9">
        <v>1.3125465961997601E-2</v>
      </c>
      <c r="G54" s="9">
        <v>0.191548413229433</v>
      </c>
      <c r="H54" s="9">
        <v>0.80845902078807996</v>
      </c>
      <c r="I54" s="9">
        <v>0.98687515590101604</v>
      </c>
      <c r="J54" s="9">
        <v>0.99925400430410605</v>
      </c>
      <c r="K54" s="9">
        <v>0.99995809411553804</v>
      </c>
      <c r="N54" s="4">
        <v>1.9</v>
      </c>
      <c r="O54" s="2">
        <f t="shared" ref="O54:Q54" si="27">B25*($U$35+2)+(1-B25)*($U$35)</f>
        <v>6.5005692988597579</v>
      </c>
      <c r="P54" s="2">
        <f t="shared" si="27"/>
        <v>6.5038001163611305</v>
      </c>
      <c r="Q54" s="2">
        <f t="shared" si="27"/>
        <v>6.525135618226896</v>
      </c>
      <c r="R54" s="2">
        <f t="shared" ref="R54:X54" si="28">E25*($U$35+2)+(1-E25)*($U$35+2)</f>
        <v>8.5</v>
      </c>
      <c r="S54" s="2">
        <f t="shared" si="28"/>
        <v>8.5</v>
      </c>
      <c r="T54" s="2">
        <f t="shared" si="28"/>
        <v>8.5</v>
      </c>
      <c r="U54" s="2">
        <f t="shared" si="28"/>
        <v>8.5</v>
      </c>
      <c r="V54" s="2">
        <f t="shared" si="28"/>
        <v>8.5</v>
      </c>
      <c r="W54" s="2">
        <f t="shared" si="28"/>
        <v>8.5</v>
      </c>
      <c r="X54" s="2">
        <f t="shared" si="28"/>
        <v>8.5</v>
      </c>
      <c r="Y54" s="2">
        <f t="shared" si="21"/>
        <v>7.902950503344778</v>
      </c>
      <c r="AB54" s="4">
        <v>1.9</v>
      </c>
      <c r="AC54" s="2">
        <f>B25*($AI$35+2)+(1-B25)*(7)</f>
        <v>7.0004269741448182</v>
      </c>
      <c r="AD54" s="2">
        <f>C25*($AI$35+2)+(1-C25)*(7)</f>
        <v>7.0028500872708479</v>
      </c>
      <c r="AE54" s="2">
        <f>D25*($AI$35+2)+(1-D25)*(7)</f>
        <v>7.0188517136701716</v>
      </c>
      <c r="AF54" s="2">
        <f>E25*($AI$35+2)+(1-E25)*(7)</f>
        <v>7.0824825678121721</v>
      </c>
      <c r="AG54" s="2">
        <f>F25*($AI$35+2)+(1-F25)*(7)</f>
        <v>7.2308591238744349</v>
      </c>
      <c r="AH54" s="2">
        <f>G25*($AI$35+2)+(1-G25)*(7)</f>
        <v>7.5437602468530072</v>
      </c>
      <c r="AI54" s="2">
        <f>H25*($AI$35+2)+(1-H25)*(7)</f>
        <v>7.959973449072768</v>
      </c>
      <c r="AJ54" s="2">
        <f>I25*($AI$35+2)+(1-I25)*(7)</f>
        <v>8.2712400426305859</v>
      </c>
      <c r="AK54" s="2">
        <f>J25*($AI$35+2)+(1-J25)*(7)</f>
        <v>8.4183542273790479</v>
      </c>
      <c r="AL54" s="2">
        <f>K25*($AI$35+2)+(1-K25)*(7)</f>
        <v>8.4728785753430884</v>
      </c>
      <c r="AM54" s="2">
        <f t="shared" si="22"/>
        <v>7.6001677008050947</v>
      </c>
      <c r="AP54" s="2">
        <f>(EXP(A25*Y54))/(EXP(A25*Y54)+EXP(A25*AM54))</f>
        <v>0.63998230046364468</v>
      </c>
    </row>
    <row r="55" spans="1:42" x14ac:dyDescent="0.25">
      <c r="A55" s="4">
        <v>4.9000000000000004</v>
      </c>
      <c r="B55" s="9">
        <v>1.1726533914284401E-9</v>
      </c>
      <c r="C55" s="9">
        <v>9.5407466241840504E-8</v>
      </c>
      <c r="D55" s="9">
        <v>1.2750018388814E-5</v>
      </c>
      <c r="E55" s="9">
        <v>6.4218141353015101E-4</v>
      </c>
      <c r="F55" s="9">
        <v>1.20093123660962E-2</v>
      </c>
      <c r="G55" s="9">
        <v>0.18694507584675499</v>
      </c>
      <c r="H55" s="9">
        <v>0.81306093086374998</v>
      </c>
      <c r="I55" s="9">
        <v>0.98799115656635395</v>
      </c>
      <c r="J55" s="9">
        <v>0.99935784395347904</v>
      </c>
      <c r="K55" s="9">
        <v>0.99996603109369997</v>
      </c>
      <c r="N55" s="4">
        <v>2</v>
      </c>
      <c r="O55" s="2">
        <f t="shared" ref="O55:Q55" si="29">B26*($U$35+2)+(1-B26)*($U$35)</f>
        <v>6.5003699119946425</v>
      </c>
      <c r="P55" s="2">
        <f t="shared" si="29"/>
        <v>6.5027300684328599</v>
      </c>
      <c r="Q55" s="2">
        <f t="shared" si="29"/>
        <v>6.5199982129027338</v>
      </c>
      <c r="R55" s="2">
        <f t="shared" ref="R55:X55" si="30">E26*($U$35+2)+(1-E26)*($U$35+2)</f>
        <v>8.5</v>
      </c>
      <c r="S55" s="2">
        <f t="shared" si="30"/>
        <v>8.5</v>
      </c>
      <c r="T55" s="2">
        <f t="shared" si="30"/>
        <v>8.5</v>
      </c>
      <c r="U55" s="2">
        <f t="shared" si="30"/>
        <v>8.5</v>
      </c>
      <c r="V55" s="2">
        <f t="shared" si="30"/>
        <v>8.5</v>
      </c>
      <c r="W55" s="2">
        <f t="shared" si="30"/>
        <v>8.5</v>
      </c>
      <c r="X55" s="2">
        <f t="shared" si="30"/>
        <v>8.5</v>
      </c>
      <c r="Y55" s="2">
        <f t="shared" si="21"/>
        <v>7.9023098193330243</v>
      </c>
      <c r="AB55" s="4">
        <v>2</v>
      </c>
      <c r="AC55" s="2">
        <f>B26*($AI$35+2)+(1-B26)*(7)</f>
        <v>7.0002774339959819</v>
      </c>
      <c r="AD55" s="2">
        <f>C26*($AI$35+2)+(1-C26)*(7)</f>
        <v>7.0020475513246456</v>
      </c>
      <c r="AE55" s="2">
        <f>D26*($AI$35+2)+(1-D26)*(7)</f>
        <v>7.0149986596770502</v>
      </c>
      <c r="AF55" s="2">
        <f>E26*($AI$35+2)+(1-E26)*(7)</f>
        <v>7.0714612029244073</v>
      </c>
      <c r="AG55" s="2">
        <f>F26*($AI$35+2)+(1-F26)*(7)</f>
        <v>7.2136293106488321</v>
      </c>
      <c r="AH55" s="2">
        <f>G26*($AI$35+2)+(1-G26)*(7)</f>
        <v>7.5330873426790301</v>
      </c>
      <c r="AI55" s="2">
        <f>H26*($AI$35+2)+(1-H26)*(7)</f>
        <v>7.9700250038125908</v>
      </c>
      <c r="AJ55" s="2">
        <f>I26*($AI$35+2)+(1-I26)*(7)</f>
        <v>8.2880268116207176</v>
      </c>
      <c r="AK55" s="2">
        <f>J26*($AI$35+2)+(1-J26)*(7)</f>
        <v>8.4291534866834663</v>
      </c>
      <c r="AL55" s="2">
        <f>K26*($AI$35+2)+(1-K26)*(7)</f>
        <v>8.4779312654399419</v>
      </c>
      <c r="AM55" s="2">
        <f t="shared" si="22"/>
        <v>7.6000638068806667</v>
      </c>
      <c r="AP55" s="2">
        <f>(EXP(A26*Y55))/(EXP(A26*Y55)+EXP(A26*AM55))</f>
        <v>0.64668333702697145</v>
      </c>
    </row>
    <row r="56" spans="1:42" x14ac:dyDescent="0.25">
      <c r="A56" s="4">
        <v>5</v>
      </c>
      <c r="B56" s="9">
        <v>9.2556600265121903E-10</v>
      </c>
      <c r="C56" s="9">
        <v>6.8721568350126303E-8</v>
      </c>
      <c r="D56" s="9">
        <v>1.0130438529924801E-5</v>
      </c>
      <c r="E56" s="9">
        <v>5.5277977573109805E-4</v>
      </c>
      <c r="F56" s="9">
        <v>1.0987021699681E-2</v>
      </c>
      <c r="G56" s="9">
        <v>0.18242750059847601</v>
      </c>
      <c r="H56" s="9">
        <v>0.817577350261248</v>
      </c>
      <c r="I56" s="9">
        <v>0.98901333175389305</v>
      </c>
      <c r="J56" s="9">
        <v>0.99944723819759895</v>
      </c>
      <c r="K56" s="9">
        <v>0.99997246487118396</v>
      </c>
    </row>
    <row r="57" spans="1:42" x14ac:dyDescent="0.25">
      <c r="A57" s="4">
        <v>5.0999999999999996</v>
      </c>
      <c r="B57" s="9">
        <v>7.6483347259104503E-10</v>
      </c>
      <c r="C57" s="9">
        <v>4.9536451335292899E-8</v>
      </c>
      <c r="D57" s="9">
        <v>8.0490858518074106E-6</v>
      </c>
      <c r="E57" s="9">
        <v>4.7581841588735703E-4</v>
      </c>
      <c r="F57" s="9">
        <v>1.0050871739287899E-2</v>
      </c>
      <c r="G57" s="9">
        <v>0.17799527244183599</v>
      </c>
      <c r="H57" s="9">
        <v>0.82200864298493004</v>
      </c>
      <c r="I57" s="9">
        <v>0.98994939456365905</v>
      </c>
      <c r="J57" s="9">
        <v>0.99952419431560202</v>
      </c>
      <c r="K57" s="9">
        <v>0.99997768011571797</v>
      </c>
      <c r="R57" s="12" t="s">
        <v>37</v>
      </c>
      <c r="S57" s="13"/>
    </row>
    <row r="58" spans="1:42" x14ac:dyDescent="0.25">
      <c r="A58" s="4">
        <v>5.2</v>
      </c>
      <c r="B58" s="9">
        <v>6.6027552124529096E-10</v>
      </c>
      <c r="C58" s="9">
        <v>3.5743818536299897E-8</v>
      </c>
      <c r="D58" s="9">
        <v>6.3953756454958102E-6</v>
      </c>
      <c r="E58" s="9">
        <v>4.0956776530538401E-4</v>
      </c>
      <c r="F58" s="9">
        <v>9.1937477144749605E-3</v>
      </c>
      <c r="G58" s="9">
        <v>0.17364792008145799</v>
      </c>
      <c r="H58" s="9">
        <v>0.82635523875647399</v>
      </c>
      <c r="I58" s="9">
        <v>0.99080645285075797</v>
      </c>
      <c r="J58" s="9">
        <v>0.99959044125107299</v>
      </c>
      <c r="K58" s="9">
        <v>0.99998190759501204</v>
      </c>
      <c r="Q58" s="11" t="s">
        <v>0</v>
      </c>
      <c r="R58" s="2" t="s">
        <v>38</v>
      </c>
      <c r="S58" s="2" t="s">
        <v>39</v>
      </c>
    </row>
    <row r="59" spans="1:42" x14ac:dyDescent="0.25">
      <c r="A59" s="4">
        <v>5.3</v>
      </c>
      <c r="B59" s="9">
        <v>5.9225962759484797E-10</v>
      </c>
      <c r="C59" s="9">
        <v>2.5827968288494301E-8</v>
      </c>
      <c r="D59" s="9">
        <v>5.0814436518987403E-6</v>
      </c>
      <c r="E59" s="9">
        <v>3.5253833044768902E-4</v>
      </c>
      <c r="F59" s="9">
        <v>8.4090990861403793E-3</v>
      </c>
      <c r="G59" s="9">
        <v>0.169384918067675</v>
      </c>
      <c r="H59" s="9">
        <v>0.83061762919076298</v>
      </c>
      <c r="I59" s="9">
        <v>0.99159105191694097</v>
      </c>
      <c r="J59" s="9">
        <v>0.99964746805363702</v>
      </c>
      <c r="K59" s="9">
        <v>0.99998533437949499</v>
      </c>
      <c r="Q59" s="4">
        <v>0.1</v>
      </c>
      <c r="R59" s="2">
        <f>Y7-AM7</f>
        <v>-8.575592503559637E-2</v>
      </c>
      <c r="S59" s="2">
        <f>AM36-Y36</f>
        <v>-0.42811970593599469</v>
      </c>
    </row>
    <row r="60" spans="1:42" x14ac:dyDescent="0.25">
      <c r="A60" s="4">
        <v>5.4</v>
      </c>
      <c r="B60" s="9">
        <v>5.4801466907378702E-10</v>
      </c>
      <c r="C60" s="9">
        <v>1.86992280754621E-8</v>
      </c>
      <c r="D60" s="9">
        <v>4.03747811454281E-6</v>
      </c>
      <c r="E60" s="9">
        <v>3.0344746825986701E-4</v>
      </c>
      <c r="F60" s="9">
        <v>7.69089863654078E-3</v>
      </c>
      <c r="G60" s="9">
        <v>0.165205689041483</v>
      </c>
      <c r="H60" s="9">
        <v>0.83479636413323999</v>
      </c>
      <c r="I60" s="9">
        <v>0.99230921501645497</v>
      </c>
      <c r="J60" s="9">
        <v>0.99969655705124505</v>
      </c>
      <c r="K60" s="9">
        <v>0.99998811211472405</v>
      </c>
      <c r="Q60" s="4">
        <v>0.2</v>
      </c>
      <c r="R60" s="2">
        <f>Y8-AM8</f>
        <v>-0.1210145402066729</v>
      </c>
      <c r="S60" s="2">
        <f t="shared" ref="S60:S71" si="31">AM37-Y37</f>
        <v>-0.40753025209970417</v>
      </c>
    </row>
    <row r="61" spans="1:42" x14ac:dyDescent="0.25">
      <c r="A61" s="4">
        <v>5.5</v>
      </c>
      <c r="B61" s="9">
        <v>5.1923291865604497E-10</v>
      </c>
      <c r="C61" s="9">
        <v>1.35742071053395E-8</v>
      </c>
      <c r="D61" s="9">
        <v>3.2080108203405198E-6</v>
      </c>
      <c r="E61" s="9">
        <v>2.6119073405909802E-4</v>
      </c>
      <c r="F61" s="9">
        <v>7.0336038844216499E-3</v>
      </c>
      <c r="G61" s="9">
        <v>0.16110960609017999</v>
      </c>
      <c r="H61" s="9">
        <v>0.83889204814114504</v>
      </c>
      <c r="I61" s="9">
        <v>0.992966481633209</v>
      </c>
      <c r="J61" s="9">
        <v>0.99973881246499996</v>
      </c>
      <c r="K61" s="9">
        <v>0.99999036372836803</v>
      </c>
      <c r="Q61" s="4">
        <v>0.3</v>
      </c>
      <c r="R61" s="2">
        <f>Y9-AM9</f>
        <v>-0.15401012165585914</v>
      </c>
      <c r="S61" s="2">
        <f t="shared" si="31"/>
        <v>-0.38883918858182565</v>
      </c>
    </row>
    <row r="62" spans="1:42" x14ac:dyDescent="0.25">
      <c r="A62" s="4">
        <v>5.6</v>
      </c>
      <c r="B62" s="9">
        <v>5.0051012589460297E-10</v>
      </c>
      <c r="C62" s="9">
        <v>9.8897074208429899E-9</v>
      </c>
      <c r="D62" s="9">
        <v>2.5489701297215501E-6</v>
      </c>
      <c r="E62" s="9">
        <v>2.2481717922834301E-4</v>
      </c>
      <c r="F62" s="9">
        <v>6.4321208070546197E-3</v>
      </c>
      <c r="G62" s="9">
        <v>0.157095995183168</v>
      </c>
      <c r="H62" s="9">
        <v>0.84290533709460003</v>
      </c>
      <c r="I62" s="9">
        <v>0.993567943524724</v>
      </c>
      <c r="J62" s="9">
        <v>0.99977518508493501</v>
      </c>
      <c r="K62" s="9">
        <v>0.99999218886778796</v>
      </c>
      <c r="Q62" s="4">
        <v>0.4</v>
      </c>
      <c r="R62" s="2">
        <f>Y10-AM10</f>
        <v>-0.18328757421575315</v>
      </c>
      <c r="S62" s="2">
        <f t="shared" si="31"/>
        <v>-0.37248303356256862</v>
      </c>
    </row>
    <row r="63" spans="1:42" x14ac:dyDescent="0.25">
      <c r="A63" s="4">
        <v>5.7</v>
      </c>
      <c r="B63" s="9">
        <v>4.8833077712807396E-10</v>
      </c>
      <c r="C63" s="9">
        <v>7.2408327454110499E-9</v>
      </c>
      <c r="D63" s="9">
        <v>2.0253394596723502E-6</v>
      </c>
      <c r="E63" s="9">
        <v>1.9350805909299699E-4</v>
      </c>
      <c r="F63" s="9">
        <v>5.8817698260744903E-3</v>
      </c>
      <c r="G63" s="9">
        <v>0.15316413766193299</v>
      </c>
      <c r="H63" s="9">
        <v>0.846836934926531</v>
      </c>
      <c r="I63" s="9">
        <v>0.99411827855851398</v>
      </c>
      <c r="J63" s="9">
        <v>0.99980649354328299</v>
      </c>
      <c r="K63" s="9">
        <v>0.99999366830833203</v>
      </c>
      <c r="Q63" s="4">
        <v>0.5</v>
      </c>
      <c r="R63" s="2">
        <f>Y11-AM11</f>
        <v>-0.20806311956864754</v>
      </c>
      <c r="S63" s="2">
        <f t="shared" si="31"/>
        <v>-0.35862574928114554</v>
      </c>
    </row>
    <row r="64" spans="1:42" x14ac:dyDescent="0.25">
      <c r="A64" s="4">
        <v>5.8</v>
      </c>
      <c r="B64" s="9">
        <v>4.8040799874077601E-10</v>
      </c>
      <c r="C64" s="9">
        <v>5.33649356010113E-9</v>
      </c>
      <c r="D64" s="9">
        <v>1.6092968368782901E-6</v>
      </c>
      <c r="E64" s="9">
        <v>1.66558483826906E-4</v>
      </c>
      <c r="F64" s="9">
        <v>5.3782539948055499E-3</v>
      </c>
      <c r="G64" s="9">
        <v>0.149313272762121</v>
      </c>
      <c r="H64" s="9">
        <v>0.85068759046277098</v>
      </c>
      <c r="I64" s="9">
        <v>0.994621782389841</v>
      </c>
      <c r="J64" s="9">
        <v>0.99983344265017204</v>
      </c>
      <c r="K64" s="9">
        <v>0.99999486752707401</v>
      </c>
      <c r="Q64" s="4">
        <v>0.6</v>
      </c>
      <c r="R64" s="2">
        <f>Y12-AM12</f>
        <v>-0.22826377841719303</v>
      </c>
      <c r="S64" s="2">
        <f t="shared" si="31"/>
        <v>-0.34717166355682139</v>
      </c>
    </row>
    <row r="65" spans="1:19" x14ac:dyDescent="0.25">
      <c r="A65" s="4">
        <v>5.9</v>
      </c>
      <c r="B65" s="9">
        <v>4.7525415852552896E-10</v>
      </c>
      <c r="C65" s="9">
        <v>3.9674186939791504E-9</v>
      </c>
      <c r="D65" s="9">
        <v>1.27873668859401E-6</v>
      </c>
      <c r="E65" s="9">
        <v>1.4336160829614899E-4</v>
      </c>
      <c r="F65" s="9">
        <v>4.9176293103728097E-3</v>
      </c>
      <c r="G65" s="9">
        <v>0.14554260014893</v>
      </c>
      <c r="H65" s="9">
        <v>0.85445809436574305</v>
      </c>
      <c r="I65" s="9">
        <v>0.99508239804729204</v>
      </c>
      <c r="J65" s="9">
        <v>0.99985663919426204</v>
      </c>
      <c r="K65" s="9">
        <v>0.99999583959993799</v>
      </c>
      <c r="Q65" s="4">
        <v>0.7</v>
      </c>
      <c r="R65" s="2">
        <f>Y13-AM13</f>
        <v>-0.24431208500341484</v>
      </c>
      <c r="S65" s="2">
        <f t="shared" si="31"/>
        <v>-0.33785838285763248</v>
      </c>
    </row>
    <row r="66" spans="1:19" x14ac:dyDescent="0.25">
      <c r="A66" s="4">
        <v>6</v>
      </c>
      <c r="B66" s="9">
        <v>4.7190153807403405E-10</v>
      </c>
      <c r="C66" s="9">
        <v>2.9831581187239099E-9</v>
      </c>
      <c r="D66" s="9">
        <v>1.0160953416590601E-6</v>
      </c>
      <c r="E66" s="9">
        <v>1.2339501153853799E-4</v>
      </c>
      <c r="F66" s="9">
        <v>4.4962770635130099E-3</v>
      </c>
      <c r="G66" s="9">
        <v>0.141851282449836</v>
      </c>
      <c r="H66" s="9">
        <v>0.858149276176709</v>
      </c>
      <c r="I66" s="9">
        <v>0.99550374350545801</v>
      </c>
      <c r="J66" s="9">
        <v>0.99987660555651003</v>
      </c>
      <c r="K66" s="9">
        <v>0.99999662755025798</v>
      </c>
      <c r="Q66" s="4">
        <v>0.8</v>
      </c>
      <c r="R66" s="2">
        <f>Y14-AM14</f>
        <v>-0.25685585776713982</v>
      </c>
      <c r="S66" s="2">
        <f t="shared" si="31"/>
        <v>-0.33035822300320916</v>
      </c>
    </row>
    <row r="67" spans="1:19" x14ac:dyDescent="0.25">
      <c r="A67" s="4">
        <v>6.1</v>
      </c>
      <c r="B67" s="9">
        <v>4.6972062765877097E-10</v>
      </c>
      <c r="C67" s="9">
        <v>2.2755497209562998E-9</v>
      </c>
      <c r="D67" s="9">
        <v>8.0741783269987398E-7</v>
      </c>
      <c r="E67" s="9">
        <v>1.06208964116584E-4</v>
      </c>
      <c r="F67" s="9">
        <v>4.1108781319419297E-3</v>
      </c>
      <c r="G67" s="9">
        <v>0.13823844777109001</v>
      </c>
      <c r="H67" s="9">
        <v>0.86176200145280102</v>
      </c>
      <c r="I67" s="9">
        <v>0.99588913733289997</v>
      </c>
      <c r="J67" s="9">
        <v>0.99989379143802004</v>
      </c>
      <c r="K67" s="9">
        <v>0.99999726625262797</v>
      </c>
      <c r="Q67" s="4">
        <v>0.9</v>
      </c>
      <c r="R67" s="2">
        <f>Y15-AM15</f>
        <v>-0.26657236200019963</v>
      </c>
      <c r="S67" s="2">
        <f t="shared" si="31"/>
        <v>-0.32434722825989049</v>
      </c>
    </row>
    <row r="68" spans="1:19" x14ac:dyDescent="0.25">
      <c r="A68" s="4">
        <v>6.2</v>
      </c>
      <c r="B68" s="9">
        <v>4.6830192540461397E-10</v>
      </c>
      <c r="C68" s="9">
        <v>1.76683317572715E-9</v>
      </c>
      <c r="D68" s="9">
        <v>6.4161645136292396E-7</v>
      </c>
      <c r="E68" s="9">
        <v>9.1416322784681803E-5</v>
      </c>
      <c r="F68" s="9">
        <v>3.75838911879529E-3</v>
      </c>
      <c r="G68" s="9">
        <v>0.13470319218648799</v>
      </c>
      <c r="H68" s="9">
        <v>0.86529716899609799</v>
      </c>
      <c r="I68" s="9">
        <v>0.99624162250931703</v>
      </c>
      <c r="J68" s="9">
        <v>0.99990858396198001</v>
      </c>
      <c r="K68" s="9">
        <v>0.99999778397621297</v>
      </c>
      <c r="Q68" s="4">
        <v>1</v>
      </c>
      <c r="R68" s="2">
        <f>Y16-AM16</f>
        <v>-0.27406796898937369</v>
      </c>
      <c r="S68" s="2">
        <f t="shared" si="31"/>
        <v>-0.31953854887034083</v>
      </c>
    </row>
    <row r="69" spans="1:19" x14ac:dyDescent="0.25">
      <c r="A69" s="4">
        <v>6.3</v>
      </c>
      <c r="B69" s="9">
        <v>4.6737904656948203E-10</v>
      </c>
      <c r="C69" s="9">
        <v>1.4011047287381699E-9</v>
      </c>
      <c r="D69" s="9">
        <v>5.0988162397348398E-7</v>
      </c>
      <c r="E69" s="9">
        <v>7.8683827587254902E-5</v>
      </c>
      <c r="F69" s="9">
        <v>3.4360202355257002E-3</v>
      </c>
      <c r="G69" s="9">
        <v>0.131244582188658</v>
      </c>
      <c r="H69" s="9">
        <v>0.86875570817275005</v>
      </c>
      <c r="I69" s="9">
        <v>0.996563988509101</v>
      </c>
      <c r="J69" s="9">
        <v>0.99992131637414505</v>
      </c>
      <c r="K69" s="9">
        <v>0.99999820363580105</v>
      </c>
      <c r="Q69" s="4">
        <v>1.1000000000000001</v>
      </c>
      <c r="R69" s="2">
        <f>Y17-AM17</f>
        <v>-0.27984446002243768</v>
      </c>
      <c r="S69" s="2">
        <f t="shared" si="31"/>
        <v>-0.31569230602788512</v>
      </c>
    </row>
    <row r="70" spans="1:19" x14ac:dyDescent="0.25">
      <c r="A70" s="4">
        <v>6.4</v>
      </c>
      <c r="B70" s="9">
        <v>4.6677870542528895E-10</v>
      </c>
      <c r="C70" s="9">
        <v>1.1381738361315701E-9</v>
      </c>
      <c r="D70" s="9">
        <v>4.0521383815458601E-7</v>
      </c>
      <c r="E70" s="9">
        <v>6.7724607369539595E-5</v>
      </c>
      <c r="F70" s="9">
        <v>3.1412148282651299E-3</v>
      </c>
      <c r="G70" s="9">
        <v>0.127861657094689</v>
      </c>
      <c r="H70" s="9">
        <v>0.87213857632070202</v>
      </c>
      <c r="I70" s="9">
        <v>0.99685879174962999</v>
      </c>
      <c r="J70" s="9">
        <v>0.99993227553562103</v>
      </c>
      <c r="K70" s="9">
        <v>0.99999854380592401</v>
      </c>
      <c r="Q70" s="4">
        <v>1.2</v>
      </c>
      <c r="R70" s="2">
        <f>Y18-AM18</f>
        <v>-0.28429980438035773</v>
      </c>
      <c r="S70" s="2">
        <f t="shared" si="31"/>
        <v>-0.31261377109497079</v>
      </c>
    </row>
    <row r="71" spans="1:19" x14ac:dyDescent="0.25">
      <c r="A71" s="4">
        <v>6.5</v>
      </c>
      <c r="B71" s="9">
        <v>4.6638817801086497E-10</v>
      </c>
      <c r="C71" s="9">
        <v>9.4914655639591199E-10</v>
      </c>
      <c r="D71" s="9">
        <v>3.2205173945928499E-7</v>
      </c>
      <c r="E71" s="9">
        <v>5.8291726366149101E-5</v>
      </c>
      <c r="F71" s="9">
        <v>2.8716304476816999E-3</v>
      </c>
      <c r="G71" s="9">
        <v>0.12455343139916999</v>
      </c>
      <c r="H71" s="9">
        <v>0.87544675624500701</v>
      </c>
      <c r="I71" s="9">
        <v>0.99712837450227298</v>
      </c>
      <c r="J71" s="9">
        <v>0.99994170837506302</v>
      </c>
      <c r="K71" s="9">
        <v>0.99999881954291603</v>
      </c>
      <c r="Q71" s="4">
        <v>1.3</v>
      </c>
      <c r="R71" s="2">
        <f>Y19-AM19</f>
        <v>-0.28774252371577624</v>
      </c>
      <c r="S71" s="2">
        <f t="shared" si="31"/>
        <v>-0.31014716218435989</v>
      </c>
    </row>
    <row r="72" spans="1:19" x14ac:dyDescent="0.25">
      <c r="A72" s="4">
        <v>6.6</v>
      </c>
      <c r="B72" s="9">
        <v>4.6613413635267195E-10</v>
      </c>
      <c r="C72" s="9">
        <v>8.1325034535490003E-10</v>
      </c>
      <c r="D72" s="9">
        <v>2.5597664049381299E-7</v>
      </c>
      <c r="E72" s="9">
        <v>5.0172627586946401E-5</v>
      </c>
      <c r="F72" s="9">
        <v>2.6251213644543198E-3</v>
      </c>
      <c r="G72" s="9">
        <v>0.121318897068954</v>
      </c>
      <c r="H72" s="9">
        <v>0.87868125379999495</v>
      </c>
      <c r="I72" s="9">
        <v>0.99737488236247296</v>
      </c>
      <c r="J72" s="9">
        <v>0.99994982744443195</v>
      </c>
      <c r="K72" s="9">
        <v>0.99999904305127696</v>
      </c>
      <c r="Q72" s="4">
        <v>1.4</v>
      </c>
      <c r="R72" s="2">
        <f>Y20-AM20</f>
        <v>-0.29040904650947397</v>
      </c>
      <c r="S72" s="2">
        <f>AM49-Y49</f>
        <v>-0.30816863593984589</v>
      </c>
    </row>
    <row r="73" spans="1:19" x14ac:dyDescent="0.25">
      <c r="A73" s="4">
        <v>6.7</v>
      </c>
      <c r="B73" s="9">
        <v>4.6596887993006702E-10</v>
      </c>
      <c r="C73" s="9">
        <v>7.1555132540329996E-10</v>
      </c>
      <c r="D73" s="9">
        <v>2.0347774272426501E-7</v>
      </c>
      <c r="E73" s="9">
        <v>4.3184348628062303E-5</v>
      </c>
      <c r="F73" s="9">
        <v>2.3997224353998702E-3</v>
      </c>
      <c r="G73" s="9">
        <v>0.118157025774868</v>
      </c>
      <c r="H73" s="9">
        <v>0.88184309555771601</v>
      </c>
      <c r="I73" s="9">
        <v>0.99760028037273696</v>
      </c>
      <c r="J73" s="9">
        <v>0.999956815702573</v>
      </c>
      <c r="K73" s="9">
        <v>0.99999922422383403</v>
      </c>
      <c r="Q73" s="4">
        <v>1.5</v>
      </c>
      <c r="R73" s="2">
        <f>Y21-AM21</f>
        <v>-0.29247965251218488</v>
      </c>
      <c r="S73" s="2">
        <f>AM50-Y50</f>
        <v>-0.30657991642028559</v>
      </c>
    </row>
    <row r="74" spans="1:19" x14ac:dyDescent="0.25">
      <c r="A74" s="4">
        <v>6.8</v>
      </c>
      <c r="B74" s="9">
        <v>4.6586137911642596E-10</v>
      </c>
      <c r="C74" s="9">
        <v>6.4531317578641901E-10</v>
      </c>
      <c r="D74" s="9">
        <v>1.6176559680905499E-7</v>
      </c>
      <c r="E74" s="9">
        <v>3.7169402719680997E-5</v>
      </c>
      <c r="F74" s="9">
        <v>2.1936342287983998E-3</v>
      </c>
      <c r="G74" s="9">
        <v>0.11506677105653799</v>
      </c>
      <c r="H74" s="9">
        <v>0.88493332656219603</v>
      </c>
      <c r="I74" s="9">
        <v>0.99780636788909105</v>
      </c>
      <c r="J74" s="9">
        <v>0.99996283063374103</v>
      </c>
      <c r="K74" s="9">
        <v>0.99999937107958903</v>
      </c>
      <c r="Q74" s="4">
        <v>1.6</v>
      </c>
      <c r="R74" s="2">
        <f>Y22-AM22</f>
        <v>-0.29409164803820431</v>
      </c>
      <c r="S74" s="2">
        <f t="shared" ref="S74:S78" si="32">AM51-Y51</f>
        <v>-0.30530297740261858</v>
      </c>
    </row>
    <row r="75" spans="1:19" x14ac:dyDescent="0.25">
      <c r="A75" s="4">
        <v>6.9</v>
      </c>
      <c r="B75" s="9">
        <v>4.6579144885500403E-10</v>
      </c>
      <c r="C75" s="9">
        <v>5.9481729958626203E-10</v>
      </c>
      <c r="D75" s="9">
        <v>1.28623890231662E-7</v>
      </c>
      <c r="E75" s="9">
        <v>3.1992232648511399E-5</v>
      </c>
      <c r="F75" s="9">
        <v>2.0052093213927999E-3</v>
      </c>
      <c r="G75" s="9">
        <v>0.112047070417216</v>
      </c>
      <c r="H75" s="9">
        <v>0.88795300816905898</v>
      </c>
      <c r="I75" s="9">
        <v>0.997994792277902</v>
      </c>
      <c r="J75" s="9">
        <v>0.99996800779336903</v>
      </c>
      <c r="K75" s="9">
        <v>0.99999949011863898</v>
      </c>
      <c r="Q75" s="4">
        <v>1.7</v>
      </c>
      <c r="R75" s="2">
        <f>Y23-AM23</f>
        <v>-0.295349719705575</v>
      </c>
      <c r="S75" s="2">
        <f t="shared" si="32"/>
        <v>-0.30427577304895337</v>
      </c>
    </row>
    <row r="76" spans="1:19" x14ac:dyDescent="0.25">
      <c r="A76" s="4">
        <v>7</v>
      </c>
      <c r="B76" s="9">
        <v>4.6574595858140496E-10</v>
      </c>
      <c r="C76" s="9">
        <v>5.5851461356667999E-10</v>
      </c>
      <c r="D76" s="9">
        <v>1.0229168737414099E-7</v>
      </c>
      <c r="E76" s="9">
        <v>2.7536157980781999E-5</v>
      </c>
      <c r="F76" s="9">
        <v>1.83293968374795E-3</v>
      </c>
      <c r="G76" s="9">
        <v>0.10909684734620601</v>
      </c>
      <c r="H76" s="9">
        <v>0.89090321597003796</v>
      </c>
      <c r="I76" s="9">
        <v>0.99816706152585599</v>
      </c>
      <c r="J76" s="9">
        <v>0.99997246386063199</v>
      </c>
      <c r="K76" s="9">
        <v>0.99999958660987798</v>
      </c>
      <c r="Q76" s="4">
        <v>1.8</v>
      </c>
      <c r="R76" s="2">
        <f>Y24-AM24</f>
        <v>-0.29633386591507005</v>
      </c>
      <c r="S76" s="2">
        <f t="shared" si="32"/>
        <v>-0.3034488691910644</v>
      </c>
    </row>
    <row r="77" spans="1:19" x14ac:dyDescent="0.25">
      <c r="A77" s="4">
        <v>7.1</v>
      </c>
      <c r="B77" s="9">
        <v>4.6571636674325198E-10</v>
      </c>
      <c r="C77" s="9">
        <v>5.3241574962617195E-10</v>
      </c>
      <c r="D77" s="9">
        <v>8.1369865152605406E-8</v>
      </c>
      <c r="E77" s="9">
        <v>2.3700747038189399E-5</v>
      </c>
      <c r="F77" s="9">
        <v>1.67544507502222E-3</v>
      </c>
      <c r="G77" s="9">
        <v>0.10621501326706</v>
      </c>
      <c r="H77" s="9">
        <v>0.89378503780185703</v>
      </c>
      <c r="I77" s="9">
        <v>0.99832455584168001</v>
      </c>
      <c r="J77" s="9">
        <v>0.99997629926632103</v>
      </c>
      <c r="K77" s="9">
        <v>0.999999664824196</v>
      </c>
      <c r="Q77" s="4">
        <v>1.9</v>
      </c>
      <c r="R77" s="2">
        <f>Y25-AM25</f>
        <v>-0.29710539692358662</v>
      </c>
      <c r="S77" s="2">
        <f t="shared" si="32"/>
        <v>-0.30278280253968326</v>
      </c>
    </row>
    <row r="78" spans="1:19" x14ac:dyDescent="0.25">
      <c r="A78" s="4">
        <v>7.2</v>
      </c>
      <c r="B78" s="9">
        <v>4.6569711698257504E-10</v>
      </c>
      <c r="C78" s="9">
        <v>5.1365265605890504E-10</v>
      </c>
      <c r="D78" s="9">
        <v>6.4746772889034E-8</v>
      </c>
      <c r="E78" s="9">
        <v>2.0399554584713601E-5</v>
      </c>
      <c r="F78" s="9">
        <v>1.5314623726364999E-3</v>
      </c>
      <c r="G78" s="9">
        <v>0.103400469410256</v>
      </c>
      <c r="H78" s="9">
        <v>0.89659957183884798</v>
      </c>
      <c r="I78" s="9">
        <v>0.99846853832383198</v>
      </c>
      <c r="J78" s="9">
        <v>0.99997960045504197</v>
      </c>
      <c r="K78" s="9">
        <v>0.99999972822351602</v>
      </c>
      <c r="Q78" s="4">
        <v>2</v>
      </c>
      <c r="R78" s="2">
        <f>Y26-AM26</f>
        <v>-0.2977114496271982</v>
      </c>
      <c r="S78" s="2">
        <f t="shared" si="32"/>
        <v>-0.3022460124523576</v>
      </c>
    </row>
    <row r="79" spans="1:19" x14ac:dyDescent="0.25">
      <c r="A79" s="4">
        <v>7.3</v>
      </c>
      <c r="B79" s="9">
        <v>4.6568459483771201E-10</v>
      </c>
      <c r="C79" s="9">
        <v>5.0016342223671405E-10</v>
      </c>
      <c r="D79" s="9">
        <v>5.1539166517436601E-8</v>
      </c>
      <c r="E79" s="9">
        <v>1.7558174374653301E-5</v>
      </c>
      <c r="F79" s="9">
        <v>1.39983576675279E-3</v>
      </c>
      <c r="G79" s="9">
        <v>0.100652108609518</v>
      </c>
      <c r="H79" s="9">
        <v>0.89934792476859005</v>
      </c>
      <c r="I79" s="9">
        <v>0.99860016476403901</v>
      </c>
      <c r="J79" s="9">
        <v>0.99998244183259599</v>
      </c>
      <c r="K79" s="9">
        <v>0.99999977961402398</v>
      </c>
      <c r="Q79" s="1"/>
      <c r="R79" s="10"/>
    </row>
    <row r="80" spans="1:19" x14ac:dyDescent="0.25">
      <c r="A80" s="4">
        <v>7.4</v>
      </c>
      <c r="B80" s="9">
        <v>4.65676449068323E-10</v>
      </c>
      <c r="C80" s="9">
        <v>4.90465691553811E-10</v>
      </c>
      <c r="D80" s="9">
        <v>4.1045278783503799E-8</v>
      </c>
      <c r="E80" s="9">
        <v>1.5112562771687299E-5</v>
      </c>
      <c r="F80" s="9">
        <v>1.27950775383409E-3</v>
      </c>
      <c r="G80" s="9">
        <v>9.7968817021372695E-2</v>
      </c>
      <c r="H80" s="9">
        <v>0.90203121004970399</v>
      </c>
      <c r="I80" s="9">
        <v>0.99872049265223595</v>
      </c>
      <c r="J80" s="9">
        <v>0.99998488744230596</v>
      </c>
      <c r="K80" s="9">
        <v>0.99999982127037301</v>
      </c>
      <c r="Q80" s="1"/>
      <c r="R80" s="10"/>
    </row>
    <row r="81" spans="1:18" x14ac:dyDescent="0.25">
      <c r="A81" s="4">
        <v>7.5</v>
      </c>
      <c r="B81" s="9">
        <v>4.6567115017109896E-10</v>
      </c>
      <c r="C81" s="9">
        <v>4.8349376258987898E-10</v>
      </c>
      <c r="D81" s="9">
        <v>3.2707531913189698E-8</v>
      </c>
      <c r="E81" s="9">
        <v>1.30075957309683E-5</v>
      </c>
      <c r="F81" s="9">
        <v>1.16951086780914E-3</v>
      </c>
      <c r="G81" s="9">
        <v>9.5349475767884703E-2</v>
      </c>
      <c r="H81" s="9">
        <v>0.90465054625084196</v>
      </c>
      <c r="I81" s="9">
        <v>0.99883048944428798</v>
      </c>
      <c r="J81" s="9">
        <v>0.99998699240799405</v>
      </c>
      <c r="K81" s="9">
        <v>0.99999985503636002</v>
      </c>
      <c r="Q81" s="1"/>
      <c r="R81" s="10"/>
    </row>
    <row r="82" spans="1:18" x14ac:dyDescent="0.25">
      <c r="A82" s="4">
        <v>7.6</v>
      </c>
      <c r="B82" s="9">
        <v>4.6566770319017495E-10</v>
      </c>
      <c r="C82" s="9">
        <v>4.78481477253936E-10</v>
      </c>
      <c r="D82" s="9">
        <v>2.60829115563358E-8</v>
      </c>
      <c r="E82" s="9">
        <v>1.11958266757479E-5</v>
      </c>
      <c r="F82" s="9">
        <v>1.0689600914764101E-3</v>
      </c>
      <c r="G82" s="9">
        <v>9.2792962502847604E-2</v>
      </c>
      <c r="H82" s="9">
        <v>0.907207055469755</v>
      </c>
      <c r="I82" s="9">
        <v>0.998931040149733</v>
      </c>
      <c r="J82" s="9">
        <v>0.99998880417607905</v>
      </c>
      <c r="K82" s="9">
        <v>0.99999988240654303</v>
      </c>
      <c r="Q82" s="1"/>
      <c r="R82" s="10"/>
    </row>
    <row r="83" spans="1:18" x14ac:dyDescent="0.25">
      <c r="A83" s="4">
        <v>7.7</v>
      </c>
      <c r="B83" s="9">
        <v>4.6566546089768395E-10</v>
      </c>
      <c r="C83" s="9">
        <v>4.7487802628120796E-10</v>
      </c>
      <c r="D83" s="9">
        <v>2.0819427877026301E-8</v>
      </c>
      <c r="E83" s="9">
        <v>9.6364173130372493E-6</v>
      </c>
      <c r="F83" s="9">
        <v>9.7704589472725101E-4</v>
      </c>
      <c r="G83" s="9">
        <v>9.0298152901972004E-2</v>
      </c>
      <c r="H83" s="9">
        <v>0.90970186183120905</v>
      </c>
      <c r="I83" s="9">
        <v>0.99902295429293098</v>
      </c>
      <c r="J83" s="9">
        <v>0.99999036358474402</v>
      </c>
      <c r="K83" s="9">
        <v>0.99999990459238497</v>
      </c>
      <c r="Q83" s="1"/>
      <c r="R83" s="10"/>
    </row>
    <row r="84" spans="1:18" x14ac:dyDescent="0.25">
      <c r="A84" s="4">
        <v>7.8</v>
      </c>
      <c r="B84" s="9">
        <v>4.65664002265996E-10</v>
      </c>
      <c r="C84" s="9">
        <v>4.7228741980009197E-10</v>
      </c>
      <c r="D84" s="9">
        <v>1.6637413090726398E-8</v>
      </c>
      <c r="E84" s="9">
        <v>8.2942173196803097E-6</v>
      </c>
      <c r="F84" s="9">
        <v>8.9302784993451796E-4</v>
      </c>
      <c r="G84" s="9">
        <v>8.7863922077904597E-2</v>
      </c>
      <c r="H84" s="9">
        <v>0.91213609006239105</v>
      </c>
      <c r="I84" s="9">
        <v>0.99910697229719403</v>
      </c>
      <c r="J84" s="9">
        <v>0.99999170578423302</v>
      </c>
      <c r="K84" s="9">
        <v>0.99999992257588199</v>
      </c>
      <c r="Q84" s="1"/>
      <c r="R84" s="10"/>
    </row>
    <row r="85" spans="1:18" x14ac:dyDescent="0.25">
      <c r="A85" s="4">
        <v>7.9</v>
      </c>
      <c r="B85" s="9">
        <v>4.65663053412802E-10</v>
      </c>
      <c r="C85" s="9">
        <v>4.7042497128205905E-10</v>
      </c>
      <c r="D85" s="9">
        <v>1.3314661723660501E-8</v>
      </c>
      <c r="E85" s="9">
        <v>7.1389721774985E-6</v>
      </c>
      <c r="F85" s="9">
        <v>8.1622877842789799E-4</v>
      </c>
      <c r="G85" s="9">
        <v>8.5489145921079701E-2</v>
      </c>
      <c r="H85" s="9">
        <v>0.91451086414433203</v>
      </c>
      <c r="I85" s="9">
        <v>0.999183771337954</v>
      </c>
      <c r="J85" s="9">
        <v>0.99999286102900897</v>
      </c>
      <c r="K85" s="9">
        <v>0.99999993715302304</v>
      </c>
      <c r="Q85" s="1"/>
      <c r="R85" s="10"/>
    </row>
    <row r="86" spans="1:18" x14ac:dyDescent="0.25">
      <c r="A86" s="4">
        <v>8</v>
      </c>
      <c r="B86" s="9">
        <v>4.6566243617515897E-10</v>
      </c>
      <c r="C86" s="9">
        <v>4.6908601281786798E-10</v>
      </c>
      <c r="D86" s="9">
        <v>1.0674624045962099E-8</v>
      </c>
      <c r="E86" s="9">
        <v>6.1446413185782996E-6</v>
      </c>
      <c r="F86" s="9">
        <v>7.4602938535865704E-4</v>
      </c>
      <c r="G86" s="9">
        <v>8.3172702367649204E-2</v>
      </c>
      <c r="H86" s="9">
        <v>0.91682730603777496</v>
      </c>
      <c r="I86" s="9">
        <v>0.999253970707631</v>
      </c>
      <c r="J86" s="9">
        <v>0.99999385535959895</v>
      </c>
      <c r="K86" s="9">
        <v>0.999999948969025</v>
      </c>
      <c r="Q86" s="1"/>
      <c r="R86" s="10"/>
    </row>
    <row r="87" spans="1:18" x14ac:dyDescent="0.25">
      <c r="A87" s="4">
        <v>8.1</v>
      </c>
      <c r="B87" s="9">
        <v>4.6566203465645203E-10</v>
      </c>
      <c r="C87" s="9">
        <v>4.6812340378551399E-10</v>
      </c>
      <c r="D87" s="9">
        <v>8.5770253551909904E-9</v>
      </c>
      <c r="E87" s="9">
        <v>5.2888112236882497E-6</v>
      </c>
      <c r="F87" s="9">
        <v>6.8186334344006697E-4</v>
      </c>
      <c r="G87" s="9">
        <v>8.0913472595870201E-2</v>
      </c>
      <c r="H87" s="9">
        <v>0.91908653448177502</v>
      </c>
      <c r="I87" s="9">
        <v>0.99931813673169001</v>
      </c>
      <c r="J87" s="9">
        <v>0.99999471118949701</v>
      </c>
      <c r="K87" s="9">
        <v>0.99999995854689006</v>
      </c>
      <c r="Q87" s="1"/>
      <c r="R87" s="10"/>
    </row>
    <row r="88" spans="1:18" x14ac:dyDescent="0.25">
      <c r="A88" s="4">
        <v>8.1999999999999993</v>
      </c>
      <c r="B88" s="9">
        <v>4.6566177346488003E-10</v>
      </c>
      <c r="C88" s="9">
        <v>4.6743136129680803E-10</v>
      </c>
      <c r="D88" s="9">
        <v>6.9104126802856303E-9</v>
      </c>
      <c r="E88" s="9">
        <v>4.5521902537724698E-6</v>
      </c>
      <c r="F88" s="9">
        <v>6.2321278904008701E-4</v>
      </c>
      <c r="G88" s="9">
        <v>7.8710342152486401E-2</v>
      </c>
      <c r="H88" s="9">
        <v>0.92128966386329503</v>
      </c>
      <c r="I88" s="9">
        <v>0.99937678727239498</v>
      </c>
      <c r="J88" s="9">
        <v>0.99999544781031902</v>
      </c>
      <c r="K88" s="9">
        <v>0.99999996631055799</v>
      </c>
      <c r="Q88" s="1"/>
      <c r="R88" s="10"/>
    </row>
    <row r="89" spans="1:18" x14ac:dyDescent="0.25">
      <c r="A89" s="4">
        <v>8.3000000000000007</v>
      </c>
      <c r="B89" s="9">
        <v>4.6566160355738299E-10</v>
      </c>
      <c r="C89" s="9">
        <v>4.6693383552102699E-10</v>
      </c>
      <c r="D89" s="9">
        <v>5.5862328863507499E-9</v>
      </c>
      <c r="E89" s="9">
        <v>3.9181738343212997E-6</v>
      </c>
      <c r="F89" s="9">
        <v>5.6960419690164704E-4</v>
      </c>
      <c r="G89" s="9">
        <v>7.6562202010775002E-2</v>
      </c>
      <c r="H89" s="9">
        <v>0.92343780315593205</v>
      </c>
      <c r="I89" s="9">
        <v>0.99943039585397697</v>
      </c>
      <c r="J89" s="9">
        <v>0.99999608182662802</v>
      </c>
      <c r="K89" s="9">
        <v>0.99999997260366502</v>
      </c>
      <c r="Q89" s="1"/>
      <c r="R89" s="10"/>
    </row>
    <row r="90" spans="1:18" x14ac:dyDescent="0.25">
      <c r="A90" s="4">
        <v>8.4</v>
      </c>
      <c r="B90" s="9">
        <v>4.6566149303101098E-10</v>
      </c>
      <c r="C90" s="9">
        <v>4.6657615242879198E-10</v>
      </c>
      <c r="D90" s="9">
        <v>4.5341275292194499E-9</v>
      </c>
      <c r="E90" s="9">
        <v>3.3724701964080901E-6</v>
      </c>
      <c r="F90" s="9">
        <v>5.2060460238019795E-4</v>
      </c>
      <c r="G90" s="9">
        <v>7.4467949562015301E-2</v>
      </c>
      <c r="H90" s="9">
        <v>0.92553205492583801</v>
      </c>
      <c r="I90" s="9">
        <v>0.99947939544030895</v>
      </c>
      <c r="J90" s="9">
        <v>0.99999662753018204</v>
      </c>
      <c r="K90" s="9">
        <v>0.99999997770475801</v>
      </c>
      <c r="Q90" s="1"/>
      <c r="R90" s="10"/>
    </row>
    <row r="91" spans="1:18" x14ac:dyDescent="0.25">
      <c r="A91" s="4">
        <v>8.5</v>
      </c>
      <c r="B91" s="9">
        <v>4.6566142113260004E-10</v>
      </c>
      <c r="C91" s="9">
        <v>4.6631900556204804E-10</v>
      </c>
      <c r="D91" s="9">
        <v>3.6981944588331898E-9</v>
      </c>
      <c r="E91" s="9">
        <v>2.9027782418393302E-6</v>
      </c>
      <c r="F91" s="9">
        <v>4.75818142524325E-4</v>
      </c>
      <c r="G91" s="9">
        <v>7.2426489542238903E-2</v>
      </c>
      <c r="H91" s="9">
        <v>0.92757351440288904</v>
      </c>
      <c r="I91" s="9">
        <v>0.99952418189376702</v>
      </c>
      <c r="J91" s="9">
        <v>0.99999709722207097</v>
      </c>
      <c r="K91" s="9">
        <v>0.99999998183962402</v>
      </c>
      <c r="Q91" s="1"/>
      <c r="R91" s="10"/>
    </row>
    <row r="92" spans="1:18" x14ac:dyDescent="0.25">
      <c r="A92" s="4">
        <v>8.6</v>
      </c>
      <c r="B92" s="9">
        <v>4.6566137436202904E-10</v>
      </c>
      <c r="C92" s="9">
        <v>4.6613413657476095E-10</v>
      </c>
      <c r="D92" s="9">
        <v>3.0340175371976201E-9</v>
      </c>
      <c r="E92" s="9">
        <v>2.49851027380369E-6</v>
      </c>
      <c r="F92" s="9">
        <v>4.3488288959084499E-4</v>
      </c>
      <c r="G92" s="9">
        <v>7.0436734896189596E-2</v>
      </c>
      <c r="H92" s="9">
        <v>0.92956326861503702</v>
      </c>
      <c r="I92" s="9">
        <v>0.99956511714165897</v>
      </c>
      <c r="J92" s="9">
        <v>0.999997501489989</v>
      </c>
      <c r="K92" s="9">
        <v>0.99999998519128197</v>
      </c>
      <c r="Q92" s="1"/>
      <c r="R92" s="10"/>
    </row>
    <row r="93" spans="1:18" x14ac:dyDescent="0.25">
      <c r="A93" s="4">
        <v>8.6999999999999993</v>
      </c>
      <c r="B93" s="9">
        <v>4.6566134393734704E-10</v>
      </c>
      <c r="C93" s="9">
        <v>4.6600122987099595E-10</v>
      </c>
      <c r="D93" s="9">
        <v>2.5063066492830701E-9</v>
      </c>
      <c r="E93" s="9">
        <v>2.1505533449907498E-6</v>
      </c>
      <c r="F93" s="9">
        <v>3.9746795268968298E-4</v>
      </c>
      <c r="G93" s="9">
        <v>6.8497607580478306E-2</v>
      </c>
      <c r="H93" s="9">
        <v>0.93150239558381798</v>
      </c>
      <c r="I93" s="9">
        <v>0.99960253207454797</v>
      </c>
      <c r="J93" s="9">
        <v>0.99999784944687697</v>
      </c>
      <c r="K93" s="9">
        <v>0.99999998790808298</v>
      </c>
      <c r="Q93" s="1"/>
      <c r="R93" s="10"/>
    </row>
    <row r="94" spans="1:18" x14ac:dyDescent="0.25">
      <c r="A94" s="4">
        <v>8.8000000000000007</v>
      </c>
      <c r="B94" s="9">
        <v>4.6566132414581404E-10</v>
      </c>
      <c r="C94" s="9">
        <v>4.6590568008648399E-10</v>
      </c>
      <c r="D94" s="9">
        <v>2.08702261224601E-9</v>
      </c>
      <c r="E94" s="9">
        <v>1.8510638450947201E-6</v>
      </c>
      <c r="F94" s="9">
        <v>3.6327082520399998E-4</v>
      </c>
      <c r="G94" s="9">
        <v>6.66080393079546E-2</v>
      </c>
      <c r="H94" s="9">
        <v>0.93339196357888798</v>
      </c>
      <c r="I94" s="9">
        <v>0.99963672919880697</v>
      </c>
      <c r="J94" s="9">
        <v>0.99999814893634498</v>
      </c>
      <c r="K94" s="9">
        <v>0.99999999011027896</v>
      </c>
      <c r="Q94" s="1"/>
      <c r="R94" s="10"/>
    </row>
    <row r="95" spans="1:18" x14ac:dyDescent="0.25">
      <c r="A95" s="4">
        <v>8.9</v>
      </c>
      <c r="B95" s="9">
        <v>4.6566131127124205E-10</v>
      </c>
      <c r="C95" s="9">
        <v>4.6583698707809197E-10</v>
      </c>
      <c r="D95" s="9">
        <v>1.7538873527054301E-9</v>
      </c>
      <c r="E95" s="9">
        <v>1.5932906984777399E-6</v>
      </c>
      <c r="F95" s="9">
        <v>3.3201495743661301E-4</v>
      </c>
      <c r="G95" s="9">
        <v>6.4766972235370104E-2</v>
      </c>
      <c r="H95" s="9">
        <v>0.93523303042950401</v>
      </c>
      <c r="I95" s="9">
        <v>0.99966798506394805</v>
      </c>
      <c r="J95" s="9">
        <v>0.99999840670946505</v>
      </c>
      <c r="K95" s="9">
        <v>0.99999999189534405</v>
      </c>
      <c r="Q95" s="1"/>
      <c r="R95" s="10"/>
    </row>
    <row r="96" spans="1:18" x14ac:dyDescent="0.25">
      <c r="A96" s="4">
        <v>9</v>
      </c>
      <c r="B96" s="9">
        <v>4.6566130289621598E-10</v>
      </c>
      <c r="C96" s="9">
        <v>4.6578760204362897E-10</v>
      </c>
      <c r="D96" s="9">
        <v>1.4892001924658599E-9</v>
      </c>
      <c r="E96" s="9">
        <v>1.37142318738635E-6</v>
      </c>
      <c r="F96" s="9">
        <v>3.03447535603263E-4</v>
      </c>
      <c r="G96" s="9">
        <v>6.2973359596394995E-2</v>
      </c>
      <c r="H96" s="9">
        <v>0.93702664289079696</v>
      </c>
      <c r="I96" s="9">
        <v>0.999696552483617</v>
      </c>
      <c r="J96" s="9">
        <v>0.99999862857695498</v>
      </c>
      <c r="K96" s="9">
        <v>0.99999999334228995</v>
      </c>
      <c r="Q96" s="1"/>
      <c r="R96" s="10"/>
    </row>
    <row r="97" spans="1:42" x14ac:dyDescent="0.25">
      <c r="A97" s="4">
        <v>9.1</v>
      </c>
      <c r="B97" s="9">
        <v>4.6566129744818495E-10</v>
      </c>
      <c r="C97" s="9">
        <v>4.6575209796999095E-10</v>
      </c>
      <c r="D97" s="9">
        <v>1.27889734770699E-9</v>
      </c>
      <c r="E97" s="9">
        <v>1.18045997099305E-6</v>
      </c>
      <c r="F97" s="9">
        <v>2.77337449835286E-4</v>
      </c>
      <c r="G97" s="9">
        <v>6.1226166282106503E-2</v>
      </c>
      <c r="H97" s="9">
        <v>0.93877383606274101</v>
      </c>
      <c r="I97" s="9">
        <v>0.99972266256757802</v>
      </c>
      <c r="J97" s="9">
        <v>0.99999881954015302</v>
      </c>
      <c r="K97" s="9">
        <v>0.99999999451516097</v>
      </c>
      <c r="Q97" s="1"/>
      <c r="R97" s="10"/>
    </row>
    <row r="98" spans="1:42" x14ac:dyDescent="0.25">
      <c r="A98" s="4">
        <v>9.1999999999999993</v>
      </c>
      <c r="B98" s="9">
        <v>4.6566129390419197E-10</v>
      </c>
      <c r="C98" s="9">
        <v>4.6572657324861498E-10</v>
      </c>
      <c r="D98" s="9">
        <v>1.1118046694589599E-9</v>
      </c>
      <c r="E98" s="9">
        <v>1.01609634816105E-6</v>
      </c>
      <c r="F98" s="9">
        <v>2.5347343527718402E-4</v>
      </c>
      <c r="G98" s="9">
        <v>5.95243693710188E-2</v>
      </c>
      <c r="H98" s="9">
        <v>0.94047563285965996</v>
      </c>
      <c r="I98" s="9">
        <v>0.99974652658060703</v>
      </c>
      <c r="J98" s="9">
        <v>0.99999898390376096</v>
      </c>
      <c r="K98" s="9">
        <v>0.99999999546587304</v>
      </c>
      <c r="Q98" s="1"/>
      <c r="R98" s="10"/>
    </row>
    <row r="99" spans="1:42" x14ac:dyDescent="0.25">
      <c r="A99" s="4">
        <v>9.3000000000000007</v>
      </c>
      <c r="B99" s="9">
        <v>4.6566129159879204E-10</v>
      </c>
      <c r="C99" s="9">
        <v>4.6570822292048303E-10</v>
      </c>
      <c r="D99" s="9">
        <v>9.7904392078135693E-10</v>
      </c>
      <c r="E99" s="9">
        <v>8.7462722295525604E-7</v>
      </c>
      <c r="F99" s="9">
        <v>2.31662371676283E-4</v>
      </c>
      <c r="G99" s="9">
        <v>5.7866958610756997E-2</v>
      </c>
      <c r="H99" s="9">
        <v>0.94213304352820804</v>
      </c>
      <c r="I99" s="9">
        <v>0.99976833764289796</v>
      </c>
      <c r="J99" s="9">
        <v>0.99999912537287305</v>
      </c>
      <c r="K99" s="9">
        <v>0.99999999623650404</v>
      </c>
      <c r="Q99" s="1"/>
      <c r="R99" s="10"/>
    </row>
    <row r="100" spans="1:42" x14ac:dyDescent="0.25">
      <c r="A100" s="4">
        <v>9.4</v>
      </c>
      <c r="B100" s="9">
        <v>4.65661290099108E-10</v>
      </c>
      <c r="C100" s="9">
        <v>4.6569503043396805E-10</v>
      </c>
      <c r="D100" s="9">
        <v>8.7356104401857495E-10</v>
      </c>
      <c r="E100" s="9">
        <v>7.5286358580070201E-7</v>
      </c>
      <c r="F100" s="9">
        <v>2.11727728070048E-4</v>
      </c>
      <c r="G100" s="9">
        <v>5.6252936853450501E-2</v>
      </c>
      <c r="H100" s="9">
        <v>0.94374706521168406</v>
      </c>
      <c r="I100" s="9">
        <v>0.99978827228536604</v>
      </c>
      <c r="J100" s="9">
        <v>0.99999924713649901</v>
      </c>
      <c r="K100" s="9">
        <v>0.99999999686116603</v>
      </c>
      <c r="Q100" s="1"/>
      <c r="R100" s="10"/>
    </row>
    <row r="101" spans="1:42" x14ac:dyDescent="0.25">
      <c r="A101" s="4">
        <v>9.5</v>
      </c>
      <c r="B101" s="9">
        <v>4.6566128912355001E-10</v>
      </c>
      <c r="C101" s="9">
        <v>4.6568554604223297E-10</v>
      </c>
      <c r="D101" s="9">
        <v>7.8975135327416895E-10</v>
      </c>
      <c r="E101" s="9">
        <v>6.4806062779183996E-7</v>
      </c>
      <c r="F101" s="9">
        <v>1.9350814028900199E-4</v>
      </c>
      <c r="G101" s="9">
        <v>5.4681320446889399E-2</v>
      </c>
      <c r="H101" s="9">
        <v>0.94531868155864196</v>
      </c>
      <c r="I101" s="9">
        <v>0.99980649187214898</v>
      </c>
      <c r="J101" s="9">
        <v>0.999999351939447</v>
      </c>
      <c r="K101" s="9">
        <v>0.999999997367507</v>
      </c>
      <c r="Q101" s="1"/>
      <c r="R101" s="10"/>
    </row>
    <row r="102" spans="1:42" x14ac:dyDescent="0.25">
      <c r="A102" s="4">
        <v>9.6</v>
      </c>
      <c r="B102" s="9">
        <v>4.6566128848894004E-10</v>
      </c>
      <c r="C102" s="9">
        <v>4.6567872748786304E-10</v>
      </c>
      <c r="D102" s="9">
        <v>7.2316173723126902E-10</v>
      </c>
      <c r="E102" s="9">
        <v>5.5785586784023602E-7</v>
      </c>
      <c r="F102" s="9">
        <v>1.76856110016289E-4</v>
      </c>
      <c r="G102" s="9">
        <v>5.3151139583481499E-2</v>
      </c>
      <c r="H102" s="9">
        <v>0.94684886237375498</v>
      </c>
      <c r="I102" s="9">
        <v>0.99982314390153504</v>
      </c>
      <c r="J102" s="9">
        <v>0.999999442144199</v>
      </c>
      <c r="K102" s="9">
        <v>0.99999999777793902</v>
      </c>
      <c r="Q102" s="1"/>
      <c r="R102" s="10"/>
    </row>
    <row r="103" spans="1:42" x14ac:dyDescent="0.25">
      <c r="A103" s="4">
        <v>9.6999999999999993</v>
      </c>
      <c r="B103" s="9">
        <v>4.6566128807612098E-10</v>
      </c>
      <c r="C103" s="9">
        <v>4.6567382546725798E-10</v>
      </c>
      <c r="D103" s="9">
        <v>6.7025404928255305E-10</v>
      </c>
      <c r="E103" s="9">
        <v>4.8021589802075405E-7</v>
      </c>
      <c r="F103" s="9">
        <v>1.61636815085778E-4</v>
      </c>
      <c r="G103" s="9">
        <v>5.1661438609006703E-2</v>
      </c>
      <c r="H103" s="9">
        <v>0.94833856330891397</v>
      </c>
      <c r="I103" s="9">
        <v>0.99983836319566999</v>
      </c>
      <c r="J103" s="9">
        <v>0.99999951978416102</v>
      </c>
      <c r="K103" s="9">
        <v>0.99999999811062901</v>
      </c>
      <c r="Q103" s="1"/>
      <c r="R103" s="10"/>
    </row>
    <row r="104" spans="1:42" x14ac:dyDescent="0.25">
      <c r="A104" s="4">
        <v>9.8000000000000007</v>
      </c>
      <c r="B104" s="9">
        <v>4.6566128780757896E-10</v>
      </c>
      <c r="C104" s="9">
        <v>4.6567030128827404E-10</v>
      </c>
      <c r="D104" s="9">
        <v>6.2821711303499802E-10</v>
      </c>
      <c r="E104" s="9">
        <v>4.1339054672072799E-7</v>
      </c>
      <c r="F104" s="9">
        <v>1.4772702156487199E-4</v>
      </c>
      <c r="G104" s="9">
        <v>5.0211276293118202E-2</v>
      </c>
      <c r="H104" s="9">
        <v>0.94978872559260097</v>
      </c>
      <c r="I104" s="9">
        <v>0.99985227298847301</v>
      </c>
      <c r="J104" s="9">
        <v>0.99999958660950605</v>
      </c>
      <c r="K104" s="9">
        <v>0.99999999838030196</v>
      </c>
      <c r="Q104" s="1"/>
      <c r="R104" s="10"/>
    </row>
    <row r="105" spans="1:42" x14ac:dyDescent="0.25">
      <c r="A105" s="4">
        <v>9.9</v>
      </c>
      <c r="B105" s="9">
        <v>4.6566128763289E-10</v>
      </c>
      <c r="C105" s="9">
        <v>4.6566776767234002E-10</v>
      </c>
      <c r="D105" s="9">
        <v>5.9481735436427698E-10</v>
      </c>
      <c r="E105" s="9">
        <v>3.5587342638922102E-7</v>
      </c>
      <c r="F105" s="9">
        <v>1.3501408896217799E-4</v>
      </c>
      <c r="G105" s="9">
        <v>4.8799726063525901E-2</v>
      </c>
      <c r="H105" s="9">
        <v>0.95120027579562105</v>
      </c>
      <c r="I105" s="9">
        <v>0.99986498592042194</v>
      </c>
      <c r="J105" s="9">
        <v>0.99999964412662001</v>
      </c>
      <c r="K105" s="9">
        <v>0.99999999859889499</v>
      </c>
      <c r="Q105" s="1"/>
      <c r="R105" s="10"/>
    </row>
    <row r="106" spans="1:42" s="10" customFormat="1" x14ac:dyDescent="0.25">
      <c r="A106" s="4">
        <v>10</v>
      </c>
      <c r="B106" s="10">
        <v>4.6566128751925203E-10</v>
      </c>
      <c r="C106" s="10">
        <v>4.6566594619569799E-10</v>
      </c>
      <c r="D106" s="10">
        <v>5.6828012356145595E-10</v>
      </c>
      <c r="E106" s="10">
        <v>3.0636797659016801E-7</v>
      </c>
      <c r="F106" s="10">
        <v>1.23395060628898E-4</v>
      </c>
      <c r="G106" s="10">
        <v>4.7425876205734498E-2</v>
      </c>
      <c r="H106" s="10">
        <v>0.95257412563128196</v>
      </c>
      <c r="I106" s="10">
        <v>0.999876604948156</v>
      </c>
      <c r="J106" s="10">
        <v>0.99999969363206498</v>
      </c>
      <c r="K106" s="10">
        <v>0.99999999877608303</v>
      </c>
      <c r="O106" s="2"/>
      <c r="P106" s="2"/>
      <c r="Q106" s="1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s="10" customFormat="1" x14ac:dyDescent="0.25">
      <c r="O107" s="2"/>
      <c r="P107" s="2"/>
      <c r="Q107" s="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s="10" customFormat="1" x14ac:dyDescent="0.25">
      <c r="O108" s="2"/>
      <c r="P108" s="2"/>
      <c r="Q108" s="1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s="10" customFormat="1" x14ac:dyDescent="0.25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s="10" customFormat="1" x14ac:dyDescent="0.25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s="10" customFormat="1" x14ac:dyDescent="0.25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s="10" customFormat="1" x14ac:dyDescent="0.25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5:42" s="10" customFormat="1" x14ac:dyDescent="0.25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5:42" s="10" customFormat="1" x14ac:dyDescent="0.25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5:42" s="10" customFormat="1" x14ac:dyDescent="0.25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5:42" s="10" customFormat="1" x14ac:dyDescent="0.25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5:42" s="10" customFormat="1" x14ac:dyDescent="0.25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5:42" s="10" customFormat="1" x14ac:dyDescent="0.25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5:42" s="10" customFormat="1" x14ac:dyDescent="0.25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5:42" s="10" customFormat="1" x14ac:dyDescent="0.25"/>
    <row r="121" spans="15:42" s="10" customFormat="1" x14ac:dyDescent="0.25"/>
    <row r="122" spans="15:42" s="10" customFormat="1" x14ac:dyDescent="0.25"/>
    <row r="123" spans="15:42" s="10" customFormat="1" x14ac:dyDescent="0.25"/>
    <row r="124" spans="15:42" s="10" customFormat="1" x14ac:dyDescent="0.25"/>
    <row r="125" spans="15:42" s="10" customFormat="1" x14ac:dyDescent="0.25"/>
    <row r="126" spans="15:42" s="10" customFormat="1" x14ac:dyDescent="0.25"/>
    <row r="127" spans="15:42" s="10" customFormat="1" x14ac:dyDescent="0.25"/>
    <row r="128" spans="15:42" s="10" customFormat="1" x14ac:dyDescent="0.25"/>
    <row r="129" s="10" customFormat="1" x14ac:dyDescent="0.25"/>
    <row r="130" s="10" customFormat="1" x14ac:dyDescent="0.25"/>
    <row r="131" s="10" customFormat="1" x14ac:dyDescent="0.25"/>
    <row r="132" s="10" customFormat="1" x14ac:dyDescent="0.25"/>
    <row r="133" s="10" customFormat="1" x14ac:dyDescent="0.25"/>
    <row r="134" s="10" customFormat="1" x14ac:dyDescent="0.25"/>
    <row r="135" s="10" customFormat="1" x14ac:dyDescent="0.25"/>
    <row r="136" s="10" customFormat="1" x14ac:dyDescent="0.25"/>
    <row r="137" s="10" customFormat="1" x14ac:dyDescent="0.25"/>
    <row r="138" s="10" customFormat="1" x14ac:dyDescent="0.25"/>
    <row r="139" s="10" customFormat="1" x14ac:dyDescent="0.25"/>
    <row r="140" s="10" customFormat="1" x14ac:dyDescent="0.25"/>
    <row r="141" s="10" customFormat="1" x14ac:dyDescent="0.25"/>
    <row r="142" s="10" customFormat="1" x14ac:dyDescent="0.25"/>
    <row r="143" s="10" customFormat="1" x14ac:dyDescent="0.25"/>
    <row r="144" s="10" customFormat="1" x14ac:dyDescent="0.25"/>
    <row r="145" s="10" customFormat="1" x14ac:dyDescent="0.25"/>
    <row r="146" s="10" customFormat="1" x14ac:dyDescent="0.25"/>
    <row r="147" s="10" customFormat="1" x14ac:dyDescent="0.25"/>
    <row r="148" s="10" customFormat="1" x14ac:dyDescent="0.25"/>
    <row r="149" s="10" customFormat="1" x14ac:dyDescent="0.25"/>
    <row r="150" s="10" customFormat="1" x14ac:dyDescent="0.25"/>
    <row r="151" s="10" customFormat="1" x14ac:dyDescent="0.25"/>
    <row r="152" s="10" customFormat="1" x14ac:dyDescent="0.25"/>
    <row r="153" s="10" customFormat="1" x14ac:dyDescent="0.25"/>
    <row r="154" s="10" customFormat="1" x14ac:dyDescent="0.25"/>
    <row r="155" s="10" customFormat="1" x14ac:dyDescent="0.25"/>
    <row r="156" s="10" customFormat="1" x14ac:dyDescent="0.25"/>
    <row r="157" s="10" customFormat="1" x14ac:dyDescent="0.25"/>
    <row r="158" s="10" customFormat="1" x14ac:dyDescent="0.25"/>
    <row r="159" s="10" customFormat="1" x14ac:dyDescent="0.25"/>
    <row r="160" s="10" customFormat="1" x14ac:dyDescent="0.25"/>
    <row r="161" s="10" customFormat="1" x14ac:dyDescent="0.25"/>
    <row r="162" s="10" customFormat="1" x14ac:dyDescent="0.25"/>
    <row r="163" s="10" customFormat="1" x14ac:dyDescent="0.25"/>
    <row r="164" s="10" customFormat="1" x14ac:dyDescent="0.25"/>
    <row r="165" s="10" customFormat="1" x14ac:dyDescent="0.25"/>
    <row r="166" s="10" customFormat="1" x14ac:dyDescent="0.25"/>
    <row r="167" s="10" customFormat="1" x14ac:dyDescent="0.25"/>
    <row r="168" s="10" customFormat="1" x14ac:dyDescent="0.25"/>
    <row r="169" s="10" customFormat="1" x14ac:dyDescent="0.25"/>
    <row r="170" s="10" customFormat="1" x14ac:dyDescent="0.25"/>
    <row r="171" s="10" customFormat="1" x14ac:dyDescent="0.25"/>
    <row r="172" s="10" customFormat="1" x14ac:dyDescent="0.25"/>
    <row r="173" s="10" customFormat="1" x14ac:dyDescent="0.25"/>
    <row r="174" s="10" customFormat="1" x14ac:dyDescent="0.25"/>
    <row r="175" s="10" customFormat="1" x14ac:dyDescent="0.25"/>
    <row r="176" s="10" customFormat="1" x14ac:dyDescent="0.25"/>
    <row r="177" s="10" customFormat="1" x14ac:dyDescent="0.25"/>
    <row r="178" s="10" customFormat="1" x14ac:dyDescent="0.25"/>
    <row r="179" s="10" customFormat="1" x14ac:dyDescent="0.25"/>
    <row r="180" s="10" customFormat="1" x14ac:dyDescent="0.25"/>
    <row r="181" s="10" customFormat="1" x14ac:dyDescent="0.25"/>
    <row r="182" s="10" customFormat="1" x14ac:dyDescent="0.25"/>
    <row r="183" s="10" customFormat="1" x14ac:dyDescent="0.25"/>
    <row r="184" s="10" customFormat="1" x14ac:dyDescent="0.25"/>
    <row r="185" s="10" customFormat="1" x14ac:dyDescent="0.25"/>
    <row r="186" s="10" customFormat="1" x14ac:dyDescent="0.25"/>
    <row r="187" s="10" customFormat="1" x14ac:dyDescent="0.25"/>
    <row r="188" s="10" customFormat="1" x14ac:dyDescent="0.25"/>
    <row r="189" s="10" customFormat="1" x14ac:dyDescent="0.25"/>
    <row r="190" s="10" customFormat="1" x14ac:dyDescent="0.25"/>
    <row r="191" s="10" customFormat="1" x14ac:dyDescent="0.25"/>
    <row r="192" s="10" customFormat="1" x14ac:dyDescent="0.25"/>
    <row r="193" s="10" customFormat="1" x14ac:dyDescent="0.25"/>
    <row r="194" s="10" customFormat="1" x14ac:dyDescent="0.25"/>
    <row r="195" s="10" customFormat="1" x14ac:dyDescent="0.25"/>
    <row r="196" s="10" customFormat="1" x14ac:dyDescent="0.25"/>
    <row r="197" s="10" customFormat="1" x14ac:dyDescent="0.25"/>
    <row r="198" s="10" customFormat="1" x14ac:dyDescent="0.25"/>
    <row r="199" s="10" customFormat="1" x14ac:dyDescent="0.25"/>
    <row r="200" s="10" customFormat="1" x14ac:dyDescent="0.25"/>
    <row r="201" s="10" customFormat="1" x14ac:dyDescent="0.25"/>
    <row r="202" s="10" customFormat="1" x14ac:dyDescent="0.25"/>
    <row r="203" s="10" customFormat="1" x14ac:dyDescent="0.25"/>
    <row r="204" s="10" customFormat="1" x14ac:dyDescent="0.25"/>
    <row r="205" s="10" customFormat="1" x14ac:dyDescent="0.25"/>
    <row r="206" s="10" customFormat="1" x14ac:dyDescent="0.25"/>
    <row r="207" s="10" customFormat="1" x14ac:dyDescent="0.25"/>
    <row r="208" s="10" customFormat="1" x14ac:dyDescent="0.25"/>
    <row r="209" s="10" customFormat="1" x14ac:dyDescent="0.25"/>
    <row r="210" s="10" customFormat="1" x14ac:dyDescent="0.25"/>
    <row r="211" s="10" customFormat="1" x14ac:dyDescent="0.25"/>
    <row r="212" s="10" customFormat="1" x14ac:dyDescent="0.25"/>
    <row r="213" s="10" customFormat="1" x14ac:dyDescent="0.25"/>
    <row r="214" s="10" customFormat="1" x14ac:dyDescent="0.25"/>
    <row r="215" s="10" customFormat="1" x14ac:dyDescent="0.25"/>
    <row r="216" s="10" customFormat="1" x14ac:dyDescent="0.25"/>
    <row r="217" s="10" customFormat="1" x14ac:dyDescent="0.25"/>
    <row r="218" s="10" customFormat="1" x14ac:dyDescent="0.25"/>
    <row r="219" s="10" customFormat="1" x14ac:dyDescent="0.25"/>
    <row r="220" s="10" customFormat="1" x14ac:dyDescent="0.25"/>
    <row r="221" s="10" customFormat="1" x14ac:dyDescent="0.25"/>
    <row r="222" s="10" customFormat="1" x14ac:dyDescent="0.25"/>
    <row r="223" s="10" customFormat="1" x14ac:dyDescent="0.25"/>
    <row r="224" s="10" customFormat="1" x14ac:dyDescent="0.25"/>
    <row r="225" s="10" customFormat="1" x14ac:dyDescent="0.25"/>
    <row r="226" s="10" customFormat="1" x14ac:dyDescent="0.25"/>
    <row r="227" s="10" customFormat="1" x14ac:dyDescent="0.25"/>
    <row r="228" s="10" customFormat="1" x14ac:dyDescent="0.25"/>
    <row r="229" s="10" customFormat="1" x14ac:dyDescent="0.25"/>
    <row r="230" s="10" customFormat="1" x14ac:dyDescent="0.25"/>
    <row r="231" s="10" customFormat="1" x14ac:dyDescent="0.25"/>
    <row r="232" s="10" customFormat="1" x14ac:dyDescent="0.25"/>
    <row r="233" s="10" customFormat="1" x14ac:dyDescent="0.25"/>
    <row r="234" s="10" customFormat="1" x14ac:dyDescent="0.25"/>
    <row r="235" s="10" customFormat="1" x14ac:dyDescent="0.25"/>
    <row r="236" s="10" customFormat="1" x14ac:dyDescent="0.25"/>
    <row r="237" s="10" customFormat="1" x14ac:dyDescent="0.25"/>
    <row r="238" s="10" customFormat="1" x14ac:dyDescent="0.25"/>
    <row r="239" s="10" customFormat="1" x14ac:dyDescent="0.25"/>
    <row r="240" s="10" customFormat="1" x14ac:dyDescent="0.25"/>
    <row r="241" s="10" customFormat="1" x14ac:dyDescent="0.25"/>
    <row r="242" s="10" customFormat="1" x14ac:dyDescent="0.25"/>
    <row r="243" s="10" customFormat="1" x14ac:dyDescent="0.25"/>
    <row r="244" s="10" customFormat="1" x14ac:dyDescent="0.25"/>
    <row r="245" s="10" customFormat="1" x14ac:dyDescent="0.25"/>
    <row r="246" s="10" customFormat="1" x14ac:dyDescent="0.25"/>
    <row r="247" s="10" customFormat="1" x14ac:dyDescent="0.25"/>
    <row r="248" s="10" customFormat="1" x14ac:dyDescent="0.25"/>
    <row r="249" s="10" customFormat="1" x14ac:dyDescent="0.25"/>
    <row r="250" s="10" customFormat="1" x14ac:dyDescent="0.25"/>
    <row r="251" s="10" customFormat="1" x14ac:dyDescent="0.25"/>
    <row r="252" s="10" customFormat="1" x14ac:dyDescent="0.25"/>
    <row r="253" s="10" customFormat="1" x14ac:dyDescent="0.25"/>
    <row r="254" s="10" customFormat="1" x14ac:dyDescent="0.25"/>
    <row r="255" s="10" customFormat="1" x14ac:dyDescent="0.25"/>
    <row r="256" s="10" customFormat="1" x14ac:dyDescent="0.25"/>
    <row r="257" s="10" customFormat="1" x14ac:dyDescent="0.25"/>
    <row r="258" s="10" customFormat="1" x14ac:dyDescent="0.25"/>
    <row r="259" s="10" customFormat="1" x14ac:dyDescent="0.25"/>
    <row r="260" s="10" customFormat="1" x14ac:dyDescent="0.25"/>
    <row r="261" s="10" customFormat="1" x14ac:dyDescent="0.25"/>
    <row r="262" s="10" customFormat="1" x14ac:dyDescent="0.25"/>
    <row r="263" s="10" customFormat="1" x14ac:dyDescent="0.25"/>
    <row r="264" s="10" customFormat="1" x14ac:dyDescent="0.25"/>
    <row r="265" s="10" customFormat="1" x14ac:dyDescent="0.25"/>
    <row r="266" s="10" customFormat="1" x14ac:dyDescent="0.25"/>
    <row r="267" s="10" customFormat="1" x14ac:dyDescent="0.25"/>
    <row r="268" s="10" customFormat="1" x14ac:dyDescent="0.25"/>
    <row r="269" s="10" customFormat="1" x14ac:dyDescent="0.25"/>
    <row r="270" s="10" customFormat="1" x14ac:dyDescent="0.25"/>
    <row r="271" s="10" customFormat="1" x14ac:dyDescent="0.25"/>
    <row r="272" s="10" customFormat="1" x14ac:dyDescent="0.25"/>
    <row r="273" s="10" customFormat="1" x14ac:dyDescent="0.25"/>
    <row r="274" s="10" customFormat="1" x14ac:dyDescent="0.25"/>
    <row r="275" s="10" customFormat="1" x14ac:dyDescent="0.25"/>
    <row r="276" s="10" customFormat="1" x14ac:dyDescent="0.25"/>
    <row r="277" s="10" customFormat="1" x14ac:dyDescent="0.25"/>
    <row r="278" s="10" customFormat="1" x14ac:dyDescent="0.25"/>
    <row r="279" s="10" customFormat="1" x14ac:dyDescent="0.25"/>
    <row r="280" s="10" customFormat="1" x14ac:dyDescent="0.25"/>
    <row r="281" s="10" customFormat="1" x14ac:dyDescent="0.25"/>
    <row r="282" s="10" customFormat="1" x14ac:dyDescent="0.25"/>
    <row r="283" s="10" customFormat="1" x14ac:dyDescent="0.25"/>
    <row r="284" s="10" customFormat="1" x14ac:dyDescent="0.25"/>
    <row r="285" s="10" customFormat="1" x14ac:dyDescent="0.25"/>
    <row r="286" s="10" customFormat="1" x14ac:dyDescent="0.25"/>
    <row r="287" s="10" customFormat="1" x14ac:dyDescent="0.25"/>
    <row r="288" s="10" customFormat="1" x14ac:dyDescent="0.25"/>
    <row r="289" s="10" customFormat="1" x14ac:dyDescent="0.25"/>
    <row r="290" s="10" customFormat="1" x14ac:dyDescent="0.25"/>
    <row r="291" s="10" customFormat="1" x14ac:dyDescent="0.25"/>
    <row r="292" s="10" customFormat="1" x14ac:dyDescent="0.25"/>
    <row r="293" s="10" customFormat="1" x14ac:dyDescent="0.25"/>
    <row r="294" s="10" customFormat="1" x14ac:dyDescent="0.25"/>
    <row r="295" s="10" customFormat="1" x14ac:dyDescent="0.25"/>
    <row r="296" s="10" customFormat="1" x14ac:dyDescent="0.25"/>
    <row r="297" s="10" customFormat="1" x14ac:dyDescent="0.25"/>
    <row r="298" s="10" customFormat="1" x14ac:dyDescent="0.25"/>
    <row r="299" s="10" customFormat="1" x14ac:dyDescent="0.25"/>
    <row r="300" s="10" customFormat="1" x14ac:dyDescent="0.25"/>
    <row r="301" s="10" customFormat="1" x14ac:dyDescent="0.25"/>
    <row r="302" s="10" customFormat="1" x14ac:dyDescent="0.25"/>
    <row r="303" s="10" customFormat="1" x14ac:dyDescent="0.25"/>
    <row r="304" s="10" customFormat="1" x14ac:dyDescent="0.25"/>
    <row r="305" s="10" customFormat="1" x14ac:dyDescent="0.25"/>
    <row r="306" s="10" customFormat="1" x14ac:dyDescent="0.25"/>
    <row r="307" s="10" customFormat="1" x14ac:dyDescent="0.25"/>
    <row r="308" s="10" customFormat="1" x14ac:dyDescent="0.25"/>
    <row r="309" s="10" customFormat="1" x14ac:dyDescent="0.25"/>
    <row r="310" s="10" customFormat="1" x14ac:dyDescent="0.25"/>
    <row r="311" s="10" customFormat="1" x14ac:dyDescent="0.25"/>
    <row r="312" s="10" customFormat="1" x14ac:dyDescent="0.25"/>
    <row r="313" s="10" customFormat="1" x14ac:dyDescent="0.25"/>
    <row r="314" s="10" customFormat="1" x14ac:dyDescent="0.25"/>
    <row r="315" s="10" customFormat="1" x14ac:dyDescent="0.25"/>
    <row r="316" s="10" customFormat="1" x14ac:dyDescent="0.25"/>
    <row r="317" s="10" customFormat="1" x14ac:dyDescent="0.25"/>
    <row r="318" s="10" customFormat="1" x14ac:dyDescent="0.25"/>
    <row r="319" s="10" customFormat="1" x14ac:dyDescent="0.25"/>
    <row r="320" s="10" customFormat="1" x14ac:dyDescent="0.25"/>
    <row r="321" s="10" customFormat="1" x14ac:dyDescent="0.25"/>
    <row r="322" s="10" customFormat="1" x14ac:dyDescent="0.25"/>
    <row r="323" s="10" customFormat="1" x14ac:dyDescent="0.25"/>
    <row r="324" s="10" customFormat="1" x14ac:dyDescent="0.25"/>
    <row r="325" s="10" customFormat="1" x14ac:dyDescent="0.25"/>
    <row r="326" s="10" customFormat="1" x14ac:dyDescent="0.25"/>
    <row r="327" s="10" customFormat="1" x14ac:dyDescent="0.25"/>
    <row r="328" s="10" customFormat="1" x14ac:dyDescent="0.25"/>
    <row r="329" s="10" customFormat="1" x14ac:dyDescent="0.25"/>
    <row r="330" s="10" customFormat="1" x14ac:dyDescent="0.25"/>
    <row r="331" s="10" customFormat="1" x14ac:dyDescent="0.25"/>
    <row r="332" s="10" customFormat="1" x14ac:dyDescent="0.25"/>
    <row r="333" s="10" customFormat="1" x14ac:dyDescent="0.25"/>
    <row r="334" s="10" customFormat="1" x14ac:dyDescent="0.25"/>
    <row r="335" s="10" customFormat="1" x14ac:dyDescent="0.25"/>
    <row r="336" s="10" customFormat="1" x14ac:dyDescent="0.25"/>
    <row r="337" s="10" customFormat="1" x14ac:dyDescent="0.25"/>
    <row r="338" s="10" customFormat="1" x14ac:dyDescent="0.25"/>
    <row r="339" s="10" customFormat="1" x14ac:dyDescent="0.25"/>
    <row r="340" s="10" customFormat="1" x14ac:dyDescent="0.25"/>
    <row r="341" s="10" customFormat="1" x14ac:dyDescent="0.25"/>
    <row r="342" s="10" customFormat="1" x14ac:dyDescent="0.25"/>
    <row r="343" s="10" customFormat="1" x14ac:dyDescent="0.25"/>
    <row r="344" s="10" customFormat="1" x14ac:dyDescent="0.25"/>
    <row r="345" s="10" customFormat="1" x14ac:dyDescent="0.25"/>
    <row r="346" s="10" customFormat="1" x14ac:dyDescent="0.25"/>
    <row r="347" s="10" customFormat="1" x14ac:dyDescent="0.25"/>
    <row r="348" s="10" customFormat="1" x14ac:dyDescent="0.25"/>
    <row r="349" s="10" customFormat="1" x14ac:dyDescent="0.25"/>
    <row r="350" s="10" customFormat="1" x14ac:dyDescent="0.25"/>
    <row r="351" s="10" customFormat="1" x14ac:dyDescent="0.25"/>
    <row r="352" s="10" customFormat="1" x14ac:dyDescent="0.25"/>
    <row r="353" s="10" customFormat="1" x14ac:dyDescent="0.25"/>
    <row r="354" s="10" customFormat="1" x14ac:dyDescent="0.25"/>
    <row r="355" s="10" customFormat="1" x14ac:dyDescent="0.25"/>
    <row r="356" s="10" customFormat="1" x14ac:dyDescent="0.25"/>
    <row r="357" s="10" customFormat="1" x14ac:dyDescent="0.25"/>
    <row r="358" s="10" customFormat="1" x14ac:dyDescent="0.25"/>
    <row r="359" s="10" customFormat="1" x14ac:dyDescent="0.25"/>
    <row r="360" s="10" customFormat="1" x14ac:dyDescent="0.25"/>
    <row r="361" s="10" customFormat="1" x14ac:dyDescent="0.25"/>
    <row r="362" s="10" customFormat="1" x14ac:dyDescent="0.25"/>
    <row r="363" s="10" customFormat="1" x14ac:dyDescent="0.25"/>
    <row r="364" s="10" customFormat="1" x14ac:dyDescent="0.25"/>
    <row r="365" s="10" customFormat="1" x14ac:dyDescent="0.25"/>
    <row r="366" s="10" customFormat="1" x14ac:dyDescent="0.25"/>
    <row r="367" s="10" customFormat="1" x14ac:dyDescent="0.25"/>
    <row r="368" s="10" customFormat="1" x14ac:dyDescent="0.25"/>
    <row r="369" s="10" customFormat="1" x14ac:dyDescent="0.25"/>
    <row r="370" s="10" customFormat="1" x14ac:dyDescent="0.25"/>
    <row r="371" s="10" customFormat="1" x14ac:dyDescent="0.25"/>
    <row r="372" s="10" customFormat="1" x14ac:dyDescent="0.25"/>
    <row r="373" s="10" customFormat="1" x14ac:dyDescent="0.25"/>
    <row r="374" s="10" customFormat="1" x14ac:dyDescent="0.25"/>
    <row r="375" s="10" customFormat="1" x14ac:dyDescent="0.25"/>
    <row r="376" s="10" customFormat="1" x14ac:dyDescent="0.25"/>
    <row r="377" s="10" customFormat="1" x14ac:dyDescent="0.25"/>
    <row r="378" s="10" customFormat="1" x14ac:dyDescent="0.25"/>
    <row r="379" s="10" customFormat="1" x14ac:dyDescent="0.25"/>
    <row r="380" s="10" customFormat="1" x14ac:dyDescent="0.25"/>
    <row r="381" s="10" customFormat="1" x14ac:dyDescent="0.25"/>
    <row r="382" s="10" customFormat="1" x14ac:dyDescent="0.25"/>
    <row r="383" s="10" customFormat="1" x14ac:dyDescent="0.25"/>
    <row r="384" s="10" customFormat="1" x14ac:dyDescent="0.25"/>
    <row r="385" s="10" customFormat="1" x14ac:dyDescent="0.25"/>
    <row r="386" s="10" customFormat="1" x14ac:dyDescent="0.25"/>
    <row r="387" s="10" customFormat="1" x14ac:dyDescent="0.25"/>
    <row r="388" s="10" customFormat="1" x14ac:dyDescent="0.25"/>
    <row r="389" s="10" customFormat="1" x14ac:dyDescent="0.25"/>
    <row r="390" s="10" customFormat="1" x14ac:dyDescent="0.25"/>
    <row r="391" s="10" customFormat="1" x14ac:dyDescent="0.25"/>
    <row r="392" s="10" customFormat="1" x14ac:dyDescent="0.25"/>
    <row r="393" s="10" customFormat="1" x14ac:dyDescent="0.25"/>
    <row r="394" s="10" customFormat="1" x14ac:dyDescent="0.25"/>
    <row r="395" s="10" customFormat="1" x14ac:dyDescent="0.25"/>
    <row r="396" s="10" customFormat="1" x14ac:dyDescent="0.25"/>
    <row r="397" s="10" customFormat="1" x14ac:dyDescent="0.25"/>
    <row r="398" s="10" customFormat="1" x14ac:dyDescent="0.25"/>
    <row r="399" s="10" customFormat="1" x14ac:dyDescent="0.25"/>
    <row r="400" s="10" customFormat="1" x14ac:dyDescent="0.25"/>
    <row r="401" s="10" customFormat="1" x14ac:dyDescent="0.25"/>
    <row r="402" s="10" customFormat="1" x14ac:dyDescent="0.25"/>
    <row r="403" s="10" customFormat="1" x14ac:dyDescent="0.25"/>
    <row r="404" s="10" customFormat="1" x14ac:dyDescent="0.25"/>
    <row r="405" s="10" customFormat="1" x14ac:dyDescent="0.25"/>
    <row r="406" s="10" customFormat="1" x14ac:dyDescent="0.25"/>
    <row r="407" s="10" customFormat="1" x14ac:dyDescent="0.25"/>
    <row r="408" s="10" customFormat="1" x14ac:dyDescent="0.25"/>
    <row r="409" s="10" customFormat="1" x14ac:dyDescent="0.25"/>
    <row r="410" s="10" customFormat="1" x14ac:dyDescent="0.25"/>
    <row r="411" s="10" customFormat="1" x14ac:dyDescent="0.25"/>
    <row r="412" s="10" customFormat="1" x14ac:dyDescent="0.25"/>
    <row r="413" s="10" customFormat="1" x14ac:dyDescent="0.25"/>
    <row r="414" s="10" customFormat="1" x14ac:dyDescent="0.25"/>
    <row r="415" s="10" customFormat="1" x14ac:dyDescent="0.25"/>
    <row r="416" s="10" customFormat="1" x14ac:dyDescent="0.25"/>
    <row r="417" s="10" customFormat="1" x14ac:dyDescent="0.25"/>
    <row r="418" s="10" customFormat="1" x14ac:dyDescent="0.25"/>
    <row r="419" s="10" customFormat="1" x14ac:dyDescent="0.25"/>
    <row r="420" s="10" customFormat="1" x14ac:dyDescent="0.25"/>
    <row r="421" s="10" customFormat="1" x14ac:dyDescent="0.25"/>
    <row r="422" s="10" customFormat="1" x14ac:dyDescent="0.25"/>
    <row r="423" s="10" customFormat="1" x14ac:dyDescent="0.25"/>
    <row r="424" s="10" customFormat="1" x14ac:dyDescent="0.25"/>
    <row r="425" s="10" customFormat="1" x14ac:dyDescent="0.25"/>
    <row r="426" s="10" customFormat="1" x14ac:dyDescent="0.25"/>
    <row r="427" s="10" customFormat="1" x14ac:dyDescent="0.25"/>
    <row r="428" s="10" customFormat="1" x14ac:dyDescent="0.25"/>
    <row r="429" s="10" customFormat="1" x14ac:dyDescent="0.25"/>
    <row r="430" s="10" customFormat="1" x14ac:dyDescent="0.25"/>
    <row r="431" s="10" customFormat="1" x14ac:dyDescent="0.25"/>
    <row r="432" s="10" customFormat="1" x14ac:dyDescent="0.25"/>
    <row r="433" s="10" customFormat="1" x14ac:dyDescent="0.25"/>
    <row r="434" s="10" customFormat="1" x14ac:dyDescent="0.25"/>
    <row r="435" s="10" customFormat="1" x14ac:dyDescent="0.25"/>
    <row r="436" s="10" customFormat="1" x14ac:dyDescent="0.25"/>
    <row r="437" s="10" customFormat="1" x14ac:dyDescent="0.25"/>
    <row r="438" s="10" customFormat="1" x14ac:dyDescent="0.25"/>
    <row r="439" s="10" customFormat="1" x14ac:dyDescent="0.25"/>
    <row r="440" s="10" customFormat="1" x14ac:dyDescent="0.25"/>
    <row r="441" s="10" customFormat="1" x14ac:dyDescent="0.25"/>
    <row r="442" s="10" customFormat="1" x14ac:dyDescent="0.25"/>
    <row r="443" s="10" customFormat="1" x14ac:dyDescent="0.25"/>
    <row r="444" s="10" customFormat="1" x14ac:dyDescent="0.25"/>
    <row r="445" s="10" customFormat="1" x14ac:dyDescent="0.25"/>
    <row r="446" s="10" customFormat="1" x14ac:dyDescent="0.25"/>
    <row r="447" s="10" customFormat="1" x14ac:dyDescent="0.25"/>
    <row r="448" s="10" customFormat="1" x14ac:dyDescent="0.25"/>
    <row r="449" s="10" customFormat="1" x14ac:dyDescent="0.25"/>
    <row r="450" s="10" customFormat="1" x14ac:dyDescent="0.25"/>
    <row r="451" s="10" customFormat="1" x14ac:dyDescent="0.25"/>
    <row r="452" s="10" customFormat="1" x14ac:dyDescent="0.25"/>
    <row r="453" s="10" customFormat="1" x14ac:dyDescent="0.25"/>
    <row r="454" s="10" customFormat="1" x14ac:dyDescent="0.25"/>
    <row r="455" s="10" customFormat="1" x14ac:dyDescent="0.25"/>
    <row r="456" s="10" customFormat="1" x14ac:dyDescent="0.25"/>
    <row r="457" s="10" customFormat="1" x14ac:dyDescent="0.25"/>
    <row r="458" s="10" customFormat="1" x14ac:dyDescent="0.25"/>
    <row r="459" s="10" customFormat="1" x14ac:dyDescent="0.25"/>
    <row r="460" s="10" customFormat="1" x14ac:dyDescent="0.25"/>
    <row r="461" s="10" customFormat="1" x14ac:dyDescent="0.25"/>
    <row r="462" s="10" customFormat="1" x14ac:dyDescent="0.25"/>
    <row r="463" s="10" customFormat="1" x14ac:dyDescent="0.25"/>
    <row r="464" s="10" customFormat="1" x14ac:dyDescent="0.25"/>
    <row r="465" s="10" customFormat="1" x14ac:dyDescent="0.25"/>
    <row r="466" s="10" customFormat="1" x14ac:dyDescent="0.25"/>
    <row r="467" s="10" customFormat="1" x14ac:dyDescent="0.25"/>
    <row r="468" s="10" customFormat="1" x14ac:dyDescent="0.25"/>
    <row r="469" s="10" customFormat="1" x14ac:dyDescent="0.25"/>
    <row r="470" s="10" customFormat="1" x14ac:dyDescent="0.25"/>
    <row r="471" s="10" customFormat="1" x14ac:dyDescent="0.25"/>
    <row r="472" s="10" customFormat="1" x14ac:dyDescent="0.25"/>
    <row r="473" s="10" customFormat="1" x14ac:dyDescent="0.25"/>
    <row r="474" s="10" customFormat="1" x14ac:dyDescent="0.25"/>
    <row r="475" s="10" customFormat="1" x14ac:dyDescent="0.25"/>
    <row r="476" s="10" customFormat="1" x14ac:dyDescent="0.25"/>
    <row r="477" s="10" customFormat="1" x14ac:dyDescent="0.25"/>
    <row r="478" s="10" customFormat="1" x14ac:dyDescent="0.25"/>
    <row r="479" s="10" customFormat="1" x14ac:dyDescent="0.25"/>
    <row r="480" s="10" customFormat="1" x14ac:dyDescent="0.25"/>
    <row r="481" s="10" customFormat="1" x14ac:dyDescent="0.25"/>
    <row r="482" s="10" customFormat="1" x14ac:dyDescent="0.25"/>
    <row r="483" s="10" customFormat="1" x14ac:dyDescent="0.25"/>
    <row r="484" s="10" customFormat="1" x14ac:dyDescent="0.25"/>
    <row r="485" s="10" customFormat="1" x14ac:dyDescent="0.25"/>
    <row r="486" s="10" customFormat="1" x14ac:dyDescent="0.25"/>
    <row r="487" s="10" customFormat="1" x14ac:dyDescent="0.25"/>
    <row r="488" s="10" customFormat="1" x14ac:dyDescent="0.25"/>
    <row r="489" s="10" customFormat="1" x14ac:dyDescent="0.25"/>
    <row r="490" s="10" customFormat="1" x14ac:dyDescent="0.25"/>
    <row r="491" s="10" customFormat="1" x14ac:dyDescent="0.25"/>
    <row r="492" s="10" customFormat="1" x14ac:dyDescent="0.25"/>
    <row r="493" s="10" customFormat="1" x14ac:dyDescent="0.25"/>
    <row r="494" s="10" customFormat="1" x14ac:dyDescent="0.25"/>
    <row r="495" s="10" customFormat="1" x14ac:dyDescent="0.25"/>
    <row r="496" s="10" customFormat="1" x14ac:dyDescent="0.25"/>
    <row r="497" s="10" customFormat="1" x14ac:dyDescent="0.25"/>
    <row r="498" s="10" customFormat="1" x14ac:dyDescent="0.25"/>
    <row r="499" s="10" customFormat="1" x14ac:dyDescent="0.25"/>
    <row r="500" s="10" customFormat="1" x14ac:dyDescent="0.25"/>
    <row r="501" s="10" customFormat="1" x14ac:dyDescent="0.25"/>
    <row r="502" s="10" customFormat="1" x14ac:dyDescent="0.25"/>
    <row r="503" s="10" customFormat="1" x14ac:dyDescent="0.25"/>
    <row r="504" s="10" customFormat="1" x14ac:dyDescent="0.25"/>
    <row r="505" s="10" customFormat="1" x14ac:dyDescent="0.25"/>
    <row r="506" s="10" customFormat="1" x14ac:dyDescent="0.25"/>
    <row r="507" s="10" customFormat="1" x14ac:dyDescent="0.25"/>
    <row r="508" s="10" customFormat="1" x14ac:dyDescent="0.25"/>
    <row r="509" s="10" customFormat="1" x14ac:dyDescent="0.25"/>
    <row r="510" s="10" customFormat="1" x14ac:dyDescent="0.25"/>
    <row r="511" s="10" customFormat="1" x14ac:dyDescent="0.25"/>
    <row r="512" s="10" customFormat="1" x14ac:dyDescent="0.25"/>
    <row r="513" s="10" customFormat="1" x14ac:dyDescent="0.25"/>
    <row r="514" s="10" customFormat="1" x14ac:dyDescent="0.25"/>
    <row r="515" s="10" customFormat="1" x14ac:dyDescent="0.25"/>
    <row r="516" s="10" customFormat="1" x14ac:dyDescent="0.25"/>
    <row r="517" s="10" customFormat="1" x14ac:dyDescent="0.25"/>
    <row r="518" s="10" customFormat="1" x14ac:dyDescent="0.25"/>
    <row r="519" s="10" customFormat="1" x14ac:dyDescent="0.25"/>
    <row r="520" s="10" customFormat="1" x14ac:dyDescent="0.25"/>
    <row r="521" s="10" customFormat="1" x14ac:dyDescent="0.25"/>
    <row r="522" s="10" customFormat="1" x14ac:dyDescent="0.25"/>
    <row r="523" s="10" customFormat="1" x14ac:dyDescent="0.25"/>
    <row r="524" s="10" customFormat="1" x14ac:dyDescent="0.25"/>
    <row r="525" s="10" customFormat="1" x14ac:dyDescent="0.25"/>
    <row r="526" s="10" customFormat="1" x14ac:dyDescent="0.25"/>
    <row r="527" s="10" customFormat="1" x14ac:dyDescent="0.25"/>
    <row r="528" s="10" customFormat="1" x14ac:dyDescent="0.25"/>
    <row r="529" s="10" customFormat="1" x14ac:dyDescent="0.25"/>
    <row r="530" s="10" customFormat="1" x14ac:dyDescent="0.25"/>
    <row r="531" s="10" customFormat="1" x14ac:dyDescent="0.25"/>
    <row r="532" s="10" customFormat="1" x14ac:dyDescent="0.25"/>
    <row r="533" s="10" customFormat="1" x14ac:dyDescent="0.25"/>
    <row r="534" s="10" customFormat="1" x14ac:dyDescent="0.25"/>
    <row r="535" s="10" customFormat="1" x14ac:dyDescent="0.25"/>
    <row r="536" s="10" customFormat="1" x14ac:dyDescent="0.25"/>
    <row r="537" s="10" customFormat="1" x14ac:dyDescent="0.25"/>
    <row r="538" s="10" customFormat="1" x14ac:dyDescent="0.25"/>
    <row r="539" s="10" customFormat="1" x14ac:dyDescent="0.25"/>
    <row r="540" s="10" customFormat="1" x14ac:dyDescent="0.25"/>
    <row r="541" s="10" customFormat="1" x14ac:dyDescent="0.25"/>
    <row r="542" s="10" customFormat="1" x14ac:dyDescent="0.25"/>
    <row r="543" s="10" customFormat="1" x14ac:dyDescent="0.25"/>
    <row r="544" s="10" customFormat="1" x14ac:dyDescent="0.25"/>
    <row r="545" s="10" customFormat="1" x14ac:dyDescent="0.25"/>
    <row r="546" s="10" customFormat="1" x14ac:dyDescent="0.25"/>
    <row r="547" s="10" customFormat="1" x14ac:dyDescent="0.25"/>
    <row r="548" s="10" customFormat="1" x14ac:dyDescent="0.25"/>
    <row r="549" s="10" customFormat="1" x14ac:dyDescent="0.25"/>
    <row r="550" s="10" customFormat="1" x14ac:dyDescent="0.25"/>
    <row r="551" s="10" customFormat="1" x14ac:dyDescent="0.25"/>
    <row r="552" s="10" customFormat="1" x14ac:dyDescent="0.25"/>
    <row r="553" s="10" customFormat="1" x14ac:dyDescent="0.25"/>
    <row r="554" s="10" customFormat="1" x14ac:dyDescent="0.25"/>
    <row r="555" s="10" customFormat="1" x14ac:dyDescent="0.25"/>
    <row r="556" s="10" customFormat="1" x14ac:dyDescent="0.25"/>
    <row r="557" s="10" customFormat="1" x14ac:dyDescent="0.25"/>
    <row r="558" s="10" customFormat="1" x14ac:dyDescent="0.25"/>
    <row r="559" s="10" customFormat="1" x14ac:dyDescent="0.25"/>
    <row r="560" s="10" customFormat="1" x14ac:dyDescent="0.25"/>
    <row r="561" s="10" customFormat="1" x14ac:dyDescent="0.25"/>
    <row r="562" s="10" customFormat="1" x14ac:dyDescent="0.25"/>
    <row r="563" s="10" customFormat="1" x14ac:dyDescent="0.25"/>
    <row r="564" s="10" customFormat="1" x14ac:dyDescent="0.25"/>
    <row r="565" s="10" customFormat="1" x14ac:dyDescent="0.25"/>
    <row r="566" s="10" customFormat="1" x14ac:dyDescent="0.25"/>
    <row r="567" s="10" customFormat="1" x14ac:dyDescent="0.25"/>
    <row r="568" s="10" customFormat="1" x14ac:dyDescent="0.25"/>
    <row r="569" s="10" customFormat="1" x14ac:dyDescent="0.25"/>
    <row r="570" s="10" customFormat="1" x14ac:dyDescent="0.25"/>
    <row r="571" s="10" customFormat="1" x14ac:dyDescent="0.25"/>
    <row r="572" s="10" customFormat="1" x14ac:dyDescent="0.25"/>
    <row r="573" s="10" customFormat="1" x14ac:dyDescent="0.25"/>
    <row r="574" s="10" customFormat="1" x14ac:dyDescent="0.25"/>
    <row r="575" s="10" customFormat="1" x14ac:dyDescent="0.25"/>
    <row r="576" s="10" customFormat="1" x14ac:dyDescent="0.25"/>
    <row r="577" s="10" customFormat="1" x14ac:dyDescent="0.25"/>
    <row r="578" s="10" customFormat="1" x14ac:dyDescent="0.25"/>
    <row r="579" s="10" customFormat="1" x14ac:dyDescent="0.25"/>
    <row r="580" s="10" customFormat="1" x14ac:dyDescent="0.25"/>
    <row r="581" s="10" customFormat="1" x14ac:dyDescent="0.25"/>
    <row r="582" s="10" customFormat="1" x14ac:dyDescent="0.25"/>
    <row r="583" s="10" customFormat="1" x14ac:dyDescent="0.25"/>
    <row r="584" s="10" customFormat="1" x14ac:dyDescent="0.25"/>
    <row r="585" s="10" customFormat="1" x14ac:dyDescent="0.25"/>
    <row r="586" s="10" customFormat="1" x14ac:dyDescent="0.25"/>
    <row r="587" s="10" customFormat="1" x14ac:dyDescent="0.25"/>
    <row r="588" s="10" customFormat="1" x14ac:dyDescent="0.25"/>
    <row r="589" s="10" customFormat="1" x14ac:dyDescent="0.25"/>
    <row r="590" s="10" customFormat="1" x14ac:dyDescent="0.25"/>
    <row r="591" s="10" customFormat="1" x14ac:dyDescent="0.25"/>
    <row r="592" s="10" customFormat="1" x14ac:dyDescent="0.25"/>
    <row r="593" s="10" customFormat="1" x14ac:dyDescent="0.25"/>
    <row r="594" s="10" customFormat="1" x14ac:dyDescent="0.25"/>
    <row r="595" s="10" customFormat="1" x14ac:dyDescent="0.25"/>
    <row r="596" s="10" customFormat="1" x14ac:dyDescent="0.25"/>
    <row r="597" s="10" customFormat="1" x14ac:dyDescent="0.25"/>
    <row r="598" s="10" customFormat="1" x14ac:dyDescent="0.25"/>
    <row r="599" s="10" customFormat="1" x14ac:dyDescent="0.25"/>
    <row r="600" s="10" customFormat="1" x14ac:dyDescent="0.25"/>
    <row r="601" s="10" customFormat="1" x14ac:dyDescent="0.25"/>
    <row r="602" s="10" customFormat="1" x14ac:dyDescent="0.25"/>
    <row r="603" s="10" customFormat="1" x14ac:dyDescent="0.25"/>
    <row r="604" s="10" customFormat="1" x14ac:dyDescent="0.25"/>
    <row r="605" s="10" customFormat="1" x14ac:dyDescent="0.25"/>
    <row r="606" s="10" customFormat="1" x14ac:dyDescent="0.25"/>
    <row r="607" s="10" customFormat="1" x14ac:dyDescent="0.25"/>
    <row r="608" s="10" customFormat="1" x14ac:dyDescent="0.25"/>
    <row r="609" s="10" customFormat="1" x14ac:dyDescent="0.25"/>
    <row r="610" s="10" customFormat="1" x14ac:dyDescent="0.25"/>
    <row r="611" s="10" customFormat="1" x14ac:dyDescent="0.25"/>
    <row r="612" s="10" customFormat="1" x14ac:dyDescent="0.25"/>
    <row r="613" s="10" customFormat="1" x14ac:dyDescent="0.25"/>
    <row r="614" s="10" customFormat="1" x14ac:dyDescent="0.25"/>
    <row r="615" s="10" customFormat="1" x14ac:dyDescent="0.25"/>
    <row r="616" s="10" customFormat="1" x14ac:dyDescent="0.25"/>
    <row r="617" s="10" customFormat="1" x14ac:dyDescent="0.25"/>
    <row r="618" s="10" customFormat="1" x14ac:dyDescent="0.25"/>
    <row r="619" s="10" customFormat="1" x14ac:dyDescent="0.25"/>
    <row r="620" s="10" customFormat="1" x14ac:dyDescent="0.25"/>
    <row r="621" s="10" customFormat="1" x14ac:dyDescent="0.25"/>
    <row r="622" s="10" customFormat="1" x14ac:dyDescent="0.25"/>
    <row r="623" s="10" customFormat="1" x14ac:dyDescent="0.25"/>
    <row r="624" s="10" customFormat="1" x14ac:dyDescent="0.25"/>
    <row r="625" s="10" customFormat="1" x14ac:dyDescent="0.25"/>
    <row r="626" s="10" customFormat="1" x14ac:dyDescent="0.25"/>
    <row r="627" s="10" customFormat="1" x14ac:dyDescent="0.25"/>
    <row r="628" s="10" customFormat="1" x14ac:dyDescent="0.25"/>
    <row r="629" s="10" customFormat="1" x14ac:dyDescent="0.25"/>
    <row r="630" s="10" customFormat="1" x14ac:dyDescent="0.25"/>
    <row r="631" s="10" customFormat="1" x14ac:dyDescent="0.25"/>
    <row r="632" s="10" customFormat="1" x14ac:dyDescent="0.25"/>
    <row r="633" s="10" customFormat="1" x14ac:dyDescent="0.25"/>
    <row r="634" s="10" customFormat="1" x14ac:dyDescent="0.25"/>
    <row r="635" s="10" customFormat="1" x14ac:dyDescent="0.25"/>
    <row r="636" s="10" customFormat="1" x14ac:dyDescent="0.25"/>
    <row r="637" s="10" customFormat="1" x14ac:dyDescent="0.25"/>
    <row r="638" s="10" customFormat="1" x14ac:dyDescent="0.25"/>
    <row r="639" s="10" customFormat="1" x14ac:dyDescent="0.25"/>
    <row r="640" s="10" customFormat="1" x14ac:dyDescent="0.25"/>
    <row r="641" s="10" customFormat="1" x14ac:dyDescent="0.25"/>
    <row r="642" s="10" customFormat="1" x14ac:dyDescent="0.25"/>
    <row r="643" s="10" customFormat="1" x14ac:dyDescent="0.25"/>
    <row r="644" s="10" customFormat="1" x14ac:dyDescent="0.25"/>
    <row r="645" s="10" customFormat="1" x14ac:dyDescent="0.25"/>
    <row r="646" s="10" customFormat="1" x14ac:dyDescent="0.25"/>
    <row r="647" s="10" customFormat="1" x14ac:dyDescent="0.25"/>
    <row r="648" s="10" customFormat="1" x14ac:dyDescent="0.25"/>
    <row r="649" s="10" customFormat="1" x14ac:dyDescent="0.25"/>
    <row r="650" s="10" customFormat="1" x14ac:dyDescent="0.25"/>
    <row r="651" s="10" customFormat="1" x14ac:dyDescent="0.25"/>
    <row r="652" s="10" customFormat="1" x14ac:dyDescent="0.25"/>
    <row r="653" s="10" customFormat="1" x14ac:dyDescent="0.25"/>
    <row r="654" s="10" customFormat="1" x14ac:dyDescent="0.25"/>
    <row r="655" s="10" customFormat="1" x14ac:dyDescent="0.25"/>
    <row r="656" s="10" customFormat="1" x14ac:dyDescent="0.25"/>
    <row r="657" s="10" customFormat="1" x14ac:dyDescent="0.25"/>
    <row r="658" s="10" customFormat="1" x14ac:dyDescent="0.25"/>
    <row r="659" s="10" customFormat="1" x14ac:dyDescent="0.25"/>
    <row r="660" s="10" customFormat="1" x14ac:dyDescent="0.25"/>
    <row r="661" s="10" customFormat="1" x14ac:dyDescent="0.25"/>
    <row r="662" s="10" customFormat="1" x14ac:dyDescent="0.25"/>
    <row r="663" s="10" customFormat="1" x14ac:dyDescent="0.25"/>
    <row r="664" s="10" customFormat="1" x14ac:dyDescent="0.25"/>
    <row r="665" s="10" customFormat="1" x14ac:dyDescent="0.25"/>
    <row r="666" s="10" customFormat="1" x14ac:dyDescent="0.25"/>
    <row r="667" s="10" customFormat="1" x14ac:dyDescent="0.25"/>
    <row r="668" s="10" customFormat="1" x14ac:dyDescent="0.25"/>
    <row r="669" s="10" customFormat="1" x14ac:dyDescent="0.25"/>
    <row r="670" s="10" customFormat="1" x14ac:dyDescent="0.25"/>
    <row r="671" s="10" customFormat="1" x14ac:dyDescent="0.25"/>
    <row r="672" s="10" customFormat="1" x14ac:dyDescent="0.25"/>
    <row r="673" s="10" customFormat="1" x14ac:dyDescent="0.25"/>
    <row r="674" s="10" customFormat="1" x14ac:dyDescent="0.25"/>
    <row r="675" s="10" customFormat="1" x14ac:dyDescent="0.25"/>
    <row r="676" s="10" customFormat="1" x14ac:dyDescent="0.25"/>
    <row r="677" s="10" customFormat="1" x14ac:dyDescent="0.25"/>
    <row r="678" s="10" customFormat="1" x14ac:dyDescent="0.25"/>
    <row r="679" s="10" customFormat="1" x14ac:dyDescent="0.25"/>
    <row r="680" s="10" customFormat="1" x14ac:dyDescent="0.25"/>
    <row r="681" s="10" customFormat="1" x14ac:dyDescent="0.25"/>
    <row r="682" s="10" customFormat="1" x14ac:dyDescent="0.25"/>
    <row r="683" s="10" customFormat="1" x14ac:dyDescent="0.25"/>
    <row r="684" s="10" customFormat="1" x14ac:dyDescent="0.25"/>
    <row r="685" s="10" customFormat="1" x14ac:dyDescent="0.25"/>
    <row r="686" s="10" customFormat="1" x14ac:dyDescent="0.25"/>
    <row r="687" s="10" customFormat="1" x14ac:dyDescent="0.25"/>
    <row r="688" s="10" customFormat="1" x14ac:dyDescent="0.25"/>
    <row r="689" s="10" customFormat="1" x14ac:dyDescent="0.25"/>
    <row r="690" s="10" customFormat="1" x14ac:dyDescent="0.25"/>
    <row r="691" s="10" customFormat="1" x14ac:dyDescent="0.25"/>
    <row r="692" s="10" customFormat="1" x14ac:dyDescent="0.25"/>
    <row r="693" s="10" customFormat="1" x14ac:dyDescent="0.25"/>
    <row r="694" s="10" customFormat="1" x14ac:dyDescent="0.25"/>
    <row r="695" s="10" customFormat="1" x14ac:dyDescent="0.25"/>
    <row r="696" s="10" customFormat="1" x14ac:dyDescent="0.25"/>
    <row r="697" s="10" customFormat="1" x14ac:dyDescent="0.25"/>
    <row r="698" s="10" customFormat="1" x14ac:dyDescent="0.25"/>
    <row r="699" s="10" customFormat="1" x14ac:dyDescent="0.25"/>
    <row r="700" s="10" customFormat="1" x14ac:dyDescent="0.25"/>
    <row r="701" s="10" customFormat="1" x14ac:dyDescent="0.25"/>
    <row r="702" s="10" customFormat="1" x14ac:dyDescent="0.25"/>
    <row r="703" s="10" customFormat="1" x14ac:dyDescent="0.25"/>
    <row r="704" s="10" customFormat="1" x14ac:dyDescent="0.25"/>
    <row r="705" s="10" customFormat="1" x14ac:dyDescent="0.25"/>
    <row r="706" s="10" customFormat="1" x14ac:dyDescent="0.25"/>
    <row r="707" s="10" customFormat="1" x14ac:dyDescent="0.25"/>
    <row r="708" s="10" customFormat="1" x14ac:dyDescent="0.25"/>
    <row r="709" s="10" customFormat="1" x14ac:dyDescent="0.25"/>
    <row r="710" s="10" customFormat="1" x14ac:dyDescent="0.25"/>
    <row r="711" s="10" customFormat="1" x14ac:dyDescent="0.25"/>
    <row r="712" s="10" customFormat="1" x14ac:dyDescent="0.25"/>
    <row r="713" s="10" customFormat="1" x14ac:dyDescent="0.25"/>
    <row r="714" s="10" customFormat="1" x14ac:dyDescent="0.25"/>
    <row r="715" s="10" customFormat="1" x14ac:dyDescent="0.25"/>
    <row r="716" s="10" customFormat="1" x14ac:dyDescent="0.25"/>
    <row r="717" s="10" customFormat="1" x14ac:dyDescent="0.25"/>
    <row r="718" s="10" customFormat="1" x14ac:dyDescent="0.25"/>
    <row r="719" s="10" customFormat="1" x14ac:dyDescent="0.25"/>
    <row r="720" s="10" customFormat="1" x14ac:dyDescent="0.25"/>
    <row r="721" s="10" customFormat="1" x14ac:dyDescent="0.25"/>
    <row r="722" s="10" customFormat="1" x14ac:dyDescent="0.25"/>
    <row r="723" s="10" customFormat="1" x14ac:dyDescent="0.25"/>
    <row r="724" s="10" customFormat="1" x14ac:dyDescent="0.25"/>
    <row r="725" s="10" customFormat="1" x14ac:dyDescent="0.25"/>
    <row r="726" s="10" customFormat="1" x14ac:dyDescent="0.25"/>
    <row r="727" s="10" customFormat="1" x14ac:dyDescent="0.25"/>
    <row r="728" s="10" customFormat="1" x14ac:dyDescent="0.25"/>
    <row r="729" s="10" customFormat="1" x14ac:dyDescent="0.25"/>
    <row r="730" s="10" customFormat="1" x14ac:dyDescent="0.25"/>
    <row r="731" s="10" customFormat="1" x14ac:dyDescent="0.25"/>
    <row r="732" s="10" customFormat="1" x14ac:dyDescent="0.25"/>
    <row r="733" s="10" customFormat="1" x14ac:dyDescent="0.25"/>
    <row r="734" s="10" customFormat="1" x14ac:dyDescent="0.25"/>
    <row r="735" s="10" customFormat="1" x14ac:dyDescent="0.25"/>
    <row r="736" s="10" customFormat="1" x14ac:dyDescent="0.25"/>
    <row r="737" s="10" customFormat="1" x14ac:dyDescent="0.25"/>
    <row r="738" s="10" customFormat="1" x14ac:dyDescent="0.25"/>
    <row r="739" s="10" customFormat="1" x14ac:dyDescent="0.25"/>
    <row r="740" s="10" customFormat="1" x14ac:dyDescent="0.25"/>
    <row r="741" s="10" customFormat="1" x14ac:dyDescent="0.25"/>
    <row r="742" s="10" customFormat="1" x14ac:dyDescent="0.25"/>
    <row r="743" s="10" customFormat="1" x14ac:dyDescent="0.25"/>
    <row r="744" s="10" customFormat="1" x14ac:dyDescent="0.25"/>
    <row r="745" s="10" customFormat="1" x14ac:dyDescent="0.25"/>
    <row r="746" s="10" customFormat="1" x14ac:dyDescent="0.25"/>
    <row r="747" s="10" customFormat="1" x14ac:dyDescent="0.25"/>
    <row r="748" s="10" customFormat="1" x14ac:dyDescent="0.25"/>
    <row r="749" s="10" customFormat="1" x14ac:dyDescent="0.25"/>
    <row r="750" s="10" customFormat="1" x14ac:dyDescent="0.25"/>
    <row r="751" s="10" customFormat="1" x14ac:dyDescent="0.25"/>
    <row r="752" s="10" customFormat="1" x14ac:dyDescent="0.25"/>
    <row r="753" s="10" customFormat="1" x14ac:dyDescent="0.25"/>
    <row r="754" s="10" customFormat="1" x14ac:dyDescent="0.25"/>
    <row r="755" s="10" customFormat="1" x14ac:dyDescent="0.25"/>
    <row r="756" s="10" customFormat="1" x14ac:dyDescent="0.25"/>
    <row r="757" s="10" customFormat="1" x14ac:dyDescent="0.25"/>
    <row r="758" s="10" customFormat="1" x14ac:dyDescent="0.25"/>
    <row r="759" s="10" customFormat="1" x14ac:dyDescent="0.25"/>
    <row r="760" s="10" customFormat="1" x14ac:dyDescent="0.25"/>
    <row r="761" s="10" customFormat="1" x14ac:dyDescent="0.25"/>
    <row r="762" s="10" customFormat="1" x14ac:dyDescent="0.25"/>
    <row r="763" s="10" customFormat="1" x14ac:dyDescent="0.25"/>
    <row r="764" s="10" customFormat="1" x14ac:dyDescent="0.25"/>
    <row r="765" s="10" customFormat="1" x14ac:dyDescent="0.25"/>
    <row r="766" s="10" customFormat="1" x14ac:dyDescent="0.25"/>
    <row r="767" s="10" customFormat="1" x14ac:dyDescent="0.25"/>
    <row r="768" s="10" customFormat="1" x14ac:dyDescent="0.25"/>
    <row r="769" s="10" customFormat="1" x14ac:dyDescent="0.25"/>
    <row r="770" s="10" customFormat="1" x14ac:dyDescent="0.25"/>
    <row r="771" s="10" customFormat="1" x14ac:dyDescent="0.25"/>
    <row r="772" s="10" customFormat="1" x14ac:dyDescent="0.25"/>
    <row r="773" s="10" customFormat="1" x14ac:dyDescent="0.25"/>
    <row r="774" s="10" customFormat="1" x14ac:dyDescent="0.25"/>
    <row r="775" s="10" customFormat="1" x14ac:dyDescent="0.25"/>
    <row r="776" s="10" customFormat="1" x14ac:dyDescent="0.25"/>
    <row r="777" s="10" customFormat="1" x14ac:dyDescent="0.25"/>
    <row r="778" s="10" customFormat="1" x14ac:dyDescent="0.25"/>
    <row r="779" s="10" customFormat="1" x14ac:dyDescent="0.25"/>
    <row r="780" s="10" customFormat="1" x14ac:dyDescent="0.25"/>
    <row r="781" s="10" customFormat="1" x14ac:dyDescent="0.25"/>
    <row r="782" s="10" customFormat="1" x14ac:dyDescent="0.25"/>
    <row r="783" s="10" customFormat="1" x14ac:dyDescent="0.25"/>
    <row r="784" s="10" customFormat="1" x14ac:dyDescent="0.25"/>
    <row r="785" s="10" customFormat="1" x14ac:dyDescent="0.25"/>
    <row r="786" s="10" customFormat="1" x14ac:dyDescent="0.25"/>
    <row r="787" s="10" customFormat="1" x14ac:dyDescent="0.25"/>
    <row r="788" s="10" customFormat="1" x14ac:dyDescent="0.25"/>
    <row r="789" s="10" customFormat="1" x14ac:dyDescent="0.25"/>
    <row r="790" s="10" customFormat="1" x14ac:dyDescent="0.25"/>
    <row r="791" s="10" customFormat="1" x14ac:dyDescent="0.25"/>
    <row r="792" s="10" customFormat="1" x14ac:dyDescent="0.25"/>
    <row r="793" s="10" customFormat="1" x14ac:dyDescent="0.25"/>
    <row r="794" s="10" customFormat="1" x14ac:dyDescent="0.25"/>
    <row r="795" s="10" customFormat="1" x14ac:dyDescent="0.25"/>
    <row r="796" s="10" customFormat="1" x14ac:dyDescent="0.25"/>
    <row r="797" s="10" customFormat="1" x14ac:dyDescent="0.25"/>
    <row r="798" s="10" customFormat="1" x14ac:dyDescent="0.25"/>
    <row r="799" s="10" customFormat="1" x14ac:dyDescent="0.25"/>
    <row r="800" s="10" customFormat="1" x14ac:dyDescent="0.25"/>
    <row r="801" s="10" customFormat="1" x14ac:dyDescent="0.25"/>
    <row r="802" s="10" customFormat="1" x14ac:dyDescent="0.25"/>
    <row r="803" s="10" customFormat="1" x14ac:dyDescent="0.25"/>
    <row r="804" s="10" customFormat="1" x14ac:dyDescent="0.25"/>
    <row r="805" s="10" customFormat="1" x14ac:dyDescent="0.25"/>
    <row r="806" s="10" customFormat="1" x14ac:dyDescent="0.25"/>
    <row r="807" s="10" customFormat="1" x14ac:dyDescent="0.25"/>
    <row r="808" s="10" customFormat="1" x14ac:dyDescent="0.25"/>
    <row r="809" s="10" customFormat="1" x14ac:dyDescent="0.25"/>
    <row r="810" s="10" customFormat="1" x14ac:dyDescent="0.25"/>
    <row r="811" s="10" customFormat="1" x14ac:dyDescent="0.25"/>
    <row r="812" s="10" customFormat="1" x14ac:dyDescent="0.25"/>
    <row r="813" s="10" customFormat="1" x14ac:dyDescent="0.25"/>
    <row r="814" s="10" customFormat="1" x14ac:dyDescent="0.25"/>
    <row r="815" s="10" customFormat="1" x14ac:dyDescent="0.25"/>
    <row r="816" s="10" customFormat="1" x14ac:dyDescent="0.25"/>
    <row r="817" s="10" customFormat="1" x14ac:dyDescent="0.25"/>
    <row r="818" s="10" customFormat="1" x14ac:dyDescent="0.25"/>
    <row r="819" s="10" customFormat="1" x14ac:dyDescent="0.25"/>
    <row r="820" s="10" customFormat="1" x14ac:dyDescent="0.25"/>
    <row r="821" s="10" customFormat="1" x14ac:dyDescent="0.25"/>
    <row r="822" s="10" customFormat="1" x14ac:dyDescent="0.25"/>
    <row r="823" s="10" customFormat="1" x14ac:dyDescent="0.25"/>
    <row r="824" s="10" customFormat="1" x14ac:dyDescent="0.25"/>
    <row r="825" s="10" customFormat="1" x14ac:dyDescent="0.25"/>
    <row r="826" s="10" customFormat="1" x14ac:dyDescent="0.25"/>
    <row r="827" s="10" customFormat="1" x14ac:dyDescent="0.25"/>
    <row r="828" s="10" customFormat="1" x14ac:dyDescent="0.25"/>
    <row r="829" s="10" customFormat="1" x14ac:dyDescent="0.25"/>
    <row r="830" s="10" customFormat="1" x14ac:dyDescent="0.25"/>
    <row r="831" s="10" customFormat="1" x14ac:dyDescent="0.25"/>
    <row r="832" s="10" customFormat="1" x14ac:dyDescent="0.25"/>
    <row r="833" s="10" customFormat="1" x14ac:dyDescent="0.25"/>
    <row r="834" s="10" customFormat="1" x14ac:dyDescent="0.25"/>
    <row r="835" s="10" customFormat="1" x14ac:dyDescent="0.25"/>
    <row r="836" s="10" customFormat="1" x14ac:dyDescent="0.25"/>
    <row r="837" s="10" customFormat="1" x14ac:dyDescent="0.25"/>
    <row r="838" s="10" customFormat="1" x14ac:dyDescent="0.25"/>
    <row r="839" s="10" customFormat="1" x14ac:dyDescent="0.25"/>
    <row r="840" s="10" customFormat="1" x14ac:dyDescent="0.25"/>
    <row r="841" s="10" customFormat="1" x14ac:dyDescent="0.25"/>
    <row r="842" s="10" customFormat="1" x14ac:dyDescent="0.25"/>
    <row r="843" s="10" customFormat="1" x14ac:dyDescent="0.25"/>
    <row r="844" s="10" customFormat="1" x14ac:dyDescent="0.25"/>
    <row r="845" s="10" customFormat="1" x14ac:dyDescent="0.25"/>
    <row r="846" s="10" customFormat="1" x14ac:dyDescent="0.25"/>
    <row r="847" s="10" customFormat="1" x14ac:dyDescent="0.25"/>
    <row r="848" s="10" customFormat="1" x14ac:dyDescent="0.25"/>
    <row r="849" s="10" customFormat="1" x14ac:dyDescent="0.25"/>
    <row r="850" s="10" customFormat="1" x14ac:dyDescent="0.25"/>
    <row r="851" s="10" customFormat="1" x14ac:dyDescent="0.25"/>
    <row r="852" s="10" customFormat="1" x14ac:dyDescent="0.25"/>
    <row r="853" s="10" customFormat="1" x14ac:dyDescent="0.25"/>
    <row r="854" s="10" customFormat="1" x14ac:dyDescent="0.25"/>
    <row r="855" s="10" customFormat="1" x14ac:dyDescent="0.25"/>
    <row r="856" s="10" customFormat="1" x14ac:dyDescent="0.25"/>
    <row r="857" s="10" customFormat="1" x14ac:dyDescent="0.25"/>
    <row r="858" s="10" customFormat="1" x14ac:dyDescent="0.25"/>
    <row r="859" s="10" customFormat="1" x14ac:dyDescent="0.25"/>
    <row r="860" s="10" customFormat="1" x14ac:dyDescent="0.25"/>
    <row r="861" s="10" customFormat="1" x14ac:dyDescent="0.25"/>
    <row r="862" s="10" customFormat="1" x14ac:dyDescent="0.25"/>
    <row r="863" s="10" customFormat="1" x14ac:dyDescent="0.25"/>
    <row r="864" s="10" customFormat="1" x14ac:dyDescent="0.25"/>
    <row r="865" s="10" customFormat="1" x14ac:dyDescent="0.25"/>
    <row r="866" s="10" customFormat="1" x14ac:dyDescent="0.25"/>
    <row r="867" s="10" customFormat="1" x14ac:dyDescent="0.25"/>
    <row r="868" s="10" customFormat="1" x14ac:dyDescent="0.25"/>
    <row r="869" s="10" customFormat="1" x14ac:dyDescent="0.25"/>
    <row r="870" s="10" customFormat="1" x14ac:dyDescent="0.25"/>
    <row r="871" s="10" customFormat="1" x14ac:dyDescent="0.25"/>
    <row r="872" s="10" customFormat="1" x14ac:dyDescent="0.25"/>
    <row r="873" s="10" customFormat="1" x14ac:dyDescent="0.25"/>
    <row r="874" s="10" customFormat="1" x14ac:dyDescent="0.25"/>
    <row r="875" s="10" customFormat="1" x14ac:dyDescent="0.25"/>
    <row r="876" s="10" customFormat="1" x14ac:dyDescent="0.25"/>
    <row r="877" s="10" customFormat="1" x14ac:dyDescent="0.25"/>
    <row r="878" s="10" customFormat="1" x14ac:dyDescent="0.25"/>
    <row r="879" s="10" customFormat="1" x14ac:dyDescent="0.25"/>
    <row r="880" s="10" customFormat="1" x14ac:dyDescent="0.25"/>
    <row r="881" s="10" customFormat="1" x14ac:dyDescent="0.25"/>
    <row r="882" s="10" customFormat="1" x14ac:dyDescent="0.25"/>
    <row r="883" s="10" customFormat="1" x14ac:dyDescent="0.25"/>
    <row r="884" s="10" customFormat="1" x14ac:dyDescent="0.25"/>
    <row r="885" s="10" customFormat="1" x14ac:dyDescent="0.25"/>
    <row r="886" s="10" customFormat="1" x14ac:dyDescent="0.25"/>
    <row r="887" s="10" customFormat="1" x14ac:dyDescent="0.25"/>
    <row r="888" s="10" customFormat="1" x14ac:dyDescent="0.25"/>
    <row r="889" s="10" customFormat="1" x14ac:dyDescent="0.25"/>
    <row r="890" s="10" customFormat="1" x14ac:dyDescent="0.25"/>
    <row r="891" s="10" customFormat="1" x14ac:dyDescent="0.25"/>
    <row r="892" s="10" customFormat="1" x14ac:dyDescent="0.25"/>
    <row r="893" s="10" customFormat="1" x14ac:dyDescent="0.25"/>
    <row r="894" s="10" customFormat="1" x14ac:dyDescent="0.25"/>
    <row r="895" s="10" customFormat="1" x14ac:dyDescent="0.25"/>
    <row r="896" s="10" customFormat="1" x14ac:dyDescent="0.25"/>
    <row r="897" s="10" customFormat="1" x14ac:dyDescent="0.25"/>
    <row r="898" s="10" customFormat="1" x14ac:dyDescent="0.25"/>
    <row r="899" s="10" customFormat="1" x14ac:dyDescent="0.25"/>
    <row r="900" s="10" customFormat="1" x14ac:dyDescent="0.25"/>
    <row r="901" s="10" customFormat="1" x14ac:dyDescent="0.25"/>
    <row r="902" s="10" customFormat="1" x14ac:dyDescent="0.25"/>
    <row r="903" s="10" customFormat="1" x14ac:dyDescent="0.25"/>
    <row r="904" s="10" customFormat="1" x14ac:dyDescent="0.25"/>
    <row r="905" s="10" customFormat="1" x14ac:dyDescent="0.25"/>
    <row r="906" s="10" customFormat="1" x14ac:dyDescent="0.25"/>
    <row r="907" s="10" customFormat="1" x14ac:dyDescent="0.25"/>
    <row r="908" s="10" customFormat="1" x14ac:dyDescent="0.25"/>
    <row r="909" s="10" customFormat="1" x14ac:dyDescent="0.25"/>
    <row r="910" s="10" customFormat="1" x14ac:dyDescent="0.25"/>
    <row r="911" s="10" customFormat="1" x14ac:dyDescent="0.25"/>
    <row r="912" s="10" customFormat="1" x14ac:dyDescent="0.25"/>
    <row r="913" s="10" customFormat="1" x14ac:dyDescent="0.25"/>
    <row r="914" s="10" customFormat="1" x14ac:dyDescent="0.25"/>
    <row r="915" s="10" customFormat="1" x14ac:dyDescent="0.25"/>
    <row r="916" s="10" customFormat="1" x14ac:dyDescent="0.25"/>
    <row r="917" s="10" customFormat="1" x14ac:dyDescent="0.25"/>
    <row r="918" s="10" customFormat="1" x14ac:dyDescent="0.25"/>
    <row r="919" s="10" customFormat="1" x14ac:dyDescent="0.25"/>
    <row r="920" s="10" customFormat="1" x14ac:dyDescent="0.25"/>
    <row r="921" s="10" customFormat="1" x14ac:dyDescent="0.25"/>
    <row r="922" s="10" customFormat="1" x14ac:dyDescent="0.25"/>
    <row r="923" s="10" customFormat="1" x14ac:dyDescent="0.25"/>
    <row r="924" s="10" customFormat="1" x14ac:dyDescent="0.25"/>
    <row r="925" s="10" customFormat="1" x14ac:dyDescent="0.25"/>
    <row r="926" s="10" customFormat="1" x14ac:dyDescent="0.25"/>
    <row r="927" s="10" customFormat="1" x14ac:dyDescent="0.25"/>
    <row r="928" s="10" customFormat="1" x14ac:dyDescent="0.25"/>
    <row r="929" s="10" customFormat="1" x14ac:dyDescent="0.25"/>
    <row r="930" s="10" customFormat="1" x14ac:dyDescent="0.25"/>
    <row r="931" s="10" customFormat="1" x14ac:dyDescent="0.25"/>
    <row r="932" s="10" customFormat="1" x14ac:dyDescent="0.25"/>
    <row r="933" s="10" customFormat="1" x14ac:dyDescent="0.25"/>
    <row r="934" s="10" customFormat="1" x14ac:dyDescent="0.25"/>
    <row r="935" s="10" customFormat="1" x14ac:dyDescent="0.25"/>
    <row r="936" s="10" customFormat="1" x14ac:dyDescent="0.25"/>
    <row r="937" s="10" customFormat="1" x14ac:dyDescent="0.25"/>
    <row r="938" s="10" customFormat="1" x14ac:dyDescent="0.25"/>
    <row r="939" s="10" customFormat="1" x14ac:dyDescent="0.25"/>
    <row r="940" s="10" customFormat="1" x14ac:dyDescent="0.25"/>
    <row r="941" s="10" customFormat="1" x14ac:dyDescent="0.25"/>
    <row r="942" s="10" customFormat="1" x14ac:dyDescent="0.25"/>
    <row r="943" s="10" customFormat="1" x14ac:dyDescent="0.25"/>
    <row r="944" s="10" customFormat="1" x14ac:dyDescent="0.25"/>
    <row r="945" s="10" customFormat="1" x14ac:dyDescent="0.25"/>
    <row r="946" s="10" customFormat="1" x14ac:dyDescent="0.25"/>
    <row r="947" s="10" customFormat="1" x14ac:dyDescent="0.25"/>
    <row r="948" s="10" customFormat="1" x14ac:dyDescent="0.25"/>
    <row r="949" s="10" customFormat="1" x14ac:dyDescent="0.25"/>
    <row r="950" s="10" customFormat="1" x14ac:dyDescent="0.25"/>
    <row r="951" s="10" customFormat="1" x14ac:dyDescent="0.25"/>
    <row r="952" s="10" customFormat="1" x14ac:dyDescent="0.25"/>
    <row r="953" s="10" customFormat="1" x14ac:dyDescent="0.25"/>
    <row r="954" s="10" customFormat="1" x14ac:dyDescent="0.25"/>
    <row r="955" s="10" customFormat="1" x14ac:dyDescent="0.25"/>
    <row r="956" s="10" customFormat="1" x14ac:dyDescent="0.25"/>
    <row r="957" s="10" customFormat="1" x14ac:dyDescent="0.25"/>
    <row r="958" s="10" customFormat="1" x14ac:dyDescent="0.25"/>
    <row r="959" s="10" customFormat="1" x14ac:dyDescent="0.25"/>
    <row r="960" s="10" customFormat="1" x14ac:dyDescent="0.25"/>
    <row r="961" s="10" customFormat="1" x14ac:dyDescent="0.25"/>
    <row r="962" s="10" customFormat="1" x14ac:dyDescent="0.25"/>
    <row r="963" s="10" customFormat="1" x14ac:dyDescent="0.25"/>
    <row r="964" s="10" customFormat="1" x14ac:dyDescent="0.25"/>
    <row r="965" s="10" customFormat="1" x14ac:dyDescent="0.25"/>
    <row r="966" s="10" customFormat="1" x14ac:dyDescent="0.25"/>
    <row r="967" s="10" customFormat="1" x14ac:dyDescent="0.25"/>
    <row r="968" s="10" customFormat="1" x14ac:dyDescent="0.25"/>
    <row r="969" s="10" customFormat="1" x14ac:dyDescent="0.25"/>
    <row r="970" s="10" customFormat="1" x14ac:dyDescent="0.25"/>
    <row r="971" s="10" customFormat="1" x14ac:dyDescent="0.25"/>
    <row r="972" s="10" customFormat="1" x14ac:dyDescent="0.25"/>
    <row r="973" s="10" customFormat="1" x14ac:dyDescent="0.25"/>
    <row r="974" s="10" customFormat="1" x14ac:dyDescent="0.25"/>
    <row r="975" s="10" customFormat="1" x14ac:dyDescent="0.25"/>
    <row r="976" s="10" customFormat="1" x14ac:dyDescent="0.25"/>
    <row r="977" s="10" customFormat="1" x14ac:dyDescent="0.25"/>
    <row r="978" s="10" customFormat="1" x14ac:dyDescent="0.25"/>
    <row r="979" s="10" customFormat="1" x14ac:dyDescent="0.25"/>
    <row r="980" s="10" customFormat="1" x14ac:dyDescent="0.25"/>
    <row r="981" s="10" customFormat="1" x14ac:dyDescent="0.25"/>
    <row r="982" s="10" customFormat="1" x14ac:dyDescent="0.25"/>
    <row r="983" s="10" customFormat="1" x14ac:dyDescent="0.25"/>
    <row r="984" s="10" customFormat="1" x14ac:dyDescent="0.25"/>
    <row r="985" s="10" customFormat="1" x14ac:dyDescent="0.25"/>
    <row r="986" s="10" customFormat="1" x14ac:dyDescent="0.25"/>
    <row r="987" s="10" customFormat="1" x14ac:dyDescent="0.25"/>
    <row r="988" s="10" customFormat="1" x14ac:dyDescent="0.25"/>
    <row r="989" s="10" customFormat="1" x14ac:dyDescent="0.25"/>
    <row r="990" s="10" customFormat="1" x14ac:dyDescent="0.25"/>
    <row r="991" s="10" customFormat="1" x14ac:dyDescent="0.25"/>
    <row r="992" s="10" customFormat="1" x14ac:dyDescent="0.25"/>
    <row r="993" spans="15:42" s="10" customFormat="1" x14ac:dyDescent="0.25"/>
    <row r="994" spans="15:42" s="10" customFormat="1" x14ac:dyDescent="0.25"/>
    <row r="995" spans="15:42" s="10" customFormat="1" x14ac:dyDescent="0.25"/>
    <row r="996" spans="15:42" s="10" customFormat="1" x14ac:dyDescent="0.25"/>
    <row r="997" spans="15:42" s="10" customFormat="1" x14ac:dyDescent="0.25"/>
    <row r="998" spans="15:42" s="10" customFormat="1" x14ac:dyDescent="0.25"/>
    <row r="999" spans="15:42" s="10" customFormat="1" x14ac:dyDescent="0.25"/>
    <row r="1000" spans="15:42" s="10" customFormat="1" x14ac:dyDescent="0.25"/>
    <row r="1001" spans="15:42" s="10" customFormat="1" x14ac:dyDescent="0.25"/>
    <row r="1002" spans="15:42" s="10" customFormat="1" x14ac:dyDescent="0.25"/>
    <row r="1003" spans="15:42" s="10" customFormat="1" x14ac:dyDescent="0.25"/>
    <row r="1004" spans="15:42" s="10" customFormat="1" x14ac:dyDescent="0.25"/>
    <row r="1005" spans="15:42" s="10" customFormat="1" x14ac:dyDescent="0.25"/>
    <row r="1006" spans="15:42" x14ac:dyDescent="0.25"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</row>
    <row r="1007" spans="15:42" x14ac:dyDescent="0.25"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</row>
    <row r="1008" spans="15:42" x14ac:dyDescent="0.25"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</row>
    <row r="1009" spans="15:42" x14ac:dyDescent="0.25"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</row>
    <row r="1010" spans="15:42" x14ac:dyDescent="0.25"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</row>
    <row r="1011" spans="15:42" x14ac:dyDescent="0.25"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</row>
    <row r="1012" spans="15:42" x14ac:dyDescent="0.25"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</row>
    <row r="1013" spans="15:42" x14ac:dyDescent="0.25"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</row>
    <row r="1014" spans="15:42" x14ac:dyDescent="0.25"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</row>
    <row r="1015" spans="15:42" x14ac:dyDescent="0.25"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</row>
    <row r="1016" spans="15:42" x14ac:dyDescent="0.25"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</row>
    <row r="1017" spans="15:42" x14ac:dyDescent="0.25"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</row>
    <row r="1018" spans="15:42" x14ac:dyDescent="0.25"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</row>
    <row r="1019" spans="15:42" x14ac:dyDescent="0.25"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</row>
  </sheetData>
  <mergeCells count="6">
    <mergeCell ref="B5:K5"/>
    <mergeCell ref="O5:X5"/>
    <mergeCell ref="AC5:AL5"/>
    <mergeCell ref="O34:X34"/>
    <mergeCell ref="AC34:AL34"/>
    <mergeCell ref="R57:S5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topLeftCell="H7" zoomScaleNormal="100" workbookViewId="0">
      <selection activeCell="I1" sqref="I1"/>
    </sheetView>
  </sheetViews>
  <sheetFormatPr defaultRowHeight="15" x14ac:dyDescent="0.25"/>
  <sheetData>
    <row r="1" spans="1:17" x14ac:dyDescent="0.25">
      <c r="A1" t="s">
        <v>21</v>
      </c>
      <c r="B1">
        <v>0.5</v>
      </c>
      <c r="C1">
        <v>1.5</v>
      </c>
      <c r="D1">
        <v>2.5</v>
      </c>
      <c r="E1">
        <v>3.5</v>
      </c>
      <c r="F1">
        <v>4.5</v>
      </c>
      <c r="G1">
        <v>5.5</v>
      </c>
      <c r="H1" s="16" t="s">
        <v>32</v>
      </c>
      <c r="I1">
        <v>6.5</v>
      </c>
      <c r="J1">
        <v>7.5</v>
      </c>
      <c r="K1">
        <v>8.5</v>
      </c>
      <c r="L1">
        <v>9.5</v>
      </c>
    </row>
    <row r="2" spans="1:17" x14ac:dyDescent="0.25">
      <c r="A2">
        <v>0.1</v>
      </c>
      <c r="B2" s="2">
        <v>0.41361384944787499</v>
      </c>
      <c r="C2" s="2">
        <v>0.43639449538722203</v>
      </c>
      <c r="D2" s="2">
        <v>0.45944675382377098</v>
      </c>
      <c r="E2" s="2">
        <v>0.47658574684105998</v>
      </c>
      <c r="F2" s="2">
        <v>0.48768390902762898</v>
      </c>
      <c r="G2" s="2">
        <v>0.49879422758854702</v>
      </c>
      <c r="H2" s="15">
        <f>1-I2</f>
        <v>0.49009426299946501</v>
      </c>
      <c r="I2" s="2">
        <v>0.50990573700053499</v>
      </c>
      <c r="J2" s="2">
        <v>0.52100746703935596</v>
      </c>
      <c r="K2" s="2">
        <v>0.53208848606311998</v>
      </c>
      <c r="L2" s="2">
        <v>0.54313794397257098</v>
      </c>
    </row>
    <row r="3" spans="1:17" x14ac:dyDescent="0.25">
      <c r="A3">
        <v>0.2</v>
      </c>
      <c r="B3" s="2">
        <v>0.33128005007991801</v>
      </c>
      <c r="C3" s="2">
        <v>0.37345520180863501</v>
      </c>
      <c r="D3" s="2">
        <v>0.41764628112351798</v>
      </c>
      <c r="E3" s="2">
        <v>0.45140731384310001</v>
      </c>
      <c r="F3" s="2">
        <v>0.47376131364941698</v>
      </c>
      <c r="G3" s="2">
        <v>0.49622099241161399</v>
      </c>
      <c r="H3" s="15">
        <f t="shared" ref="H3:H66" si="0">1-I3</f>
        <v>0.48130406741624698</v>
      </c>
      <c r="I3" s="2">
        <v>0.51869593258375302</v>
      </c>
      <c r="J3" s="2">
        <v>0.54109547084055098</v>
      </c>
      <c r="K3" s="2">
        <v>0.56333015574927303</v>
      </c>
      <c r="L3" s="2">
        <v>0.58531316427075097</v>
      </c>
    </row>
    <row r="4" spans="1:17" x14ac:dyDescent="0.25">
      <c r="A4">
        <v>0.3</v>
      </c>
      <c r="B4" s="2">
        <v>0.257312950559486</v>
      </c>
      <c r="C4" s="2">
        <v>0.31332293363965502</v>
      </c>
      <c r="D4" s="2">
        <v>0.37536285586790902</v>
      </c>
      <c r="E4" s="2">
        <v>0.42473891850103901</v>
      </c>
      <c r="F4" s="2">
        <v>0.45838537247556099</v>
      </c>
      <c r="G4" s="2">
        <v>0.49241567507572598</v>
      </c>
      <c r="H4" s="15">
        <f t="shared" si="0"/>
        <v>0.47348359578645005</v>
      </c>
      <c r="I4" s="2">
        <v>0.52651640421354995</v>
      </c>
      <c r="J4" s="2">
        <v>0.56037154033202197</v>
      </c>
      <c r="K4" s="2">
        <v>0.59367408723834802</v>
      </c>
      <c r="L4" s="2">
        <v>0.62613699679324497</v>
      </c>
      <c r="P4" t="s">
        <v>20</v>
      </c>
      <c r="Q4" t="s">
        <v>22</v>
      </c>
    </row>
    <row r="5" spans="1:17" x14ac:dyDescent="0.25">
      <c r="A5">
        <v>0.4</v>
      </c>
      <c r="B5" s="2">
        <v>0.19446820631681799</v>
      </c>
      <c r="C5" s="2">
        <v>0.257948595181755</v>
      </c>
      <c r="D5" s="2">
        <v>0.33356999129152598</v>
      </c>
      <c r="E5" s="2">
        <v>0.39705046997642401</v>
      </c>
      <c r="F5" s="2">
        <v>0.44183422411509699</v>
      </c>
      <c r="G5" s="2">
        <v>0.487584448965105</v>
      </c>
      <c r="H5" s="15">
        <f t="shared" si="0"/>
        <v>0.46645635350054304</v>
      </c>
      <c r="I5" s="2">
        <v>0.53354364649945696</v>
      </c>
      <c r="J5" s="2">
        <v>0.57894042913413701</v>
      </c>
      <c r="K5" s="2">
        <v>0.62304057840062599</v>
      </c>
      <c r="L5" s="2">
        <v>0.66519299235631202</v>
      </c>
      <c r="P5" t="s">
        <v>19</v>
      </c>
    </row>
    <row r="6" spans="1:17" x14ac:dyDescent="0.25">
      <c r="A6">
        <v>0.5</v>
      </c>
      <c r="B6" s="2">
        <v>0.14364639453038999</v>
      </c>
      <c r="C6" s="2">
        <v>0.20876018633330101</v>
      </c>
      <c r="D6" s="2">
        <v>0.29328115635375301</v>
      </c>
      <c r="E6" s="2">
        <v>0.36891612267073498</v>
      </c>
      <c r="F6" s="2">
        <v>0.424452952718814</v>
      </c>
      <c r="G6" s="2">
        <v>0.48196529274903399</v>
      </c>
      <c r="H6" s="15">
        <f t="shared" si="0"/>
        <v>0.46004051930815004</v>
      </c>
      <c r="I6" s="2">
        <v>0.53995948069184996</v>
      </c>
      <c r="J6" s="2">
        <v>0.59689140356520598</v>
      </c>
      <c r="K6" s="2">
        <v>0.65132735544296805</v>
      </c>
      <c r="L6" s="2">
        <v>0.702081290354024</v>
      </c>
    </row>
    <row r="7" spans="1:17" x14ac:dyDescent="0.25">
      <c r="A7">
        <v>0.6</v>
      </c>
      <c r="B7" s="2">
        <v>0.10420278454584</v>
      </c>
      <c r="C7" s="2">
        <v>0.166484566278192</v>
      </c>
      <c r="D7" s="2">
        <v>0.25537950286467198</v>
      </c>
      <c r="E7" s="2">
        <v>0.34091197475156898</v>
      </c>
      <c r="F7" s="2">
        <v>0.40659103071012398</v>
      </c>
      <c r="G7" s="2">
        <v>0.47578915671282801</v>
      </c>
      <c r="H7" s="15">
        <f t="shared" si="0"/>
        <v>0.454070432867689</v>
      </c>
      <c r="I7" s="2">
        <v>0.545929567132311</v>
      </c>
      <c r="J7" s="2">
        <v>0.61429310873550402</v>
      </c>
      <c r="K7" s="2">
        <v>0.67842677451415501</v>
      </c>
      <c r="L7" s="2">
        <v>0.73647131891566997</v>
      </c>
    </row>
    <row r="8" spans="1:17" x14ac:dyDescent="0.25">
      <c r="A8">
        <v>0.7</v>
      </c>
      <c r="B8" s="2">
        <v>7.4565813645218304E-2</v>
      </c>
      <c r="C8" s="2">
        <v>0.131170825724714</v>
      </c>
      <c r="D8" s="2">
        <v>0.220507526606781</v>
      </c>
      <c r="E8" s="2">
        <v>0.313539572433222</v>
      </c>
      <c r="F8" s="2">
        <v>0.38855710242070801</v>
      </c>
      <c r="G8" s="2">
        <v>0.46925387699223697</v>
      </c>
      <c r="H8" s="15">
        <f t="shared" si="0"/>
        <v>0.44840884039552398</v>
      </c>
      <c r="I8" s="2">
        <v>0.55159115960447602</v>
      </c>
      <c r="J8" s="2">
        <v>0.63119418159516205</v>
      </c>
      <c r="K8" s="2">
        <v>0.70424290798887601</v>
      </c>
      <c r="L8" s="2">
        <v>0.76813789087950302</v>
      </c>
    </row>
    <row r="9" spans="1:17" x14ac:dyDescent="0.25">
      <c r="A9">
        <v>0.8</v>
      </c>
      <c r="B9" s="2">
        <v>5.28336001099943E-2</v>
      </c>
      <c r="C9" s="2">
        <v>0.102356400704765</v>
      </c>
      <c r="D9" s="2">
        <v>0.18903433062695299</v>
      </c>
      <c r="E9" s="2">
        <v>0.28718876184907</v>
      </c>
      <c r="F9" s="2">
        <v>0.37059809730771498</v>
      </c>
      <c r="G9" s="2">
        <v>0.46251379280862398</v>
      </c>
      <c r="H9" s="15">
        <f t="shared" si="0"/>
        <v>0.44294993026891305</v>
      </c>
      <c r="I9" s="2">
        <v>0.55705006973108695</v>
      </c>
      <c r="J9" s="2">
        <v>0.64762673907308299</v>
      </c>
      <c r="K9" s="2">
        <v>0.72870231289579102</v>
      </c>
      <c r="L9" s="2">
        <v>0.796971687100267</v>
      </c>
    </row>
    <row r="10" spans="1:17" x14ac:dyDescent="0.25">
      <c r="A10">
        <v>0.9</v>
      </c>
      <c r="B10" s="2">
        <v>3.7176939746329303E-2</v>
      </c>
      <c r="C10" s="2">
        <v>7.92785728259741E-2</v>
      </c>
      <c r="D10" s="2">
        <v>0.16108215348815899</v>
      </c>
      <c r="E10" s="2">
        <v>0.26213319197209201</v>
      </c>
      <c r="F10" s="2">
        <v>0.35289761118296997</v>
      </c>
      <c r="G10" s="2">
        <v>0.45568097896905502</v>
      </c>
      <c r="H10" s="15">
        <f t="shared" si="0"/>
        <v>0.43761639673642605</v>
      </c>
      <c r="I10" s="2">
        <v>0.56238360326357395</v>
      </c>
      <c r="J10" s="2">
        <v>0.66361045923074702</v>
      </c>
      <c r="K10" s="2">
        <v>0.75175783487308701</v>
      </c>
      <c r="L10" s="2">
        <v>0.822968977525112</v>
      </c>
    </row>
    <row r="11" spans="1:17" x14ac:dyDescent="0.25">
      <c r="A11">
        <v>1</v>
      </c>
      <c r="B11" s="2">
        <v>2.60367216975383E-2</v>
      </c>
      <c r="C11" s="2">
        <v>6.1058624254203601E-2</v>
      </c>
      <c r="D11" s="2">
        <v>0.13658226876702401</v>
      </c>
      <c r="E11" s="2">
        <v>0.238544412236286</v>
      </c>
      <c r="F11" s="2">
        <v>0.33558466962335498</v>
      </c>
      <c r="G11" s="2">
        <v>0.448832255794549</v>
      </c>
      <c r="H11" s="15">
        <f t="shared" si="0"/>
        <v>0.43235401993978395</v>
      </c>
      <c r="I11" s="2">
        <v>0.56764598006021605</v>
      </c>
      <c r="J11" s="2">
        <v>0.67915612246389201</v>
      </c>
      <c r="K11" s="2">
        <v>0.77338765162622403</v>
      </c>
      <c r="L11" s="2">
        <v>0.84621042075313802</v>
      </c>
    </row>
    <row r="12" spans="1:17" x14ac:dyDescent="0.25">
      <c r="A12">
        <v>1.1000000000000001</v>
      </c>
      <c r="B12" s="2">
        <v>1.8177506734347301E-2</v>
      </c>
      <c r="C12" s="2">
        <v>4.6829050422169997E-2</v>
      </c>
      <c r="D12" s="2">
        <v>0.115336292364791</v>
      </c>
      <c r="E12" s="2">
        <v>0.216512668320156</v>
      </c>
      <c r="F12" s="2">
        <v>0.31874577495902501</v>
      </c>
      <c r="G12" s="2">
        <v>0.44201763464971799</v>
      </c>
      <c r="H12" s="15">
        <f t="shared" si="0"/>
        <v>0.427126048638929</v>
      </c>
      <c r="I12" s="2">
        <v>0.572873951361071</v>
      </c>
      <c r="J12" s="2">
        <v>0.69426832295608398</v>
      </c>
      <c r="K12" s="2">
        <v>0.79359201917469702</v>
      </c>
      <c r="L12" s="2">
        <v>0.86683722081009296</v>
      </c>
    </row>
    <row r="13" spans="1:17" x14ac:dyDescent="0.25">
      <c r="A13">
        <v>1.2</v>
      </c>
      <c r="B13" s="2">
        <v>1.2664734837351499E-2</v>
      </c>
      <c r="C13" s="2">
        <v>3.5805123198991803E-2</v>
      </c>
      <c r="D13" s="2">
        <v>9.7069659622731203E-2</v>
      </c>
      <c r="E13" s="2">
        <v>0.19606742507088001</v>
      </c>
      <c r="F13" s="2">
        <v>0.30243629190135501</v>
      </c>
      <c r="G13" s="2">
        <v>0.43526793924159701</v>
      </c>
      <c r="H13" s="15">
        <f t="shared" si="0"/>
        <v>0.42190842431825704</v>
      </c>
      <c r="I13" s="2">
        <v>0.57809157568174296</v>
      </c>
      <c r="J13" s="2">
        <v>0.70894745741640597</v>
      </c>
      <c r="K13" s="2">
        <v>0.81238939440844204</v>
      </c>
      <c r="L13" s="2">
        <v>0.88502943926202704</v>
      </c>
    </row>
    <row r="14" spans="1:17" x14ac:dyDescent="0.25">
      <c r="A14">
        <v>1.3</v>
      </c>
      <c r="B14" s="2">
        <v>8.8124723176850901E-3</v>
      </c>
      <c r="C14" s="2">
        <v>2.73150994268903E-2</v>
      </c>
      <c r="D14" s="2">
        <v>8.1472571818139106E-2</v>
      </c>
      <c r="E14" s="2">
        <v>0.17719468198960101</v>
      </c>
      <c r="F14" s="2">
        <v>0.28668965541540697</v>
      </c>
      <c r="G14" s="2">
        <v>0.428600832666718</v>
      </c>
      <c r="H14" s="15">
        <f t="shared" si="0"/>
        <v>0.41668609886100105</v>
      </c>
      <c r="I14" s="2">
        <v>0.58331390113899895</v>
      </c>
      <c r="J14" s="2">
        <v>0.72319119119853603</v>
      </c>
      <c r="K14" s="2">
        <v>0.82981276469566401</v>
      </c>
      <c r="L14" s="2">
        <v>0.90098838219878197</v>
      </c>
    </row>
    <row r="15" spans="1:17" x14ac:dyDescent="0.25">
      <c r="A15">
        <v>1.4</v>
      </c>
      <c r="B15" s="2">
        <v>6.1271320675897597E-3</v>
      </c>
      <c r="C15" s="2">
        <v>2.08046716498935E-2</v>
      </c>
      <c r="D15" s="2">
        <v>6.8228540286909903E-2</v>
      </c>
      <c r="E15" s="2">
        <v>0.15985046487721399</v>
      </c>
      <c r="F15" s="2">
        <v>0.27152421090407802</v>
      </c>
      <c r="G15" s="2">
        <v>0.42202524627143001</v>
      </c>
      <c r="H15" s="15">
        <f t="shared" si="0"/>
        <v>0.41145033914070706</v>
      </c>
      <c r="I15" s="2">
        <v>0.58854966085929294</v>
      </c>
      <c r="J15" s="2">
        <v>0.73699557054875897</v>
      </c>
      <c r="K15" s="2">
        <v>0.84590646933948199</v>
      </c>
      <c r="L15" s="2">
        <v>0.914923302416634</v>
      </c>
    </row>
    <row r="16" spans="1:17" x14ac:dyDescent="0.25">
      <c r="A16">
        <v>1.5</v>
      </c>
      <c r="B16" s="2">
        <v>4.2581151448998098E-3</v>
      </c>
      <c r="C16" s="2">
        <v>1.5827777694314E-2</v>
      </c>
      <c r="D16" s="2">
        <v>5.7032672494809401E-2</v>
      </c>
      <c r="E16" s="2">
        <v>0.14397089533466401</v>
      </c>
      <c r="F16" s="2">
        <v>0.25694803999883398</v>
      </c>
      <c r="G16" s="2">
        <v>0.41554449288582501</v>
      </c>
      <c r="H16" s="15">
        <f t="shared" si="0"/>
        <v>0.40619680511689005</v>
      </c>
      <c r="I16" s="2">
        <v>0.59380319488310995</v>
      </c>
      <c r="J16" s="2">
        <v>0.75035589237757006</v>
      </c>
      <c r="K16" s="2">
        <v>0.86072353089954201</v>
      </c>
      <c r="L16" s="2">
        <v>0.92704190460233304</v>
      </c>
    </row>
    <row r="17" spans="1:12" x14ac:dyDescent="0.25">
      <c r="A17">
        <v>1.6</v>
      </c>
      <c r="B17" s="2">
        <v>2.9584889474195799E-3</v>
      </c>
      <c r="C17" s="2">
        <v>1.2031674119807999E-2</v>
      </c>
      <c r="D17" s="2">
        <v>4.7602279860171001E-2</v>
      </c>
      <c r="E17" s="2">
        <v>0.12947953713211299</v>
      </c>
      <c r="F17" s="2">
        <v>0.242962254180974</v>
      </c>
      <c r="G17" s="2">
        <v>0.40915839392630099</v>
      </c>
      <c r="H17" s="15">
        <f t="shared" si="0"/>
        <v>0.40092419388314904</v>
      </c>
      <c r="I17" s="2">
        <v>0.59907580611685096</v>
      </c>
      <c r="J17" s="2">
        <v>0.76326739640191299</v>
      </c>
      <c r="K17" s="2">
        <v>0.87432341990345996</v>
      </c>
      <c r="L17" s="2">
        <v>0.93754391703505102</v>
      </c>
    </row>
    <row r="18" spans="1:12" x14ac:dyDescent="0.25">
      <c r="A18">
        <v>1.7</v>
      </c>
      <c r="B18" s="2">
        <v>2.0552859201800901E-3</v>
      </c>
      <c r="C18" s="2">
        <v>9.1408106681523504E-3</v>
      </c>
      <c r="D18" s="2">
        <v>3.9682118901317197E-2</v>
      </c>
      <c r="E18" s="2">
        <v>0.116292696697725</v>
      </c>
      <c r="F18" s="2">
        <v>0.22956319421910601</v>
      </c>
      <c r="G18" s="2">
        <v>0.40286470426853499</v>
      </c>
      <c r="H18" s="15">
        <f t="shared" si="0"/>
        <v>0.39563328398540498</v>
      </c>
      <c r="I18" s="2">
        <v>0.60436671601459502</v>
      </c>
      <c r="J18" s="2">
        <v>0.77572581530641305</v>
      </c>
      <c r="K18" s="2">
        <v>0.88677016481897497</v>
      </c>
      <c r="L18" s="2">
        <v>0.94661701319736902</v>
      </c>
    </row>
    <row r="19" spans="1:12" x14ac:dyDescent="0.25">
      <c r="A19">
        <v>1.8</v>
      </c>
      <c r="B19" s="2">
        <v>1.4277721952115901E-3</v>
      </c>
      <c r="C19" s="2">
        <v>6.9417908680623596E-3</v>
      </c>
      <c r="D19" s="2">
        <v>3.3046088897682097E-2</v>
      </c>
      <c r="E19" s="2">
        <v>0.10432322811149</v>
      </c>
      <c r="F19" s="2">
        <v>0.21674387883628701</v>
      </c>
      <c r="G19" s="2">
        <v>0.39666005160631601</v>
      </c>
      <c r="H19" s="15">
        <f t="shared" si="0"/>
        <v>0.39032625893672102</v>
      </c>
      <c r="I19" s="2">
        <v>0.60967374106327898</v>
      </c>
      <c r="J19" s="2">
        <v>0.78772780310411905</v>
      </c>
      <c r="K19" s="2">
        <v>0.89813073747959404</v>
      </c>
      <c r="L19" s="2">
        <v>0.95443447449046304</v>
      </c>
    </row>
    <row r="20" spans="1:12" x14ac:dyDescent="0.25">
      <c r="A20">
        <v>1.9</v>
      </c>
      <c r="B20" s="2">
        <v>9.9185870108765102E-4</v>
      </c>
      <c r="C20" s="2">
        <v>5.2703603387548202E-3</v>
      </c>
      <c r="D20" s="2">
        <v>2.7496722412427298E-2</v>
      </c>
      <c r="E20" s="2">
        <v>9.3483255440311094E-2</v>
      </c>
      <c r="F20" s="2">
        <v>0.20449495262303999</v>
      </c>
      <c r="G20" s="2">
        <v>0.39054054590486098</v>
      </c>
      <c r="H20" s="15">
        <f t="shared" si="0"/>
        <v>0.38500622523973205</v>
      </c>
      <c r="I20" s="2">
        <v>0.61499377476026795</v>
      </c>
      <c r="J20" s="2">
        <v>0.79927125501384</v>
      </c>
      <c r="K20" s="2">
        <v>0.90847366714598299</v>
      </c>
      <c r="L20" s="2">
        <v>0.96115410868489703</v>
      </c>
    </row>
    <row r="21" spans="1:12" x14ac:dyDescent="0.25">
      <c r="A21">
        <v>2</v>
      </c>
      <c r="B21" s="2">
        <v>6.8905724099339904E-4</v>
      </c>
      <c r="C21" s="2">
        <v>4.00063618217517E-3</v>
      </c>
      <c r="D21" s="2">
        <v>2.2863400230460702E-2</v>
      </c>
      <c r="E21" s="2">
        <v>8.3686110097679497E-2</v>
      </c>
      <c r="F21" s="2">
        <v>0.19280530746656899</v>
      </c>
      <c r="G21" s="2">
        <v>0.38450216701571199</v>
      </c>
      <c r="H21" s="15">
        <f t="shared" si="0"/>
        <v>0.37967686684254098</v>
      </c>
      <c r="I21" s="2">
        <v>0.62032313315745902</v>
      </c>
      <c r="J21" s="2">
        <v>0.81035552992043203</v>
      </c>
      <c r="K21" s="2">
        <v>0.91786785447529895</v>
      </c>
      <c r="L21" s="2">
        <v>0.96691804993168695</v>
      </c>
    </row>
    <row r="22" spans="1:12" x14ac:dyDescent="0.25">
      <c r="A22">
        <v>2.1</v>
      </c>
      <c r="B22" s="2">
        <v>4.7871817236006599E-4</v>
      </c>
      <c r="C22" s="2">
        <v>3.0364376582949098E-3</v>
      </c>
      <c r="D22" s="2">
        <v>1.8999914359042899E-2</v>
      </c>
      <c r="E22" s="2">
        <v>7.4847694337505905E-2</v>
      </c>
      <c r="F22" s="2">
        <v>0.18166249551600999</v>
      </c>
      <c r="G22" s="2">
        <v>0.378541004146631</v>
      </c>
      <c r="H22" s="15">
        <f t="shared" si="0"/>
        <v>0.37434219640154098</v>
      </c>
      <c r="I22" s="2">
        <v>0.62565780359845902</v>
      </c>
      <c r="J22" s="2">
        <v>0.820981586302165</v>
      </c>
      <c r="K22" s="2">
        <v>0.92638156788083303</v>
      </c>
      <c r="L22" s="2">
        <v>0.97185315756900603</v>
      </c>
    </row>
    <row r="23" spans="1:12" x14ac:dyDescent="0.25">
      <c r="A23">
        <v>2.2000000000000002</v>
      </c>
      <c r="B23" s="2">
        <v>3.3260182946577999E-4</v>
      </c>
      <c r="C23" s="2">
        <v>2.30443611877254E-3</v>
      </c>
      <c r="D23" s="2">
        <v>1.5781780741404201E-2</v>
      </c>
      <c r="E23" s="2">
        <v>6.6887420378590606E-2</v>
      </c>
      <c r="F23" s="2">
        <v>0.17105301185927499</v>
      </c>
      <c r="G23" s="2">
        <v>0.37265339696719701</v>
      </c>
      <c r="H23" s="15">
        <f t="shared" si="0"/>
        <v>0.36900637617210097</v>
      </c>
      <c r="I23" s="2">
        <v>0.63099362382789903</v>
      </c>
      <c r="J23" s="2">
        <v>0.83115204296214995</v>
      </c>
      <c r="K23" s="2">
        <v>0.93408161015953595</v>
      </c>
      <c r="L23" s="2">
        <v>0.97607180308416197</v>
      </c>
    </row>
    <row r="24" spans="1:12" x14ac:dyDescent="0.25">
      <c r="A24">
        <v>2.2999999999999998</v>
      </c>
      <c r="B24" s="2">
        <v>2.3109388350465201E-4</v>
      </c>
      <c r="C24" s="2">
        <v>1.7488098736167699E-3</v>
      </c>
      <c r="D24" s="2">
        <v>1.31035491202782E-2</v>
      </c>
      <c r="E24" s="2">
        <v>5.9728832036937303E-2</v>
      </c>
      <c r="F24" s="2">
        <v>0.160962497650534</v>
      </c>
      <c r="G24" s="2">
        <v>0.36683601183569298</v>
      </c>
      <c r="H24" s="15">
        <f t="shared" si="0"/>
        <v>0.36367358965739405</v>
      </c>
      <c r="I24" s="2">
        <v>0.63632641034260595</v>
      </c>
      <c r="J24" s="2">
        <v>0.84087117627430696</v>
      </c>
      <c r="K24" s="2">
        <v>0.94103264473574699</v>
      </c>
      <c r="L24" s="2">
        <v>0.97967289041306205</v>
      </c>
    </row>
    <row r="25" spans="1:12" x14ac:dyDescent="0.25">
      <c r="A25">
        <v>2.4</v>
      </c>
      <c r="B25" s="2">
        <v>1.60571822164206E-4</v>
      </c>
      <c r="C25" s="2">
        <v>1.32710919760817E-3</v>
      </c>
      <c r="D25" s="2">
        <v>1.0876253489244E-2</v>
      </c>
      <c r="E25" s="2">
        <v>5.3299986597337201E-2</v>
      </c>
      <c r="F25" s="2">
        <v>0.15137589589092099</v>
      </c>
      <c r="G25" s="2">
        <v>0.36108587564259698</v>
      </c>
      <c r="H25" s="15">
        <f t="shared" si="0"/>
        <v>0.35834795069463699</v>
      </c>
      <c r="I25" s="2">
        <v>0.64165204930536301</v>
      </c>
      <c r="J25" s="2">
        <v>0.85014486565825398</v>
      </c>
      <c r="K25" s="2">
        <v>0.94729667018391595</v>
      </c>
      <c r="L25" s="2">
        <v>0.98274299754817995</v>
      </c>
    </row>
    <row r="26" spans="1:12" x14ac:dyDescent="0.25">
      <c r="A26">
        <v>2.5</v>
      </c>
      <c r="B26" s="2">
        <v>1.11574474277916E-4</v>
      </c>
      <c r="C26" s="2">
        <v>1.00707660462353E-3</v>
      </c>
      <c r="D26" s="2">
        <v>9.0250783262053099E-3</v>
      </c>
      <c r="E26" s="2">
        <v>4.7533654685503302E-2</v>
      </c>
      <c r="F26" s="2">
        <v>0.142277579730893</v>
      </c>
      <c r="G26" s="2">
        <v>0.35540038238362198</v>
      </c>
      <c r="H26" s="15">
        <f t="shared" si="0"/>
        <v>0.35303344039676099</v>
      </c>
      <c r="I26" s="2">
        <v>0.64696655960323901</v>
      </c>
      <c r="J26" s="2">
        <v>0.858980498572815</v>
      </c>
      <c r="K26" s="2">
        <v>0.95293263017787</v>
      </c>
      <c r="L26" s="2">
        <v>0.98535756001477104</v>
      </c>
    </row>
    <row r="27" spans="1:12" x14ac:dyDescent="0.25">
      <c r="A27">
        <v>2.6</v>
      </c>
      <c r="B27" s="2">
        <v>7.7530487159104206E-5</v>
      </c>
      <c r="C27" s="2">
        <v>7.6421189239533698E-4</v>
      </c>
      <c r="D27" s="2">
        <v>7.4872723173012102E-3</v>
      </c>
      <c r="E27" s="2">
        <v>4.2367382031277302E-2</v>
      </c>
      <c r="F27" s="2">
        <v>0.13365146507874001</v>
      </c>
      <c r="G27" s="2">
        <v>0.34977728261686902</v>
      </c>
      <c r="H27" s="15">
        <f t="shared" si="0"/>
        <v>0.34773386492581504</v>
      </c>
      <c r="I27" s="2">
        <v>0.65226613507418496</v>
      </c>
      <c r="J27" s="2">
        <v>0.86738684552023604</v>
      </c>
      <c r="K27" s="2">
        <v>0.95799614452162696</v>
      </c>
      <c r="L27" s="2">
        <v>0.98758204143296202</v>
      </c>
    </row>
    <row r="28" spans="1:12" x14ac:dyDescent="0.25">
      <c r="A28">
        <v>2.7</v>
      </c>
      <c r="B28" s="2">
        <v>5.38753401045904E-5</v>
      </c>
      <c r="C28" s="2">
        <v>5.7991293761953098E-4</v>
      </c>
      <c r="D28" s="2">
        <v>6.21031455948747E-3</v>
      </c>
      <c r="E28" s="2">
        <v>3.7743447149066599E-2</v>
      </c>
      <c r="F28" s="2">
        <v>0.12548111409662799</v>
      </c>
      <c r="G28" s="2">
        <v>0.34421466262103201</v>
      </c>
      <c r="H28" s="15">
        <f t="shared" si="0"/>
        <v>0.34245282886091999</v>
      </c>
      <c r="I28" s="2">
        <v>0.65754717113908001</v>
      </c>
      <c r="J28" s="2">
        <v>0.87537391448387203</v>
      </c>
      <c r="K28" s="2">
        <v>0.96253934590577594</v>
      </c>
      <c r="L28" s="2">
        <v>0.98947305488159398</v>
      </c>
    </row>
    <row r="29" spans="1:12" x14ac:dyDescent="0.25">
      <c r="A29">
        <v>2.8</v>
      </c>
      <c r="B29" s="2">
        <v>3.7438236109405603E-5</v>
      </c>
      <c r="C29" s="2">
        <v>4.4005897946484198E-4</v>
      </c>
      <c r="D29" s="2">
        <v>5.1503226391960803E-3</v>
      </c>
      <c r="E29" s="2">
        <v>3.3608741727987897E-2</v>
      </c>
      <c r="F29" s="2">
        <v>0.117749832898249</v>
      </c>
      <c r="G29" s="2">
        <v>0.338710917816966</v>
      </c>
      <c r="H29" s="15">
        <f t="shared" si="0"/>
        <v>0.33719372020027305</v>
      </c>
      <c r="I29" s="2">
        <v>0.66280627979972695</v>
      </c>
      <c r="J29" s="2">
        <v>0.88295279299114404</v>
      </c>
      <c r="K29" s="2">
        <v>0.96661080667876098</v>
      </c>
      <c r="L29" s="2">
        <v>0.99107941249674503</v>
      </c>
    </row>
    <row r="30" spans="1:12" x14ac:dyDescent="0.25">
      <c r="A30">
        <v>2.9</v>
      </c>
      <c r="B30" s="2">
        <v>2.60163836253449E-5</v>
      </c>
      <c r="C30" s="2">
        <v>3.3393259514057701E-4</v>
      </c>
      <c r="D30" s="2">
        <v>4.2706836310264099E-3</v>
      </c>
      <c r="E30" s="2">
        <v>2.9914595039380602E-2</v>
      </c>
      <c r="F30" s="2">
        <v>0.11044076478371399</v>
      </c>
      <c r="G30" s="2">
        <v>0.33326472348595199</v>
      </c>
      <c r="H30" s="15">
        <f t="shared" si="0"/>
        <v>0.33195970397097696</v>
      </c>
      <c r="I30" s="2">
        <v>0.66804029602902304</v>
      </c>
      <c r="J30" s="2">
        <v>0.89013548469956205</v>
      </c>
      <c r="K30" s="2">
        <v>0.97025554021785199</v>
      </c>
      <c r="L30" s="2">
        <v>0.99244309075278403</v>
      </c>
    </row>
    <row r="31" spans="1:12" x14ac:dyDescent="0.25">
      <c r="A31">
        <v>3</v>
      </c>
      <c r="B31" s="2">
        <v>1.8079375192351099E-5</v>
      </c>
      <c r="C31" s="2">
        <v>2.53400189009743E-4</v>
      </c>
      <c r="D31" s="2">
        <v>3.54088530225491E-3</v>
      </c>
      <c r="E31" s="2">
        <v>2.66165593779761E-2</v>
      </c>
      <c r="F31" s="2">
        <v>0.103536979216895</v>
      </c>
      <c r="G31" s="2">
        <v>0.32787500477732501</v>
      </c>
      <c r="H31" s="15">
        <f t="shared" si="0"/>
        <v>0.32675372211940001</v>
      </c>
      <c r="I31" s="2">
        <v>0.67324627788059999</v>
      </c>
      <c r="J31" s="2">
        <v>0.89693474612608404</v>
      </c>
      <c r="K31" s="2">
        <v>0.97351506232429497</v>
      </c>
      <c r="L31" s="2">
        <v>0.99360010603743298</v>
      </c>
    </row>
    <row r="32" spans="1:12" x14ac:dyDescent="0.25">
      <c r="A32">
        <v>3.1</v>
      </c>
      <c r="B32" s="2">
        <v>1.25638867480431E-5</v>
      </c>
      <c r="C32" s="2">
        <v>1.9228941245357799E-4</v>
      </c>
      <c r="D32" s="2">
        <v>2.93552387904047E-3</v>
      </c>
      <c r="E32" s="2">
        <v>2.36741701084262E-2</v>
      </c>
      <c r="F32" s="2">
        <v>9.7021556168650699E-2</v>
      </c>
      <c r="G32" s="2">
        <v>0.32254090728785501</v>
      </c>
      <c r="H32" s="15">
        <f t="shared" si="0"/>
        <v>0.32157849788773496</v>
      </c>
      <c r="I32" s="2">
        <v>0.67842150211226504</v>
      </c>
      <c r="J32" s="2">
        <v>0.90336392793715004</v>
      </c>
      <c r="K32" s="2">
        <v>0.97642749930402695</v>
      </c>
      <c r="L32" s="2">
        <v>0.99458130011800905</v>
      </c>
    </row>
    <row r="33" spans="1:12" x14ac:dyDescent="0.25">
      <c r="A33">
        <v>3.2</v>
      </c>
      <c r="B33" s="2">
        <v>8.7310873249293496E-6</v>
      </c>
      <c r="C33" s="2">
        <v>1.4591640029658999E-4</v>
      </c>
      <c r="D33" s="2">
        <v>2.4334654641841001E-3</v>
      </c>
      <c r="E33" s="2">
        <v>2.10506910740434E-2</v>
      </c>
      <c r="F33" s="2">
        <v>9.0877665213335498E-2</v>
      </c>
      <c r="G33" s="2">
        <v>0.31726176901011799</v>
      </c>
      <c r="H33" s="15">
        <f t="shared" si="0"/>
        <v>0.31643654329472204</v>
      </c>
      <c r="I33" s="2">
        <v>0.68356345670527796</v>
      </c>
      <c r="J33" s="2">
        <v>0.90943682412638405</v>
      </c>
      <c r="K33" s="2">
        <v>0.97902773087829698</v>
      </c>
      <c r="L33" s="2">
        <v>0.99541303843690299</v>
      </c>
    </row>
    <row r="34" spans="1:12" x14ac:dyDescent="0.25">
      <c r="A34">
        <v>3.3</v>
      </c>
      <c r="B34" s="2">
        <v>6.0675938271569E-6</v>
      </c>
      <c r="C34" s="2">
        <v>1.10726876740996E-4</v>
      </c>
      <c r="D34" s="2">
        <v>2.01713983954234E-3</v>
      </c>
      <c r="E34" s="2">
        <v>1.8712853800875E-2</v>
      </c>
      <c r="F34" s="2">
        <v>8.5088638739545697E-2</v>
      </c>
      <c r="G34" s="2">
        <v>0.312037094116007</v>
      </c>
      <c r="H34" s="15">
        <f t="shared" si="0"/>
        <v>0.31133016866099295</v>
      </c>
      <c r="I34" s="2">
        <v>0.68866983133900705</v>
      </c>
      <c r="J34" s="2">
        <v>0.91516753145048302</v>
      </c>
      <c r="K34" s="2">
        <v>0.98134755766363602</v>
      </c>
      <c r="L34" s="2">
        <v>0.99611782629044798</v>
      </c>
    </row>
    <row r="35" spans="1:12" x14ac:dyDescent="0.25">
      <c r="A35">
        <v>3.4</v>
      </c>
      <c r="B35" s="2">
        <v>4.2166664579664498E-6</v>
      </c>
      <c r="C35" s="2">
        <v>8.4023755339392302E-5</v>
      </c>
      <c r="D35" s="2">
        <v>1.6719474594769899E-3</v>
      </c>
      <c r="E35" s="2">
        <v>1.66305970051932E-2</v>
      </c>
      <c r="F35" s="2">
        <v>7.9638038728103197E-2</v>
      </c>
      <c r="G35" s="2">
        <v>0.30686652881680598</v>
      </c>
      <c r="H35" s="15">
        <f t="shared" si="0"/>
        <v>0.30626149337308595</v>
      </c>
      <c r="I35" s="2">
        <v>0.69373850662691405</v>
      </c>
      <c r="J35" s="2">
        <v>0.92057032067912303</v>
      </c>
      <c r="K35" s="2">
        <v>0.98341588456065399</v>
      </c>
      <c r="L35" s="2">
        <v>0.99671484916531705</v>
      </c>
    </row>
    <row r="36" spans="1:12" x14ac:dyDescent="0.25">
      <c r="A36">
        <v>3.5</v>
      </c>
      <c r="B36" s="2">
        <v>2.93040779617952E-6</v>
      </c>
      <c r="C36" s="2">
        <v>6.3760411907576596E-5</v>
      </c>
      <c r="D36" s="2">
        <v>1.3857626489563E-3</v>
      </c>
      <c r="E36" s="2">
        <v>1.4776811320607E-2</v>
      </c>
      <c r="F36" s="2">
        <v>7.4509716701341502E-2</v>
      </c>
      <c r="G36" s="2">
        <v>0.30174983939001898</v>
      </c>
      <c r="H36" s="15">
        <f t="shared" si="0"/>
        <v>0.30123245728025305</v>
      </c>
      <c r="I36" s="2">
        <v>0.69876754271974695</v>
      </c>
      <c r="J36" s="2">
        <v>0.92565952053988698</v>
      </c>
      <c r="K36" s="2">
        <v>0.98525891291797996</v>
      </c>
      <c r="L36" s="2">
        <v>0.997220444084848</v>
      </c>
    </row>
    <row r="37" spans="1:12" x14ac:dyDescent="0.25">
      <c r="A37">
        <v>3.6</v>
      </c>
      <c r="B37" s="2">
        <v>2.03655155400652E-6</v>
      </c>
      <c r="C37" s="2">
        <v>4.8383808100568497E-5</v>
      </c>
      <c r="D37" s="2">
        <v>1.14851818533442E-3</v>
      </c>
      <c r="E37" s="2">
        <v>1.3127092852166801E-2</v>
      </c>
      <c r="F37" s="2">
        <v>6.96878666195756E-2</v>
      </c>
      <c r="G37" s="2">
        <v>0.296686892363203</v>
      </c>
      <c r="H37" s="15">
        <f t="shared" si="0"/>
        <v>0.29624483227579601</v>
      </c>
      <c r="I37" s="2">
        <v>0.70375516772420399</v>
      </c>
      <c r="J37" s="2">
        <v>0.93044941469587905</v>
      </c>
      <c r="K37" s="2">
        <v>0.98690033573944502</v>
      </c>
      <c r="L37" s="2">
        <v>0.99764850894880497</v>
      </c>
    </row>
    <row r="38" spans="1:12" x14ac:dyDescent="0.25">
      <c r="A38">
        <v>3.7</v>
      </c>
      <c r="B38" s="2">
        <v>1.4153866810974199E-6</v>
      </c>
      <c r="C38" s="2">
        <v>3.6715449014481998E-5</v>
      </c>
      <c r="D38" s="2">
        <v>9.5185846861280197E-4</v>
      </c>
      <c r="E38" s="2">
        <v>1.16595080981711E-2</v>
      </c>
      <c r="F38" s="2">
        <v>6.5157070669702694E-2</v>
      </c>
      <c r="G38" s="2">
        <v>0.29167763678060199</v>
      </c>
      <c r="H38" s="15">
        <f t="shared" si="0"/>
        <v>0.29130023373853597</v>
      </c>
      <c r="I38" s="2">
        <v>0.70869976626146403</v>
      </c>
      <c r="J38" s="2">
        <v>0.93495415166917994</v>
      </c>
      <c r="K38" s="2">
        <v>0.98836153145038297</v>
      </c>
      <c r="L38" s="2">
        <v>0.99801085668078904</v>
      </c>
    </row>
    <row r="39" spans="1:12" x14ac:dyDescent="0.25">
      <c r="A39">
        <v>3.8</v>
      </c>
      <c r="B39" s="2">
        <v>9.83722996513573E-7</v>
      </c>
      <c r="C39" s="2">
        <v>2.78610519232353E-5</v>
      </c>
      <c r="D39" s="2">
        <v>7.8885032293422299E-4</v>
      </c>
      <c r="E39" s="2">
        <v>1.03543719208114E-2</v>
      </c>
      <c r="F39" s="2">
        <v>6.0902338043635103E-2</v>
      </c>
      <c r="G39" s="2">
        <v>0.28672208843886898</v>
      </c>
      <c r="H39" s="15">
        <f t="shared" si="0"/>
        <v>0.286400131606666</v>
      </c>
      <c r="I39" s="2">
        <v>0.713599868393334</v>
      </c>
      <c r="J39" s="2">
        <v>0.93918766730306502</v>
      </c>
      <c r="K39" s="2">
        <v>0.98966175282038205</v>
      </c>
      <c r="L39" s="2">
        <v>0.99831752063656198</v>
      </c>
    </row>
    <row r="40" spans="1:12" x14ac:dyDescent="0.25">
      <c r="A40">
        <v>3.9</v>
      </c>
      <c r="B40" s="2">
        <v>6.8374925141921805E-7</v>
      </c>
      <c r="C40" s="2">
        <v>2.11420018256794E-5</v>
      </c>
      <c r="D40" s="2">
        <v>6.53742104790745E-4</v>
      </c>
      <c r="E40" s="2">
        <v>9.1940395634292002E-3</v>
      </c>
      <c r="F40" s="2">
        <v>5.6909136933758202E-2</v>
      </c>
      <c r="G40" s="2">
        <v>0.28182031595572798</v>
      </c>
      <c r="H40" s="15">
        <f t="shared" si="0"/>
        <v>0.28154586093117495</v>
      </c>
      <c r="I40" s="2">
        <v>0.71845413906882505</v>
      </c>
      <c r="J40" s="2">
        <v>0.94316361912466695</v>
      </c>
      <c r="K40" s="2">
        <v>0.99081830855582698</v>
      </c>
      <c r="L40" s="2">
        <v>0.99857701725337</v>
      </c>
    </row>
    <row r="41" spans="1:12" x14ac:dyDescent="0.25">
      <c r="A41">
        <v>4</v>
      </c>
      <c r="B41" s="2">
        <v>4.7529062353203098E-7</v>
      </c>
      <c r="C41" s="2">
        <v>1.6043338976189398E-5</v>
      </c>
      <c r="D41" s="2">
        <v>5.4176322201759898E-4</v>
      </c>
      <c r="E41" s="2">
        <v>8.1627131775209392E-3</v>
      </c>
      <c r="F41" s="2">
        <v>5.3163420076283698E-2</v>
      </c>
      <c r="G41" s="2">
        <v>0.27697242852494203</v>
      </c>
      <c r="H41" s="15">
        <f t="shared" si="0"/>
        <v>0.27673863181345704</v>
      </c>
      <c r="I41" s="2">
        <v>0.72326136818654296</v>
      </c>
      <c r="J41" s="2">
        <v>0.94689533181264796</v>
      </c>
      <c r="K41" s="2">
        <v>0.99184673583494798</v>
      </c>
      <c r="L41" s="2">
        <v>0.99879657139129696</v>
      </c>
    </row>
    <row r="42" spans="1:12" x14ac:dyDescent="0.25">
      <c r="A42">
        <v>4.0999999999999996</v>
      </c>
      <c r="B42" s="2">
        <v>3.3042835830379498E-7</v>
      </c>
      <c r="C42" s="2">
        <v>1.21742908796321E-5</v>
      </c>
      <c r="D42" s="2">
        <v>4.4895740361799801E-4</v>
      </c>
      <c r="E42" s="2">
        <v>7.24626291227334E-3</v>
      </c>
      <c r="F42" s="2">
        <v>4.9651644251418298E-2</v>
      </c>
      <c r="G42" s="2">
        <v>0.27217856520845601</v>
      </c>
      <c r="H42" s="15">
        <f t="shared" si="0"/>
        <v>0.271979538675162</v>
      </c>
      <c r="I42" s="2">
        <v>0.728020461324838</v>
      </c>
      <c r="J42" s="2">
        <v>0.95039575287770905</v>
      </c>
      <c r="K42" s="2">
        <v>0.99276096267498604</v>
      </c>
      <c r="L42" s="2">
        <v>0.99898230927211895</v>
      </c>
    </row>
    <row r="43" spans="1:12" x14ac:dyDescent="0.25">
      <c r="A43">
        <v>4.2</v>
      </c>
      <c r="B43" s="2">
        <v>2.2976083886342201E-7</v>
      </c>
      <c r="C43" s="2">
        <v>9.2383230335144498E-6</v>
      </c>
      <c r="D43" s="2">
        <v>3.7204412067084802E-4</v>
      </c>
      <c r="E43" s="2">
        <v>6.4320623118032704E-3</v>
      </c>
      <c r="F43" s="2">
        <v>4.6360784203522701E-2</v>
      </c>
      <c r="G43" s="2">
        <v>0.26743888561943202</v>
      </c>
      <c r="H43" s="15">
        <f t="shared" si="0"/>
        <v>0.26726956884072095</v>
      </c>
      <c r="I43" s="2">
        <v>0.73273043115927905</v>
      </c>
      <c r="J43" s="2">
        <v>0.95367741761493396</v>
      </c>
      <c r="K43" s="2">
        <v>0.99357345951207299</v>
      </c>
      <c r="L43" s="2">
        <v>0.999139423385215</v>
      </c>
    </row>
    <row r="44" spans="1:12" x14ac:dyDescent="0.25">
      <c r="A44">
        <v>4.3</v>
      </c>
      <c r="B44" s="2">
        <v>1.59805294990784E-7</v>
      </c>
      <c r="C44" s="2">
        <v>7.0104125517995696E-6</v>
      </c>
      <c r="D44" s="2">
        <v>3.0830346199993799E-4</v>
      </c>
      <c r="E44" s="2">
        <v>5.7088375415796297E-3</v>
      </c>
      <c r="F44" s="2">
        <v>4.3278341477647801E-2</v>
      </c>
      <c r="G44" s="2">
        <v>0.26275356185624699</v>
      </c>
      <c r="H44" s="15">
        <f t="shared" si="0"/>
        <v>0.26260961043653697</v>
      </c>
      <c r="I44" s="2">
        <v>0.73739038956346303</v>
      </c>
      <c r="J44" s="2">
        <v>0.95675242237535896</v>
      </c>
      <c r="K44" s="2">
        <v>0.99429537975693905</v>
      </c>
      <c r="L44" s="2">
        <v>0.99927231322064003</v>
      </c>
    </row>
    <row r="45" spans="1:12" x14ac:dyDescent="0.25">
      <c r="A45">
        <v>4.4000000000000004</v>
      </c>
      <c r="B45" s="2">
        <v>1.1119216390817E-7</v>
      </c>
      <c r="C45" s="2">
        <v>5.3198026067925101E-6</v>
      </c>
      <c r="D45" s="2">
        <v>2.5548053411549899E-4</v>
      </c>
      <c r="E45" s="2">
        <v>5.0665298095063996E-3</v>
      </c>
      <c r="F45" s="2">
        <v>4.0392348684128603E-2</v>
      </c>
      <c r="G45" s="2">
        <v>0.25812277155586399</v>
      </c>
      <c r="H45" s="15">
        <f t="shared" si="0"/>
        <v>0.25800045962749596</v>
      </c>
      <c r="I45" s="2">
        <v>0.74199954037250404</v>
      </c>
      <c r="J45" s="2">
        <v>0.95963240522037796</v>
      </c>
      <c r="K45" s="2">
        <v>0.99493668938038304</v>
      </c>
      <c r="L45" s="2">
        <v>0.99938470521634004</v>
      </c>
    </row>
    <row r="46" spans="1:12" x14ac:dyDescent="0.25">
      <c r="A46">
        <v>4.5</v>
      </c>
      <c r="B46" s="2">
        <v>7.74102870666783E-8</v>
      </c>
      <c r="C46" s="2">
        <v>4.0369158307905599E-6</v>
      </c>
      <c r="D46" s="2">
        <v>2.11706101454857E-4</v>
      </c>
      <c r="E46" s="2">
        <v>4.49617024501204E-3</v>
      </c>
      <c r="F46" s="2">
        <v>3.7691369703475801E-2</v>
      </c>
      <c r="G46" s="2">
        <v>0.25354669194458102</v>
      </c>
      <c r="H46" s="15">
        <f t="shared" si="0"/>
        <v>0.25344282722282296</v>
      </c>
      <c r="I46" s="2">
        <v>0.74655717277717704</v>
      </c>
      <c r="J46" s="2">
        <v>0.96232853305920896</v>
      </c>
      <c r="K46" s="2">
        <v>0.99550628579747202</v>
      </c>
      <c r="L46" s="2">
        <v>0.99947975487467899</v>
      </c>
    </row>
    <row r="47" spans="1:12" x14ac:dyDescent="0.25">
      <c r="A47">
        <v>4.5999999999999996</v>
      </c>
      <c r="B47" s="2">
        <v>5.3934901571329802E-8</v>
      </c>
      <c r="C47" s="2">
        <v>3.0634236541096999E-6</v>
      </c>
      <c r="D47" s="2">
        <v>1.7543072693137099E-4</v>
      </c>
      <c r="E47" s="2">
        <v>3.9897664395943302E-3</v>
      </c>
      <c r="F47" s="2">
        <v>3.5164496332647899E-2</v>
      </c>
      <c r="G47" s="2">
        <v>0.24902549477413799</v>
      </c>
      <c r="H47" s="15">
        <f t="shared" si="0"/>
        <v>0.24893734469046302</v>
      </c>
      <c r="I47" s="2">
        <v>0.75106265530953698</v>
      </c>
      <c r="J47" s="2">
        <v>0.96485149442013196</v>
      </c>
      <c r="K47" s="2">
        <v>0.99601210647251703</v>
      </c>
      <c r="L47" s="2">
        <v>0.99956013361463403</v>
      </c>
    </row>
    <row r="48" spans="1:12" x14ac:dyDescent="0.25">
      <c r="A48">
        <v>4.7</v>
      </c>
      <c r="B48" s="2">
        <v>3.7621649921166298E-8</v>
      </c>
      <c r="C48" s="2">
        <v>2.3247104770597499E-6</v>
      </c>
      <c r="D48" s="2">
        <v>1.45370129288739E-4</v>
      </c>
      <c r="E48" s="2">
        <v>3.5401998249369199E-3</v>
      </c>
      <c r="F48" s="2">
        <v>3.2801341853709802E-2</v>
      </c>
      <c r="G48" s="2">
        <v>0.24455934204118701</v>
      </c>
      <c r="H48" s="15">
        <f t="shared" si="0"/>
        <v>0.24448456962331899</v>
      </c>
      <c r="I48" s="2">
        <v>0.75551543037668101</v>
      </c>
      <c r="J48" s="2">
        <v>0.96721149706572795</v>
      </c>
      <c r="K48" s="2">
        <v>0.99646122777051205</v>
      </c>
      <c r="L48" s="2">
        <v>0.99962810257956103</v>
      </c>
    </row>
    <row r="49" spans="1:12" x14ac:dyDescent="0.25">
      <c r="A49">
        <v>4.8</v>
      </c>
      <c r="B49" s="2">
        <v>2.6285456243815499E-8</v>
      </c>
      <c r="C49" s="2">
        <v>1.7641551373968E-6</v>
      </c>
      <c r="D49" s="2">
        <v>1.20459855991489E-4</v>
      </c>
      <c r="E49" s="2">
        <v>3.14113306200226E-3</v>
      </c>
      <c r="F49" s="2">
        <v>3.0592031979279899E-2</v>
      </c>
      <c r="G49" s="2">
        <v>0.24014838239792299</v>
      </c>
      <c r="H49" s="15">
        <f t="shared" si="0"/>
        <v>0.24008499070240197</v>
      </c>
      <c r="I49" s="2">
        <v>0.75991500929759803</v>
      </c>
      <c r="J49" s="2">
        <v>0.96941826972684297</v>
      </c>
      <c r="K49" s="2">
        <v>0.99685995464525601</v>
      </c>
      <c r="L49" s="2">
        <v>0.99968557531438995</v>
      </c>
    </row>
    <row r="50" spans="1:12" x14ac:dyDescent="0.25">
      <c r="A50">
        <v>4.9000000000000004</v>
      </c>
      <c r="B50" s="2">
        <v>1.8407873485609899E-8</v>
      </c>
      <c r="C50" s="2">
        <v>1.3387914212468799E-6</v>
      </c>
      <c r="D50" s="2">
        <v>9.9817689873211396E-5</v>
      </c>
      <c r="E50" s="2">
        <v>2.7869266299586099E-3</v>
      </c>
      <c r="F50" s="2">
        <v>2.8527193598128799E-2</v>
      </c>
      <c r="G50" s="2">
        <v>0.23579274817089199</v>
      </c>
      <c r="H50" s="15">
        <f t="shared" si="0"/>
        <v>0.235739032201989</v>
      </c>
      <c r="I50" s="2">
        <v>0.764260967798011</v>
      </c>
      <c r="J50" s="2">
        <v>0.97148106729649897</v>
      </c>
      <c r="K50" s="2">
        <v>0.99721390178873204</v>
      </c>
      <c r="L50" s="2">
        <v>0.99973417095763495</v>
      </c>
    </row>
    <row r="51" spans="1:12" x14ac:dyDescent="0.25">
      <c r="A51">
        <v>5</v>
      </c>
      <c r="B51" s="2">
        <v>1.29337099722989E-8</v>
      </c>
      <c r="C51" s="2">
        <v>1.01601505651991E-6</v>
      </c>
      <c r="D51" s="2">
        <v>8.27124744222378E-5</v>
      </c>
      <c r="E51" s="2">
        <v>2.4725638322434401E-3</v>
      </c>
      <c r="F51" s="2">
        <v>2.65979417105618E-2</v>
      </c>
      <c r="G51" s="2">
        <v>0.231492552913731</v>
      </c>
      <c r="H51" s="15">
        <f t="shared" si="0"/>
        <v>0.23144705808074595</v>
      </c>
      <c r="I51" s="2">
        <v>0.76855294191925405</v>
      </c>
      <c r="J51" s="2">
        <v>0.97340867889110205</v>
      </c>
      <c r="K51" s="2">
        <v>0.99752806687774598</v>
      </c>
      <c r="L51" s="2">
        <v>0.99977525935931799</v>
      </c>
    </row>
    <row r="52" spans="1:12" x14ac:dyDescent="0.25">
      <c r="A52">
        <v>5.0999999999999996</v>
      </c>
      <c r="B52" s="2">
        <v>9.1296994607742697E-9</v>
      </c>
      <c r="C52" s="2">
        <v>7.7108482784715802E-7</v>
      </c>
      <c r="D52" s="2">
        <v>6.8538264880157196E-5</v>
      </c>
      <c r="E52" s="2">
        <v>2.19358347439297E-3</v>
      </c>
      <c r="F52" s="2">
        <v>2.47958649081782E-2</v>
      </c>
      <c r="G52" s="2">
        <v>0.22724788942756999</v>
      </c>
      <c r="H52" s="15">
        <f t="shared" si="0"/>
        <v>0.22720937570074295</v>
      </c>
      <c r="I52" s="2">
        <v>0.77279062429925705</v>
      </c>
      <c r="J52" s="2">
        <v>0.97520943825057405</v>
      </c>
      <c r="K52" s="2">
        <v>0.99780689654814803</v>
      </c>
      <c r="L52" s="2">
        <v>0.99980999933264303</v>
      </c>
    </row>
    <row r="53" spans="1:12" x14ac:dyDescent="0.25">
      <c r="A53">
        <v>5.2</v>
      </c>
      <c r="B53" s="2">
        <v>6.4862873380633304E-9</v>
      </c>
      <c r="C53" s="2">
        <v>5.8522630998250301E-7</v>
      </c>
      <c r="D53" s="2">
        <v>5.6792897458737101E-5</v>
      </c>
      <c r="E53" s="2">
        <v>1.9460195112688901E-3</v>
      </c>
      <c r="F53" s="2">
        <v>2.3113009717387702E-2</v>
      </c>
      <c r="G53" s="2">
        <v>0.22305882819022299</v>
      </c>
      <c r="H53" s="15">
        <f t="shared" si="0"/>
        <v>0.22302623921374398</v>
      </c>
      <c r="I53" s="2">
        <v>0.77697376078625602</v>
      </c>
      <c r="J53" s="2">
        <v>0.97689123601014205</v>
      </c>
      <c r="K53" s="2">
        <v>0.99805434570915197</v>
      </c>
      <c r="L53" s="2">
        <v>0.99983937107131304</v>
      </c>
    </row>
    <row r="54" spans="1:12" x14ac:dyDescent="0.25">
      <c r="A54">
        <v>5.3</v>
      </c>
      <c r="B54" s="2">
        <v>4.6493795979085303E-9</v>
      </c>
      <c r="C54" s="2">
        <v>4.4419289775571002E-7</v>
      </c>
      <c r="D54" s="2">
        <v>4.7060223032743898E-5</v>
      </c>
      <c r="E54" s="2">
        <v>1.7263470075105599E-3</v>
      </c>
      <c r="F54" s="2">
        <v>2.15418640915312E-2</v>
      </c>
      <c r="G54" s="2">
        <v>0.21892541614195801</v>
      </c>
      <c r="H54" s="15">
        <f t="shared" si="0"/>
        <v>0.21889785265128703</v>
      </c>
      <c r="I54" s="2">
        <v>0.78110214734871297</v>
      </c>
      <c r="J54" s="2">
        <v>0.97846153343376596</v>
      </c>
      <c r="K54" s="2">
        <v>0.99827393078382698</v>
      </c>
      <c r="L54" s="2">
        <v>0.99986420361290096</v>
      </c>
    </row>
    <row r="55" spans="1:12" x14ac:dyDescent="0.25">
      <c r="A55">
        <v>5.4</v>
      </c>
      <c r="B55" s="2">
        <v>3.37291381910341E-9</v>
      </c>
      <c r="C55" s="2">
        <v>3.3717385489433201E-7</v>
      </c>
      <c r="D55" s="2">
        <v>3.8995379769772503E-5</v>
      </c>
      <c r="E55" s="2">
        <v>1.53143380255649E-3</v>
      </c>
      <c r="F55" s="2">
        <v>2.0075340303229099E-2</v>
      </c>
      <c r="G55" s="2">
        <v>0.21484767578164901</v>
      </c>
      <c r="H55" s="15">
        <f t="shared" si="0"/>
        <v>0.21482437275203004</v>
      </c>
      <c r="I55" s="2">
        <v>0.78517562724796996</v>
      </c>
      <c r="J55" s="2">
        <v>0.97992737725222301</v>
      </c>
      <c r="K55" s="2">
        <v>0.99846877742991802</v>
      </c>
      <c r="L55" s="2">
        <v>0.99988519809835397</v>
      </c>
    </row>
    <row r="56" spans="1:12" x14ac:dyDescent="0.25">
      <c r="A56">
        <v>5.5</v>
      </c>
      <c r="B56" s="2">
        <v>2.4858998969552502E-9</v>
      </c>
      <c r="C56" s="2">
        <v>2.5596569727561302E-7</v>
      </c>
      <c r="D56" s="2">
        <v>3.2312585623863603E-5</v>
      </c>
      <c r="E56" s="2">
        <v>1.3584973190150899E-3</v>
      </c>
      <c r="F56" s="2">
        <v>1.8706757457145E-2</v>
      </c>
      <c r="G56" s="2">
        <v>0.210825604532559</v>
      </c>
      <c r="H56" s="15">
        <f t="shared" si="0"/>
        <v>0.21080591155681905</v>
      </c>
      <c r="I56" s="2">
        <v>0.78919408844318095</v>
      </c>
      <c r="J56" s="2">
        <v>0.98129541529729103</v>
      </c>
      <c r="K56" s="2">
        <v>0.99864166325992598</v>
      </c>
      <c r="L56" s="2">
        <v>0.99990294746605801</v>
      </c>
    </row>
    <row r="57" spans="1:12" x14ac:dyDescent="0.25">
      <c r="A57">
        <v>5.6</v>
      </c>
      <c r="B57" s="2">
        <v>1.8695161434732902E-9</v>
      </c>
      <c r="C57" s="2">
        <v>1.94343406498245E-7</v>
      </c>
      <c r="D57" s="2">
        <v>2.6775020060394701E-5</v>
      </c>
      <c r="E57" s="2">
        <v>1.2050659995104199E-3</v>
      </c>
      <c r="F57" s="2">
        <v>1.7429823813968799E-2</v>
      </c>
      <c r="G57" s="2">
        <v>0.20685917434183099</v>
      </c>
      <c r="H57" s="15">
        <f t="shared" si="0"/>
        <v>0.20684253879888603</v>
      </c>
      <c r="I57" s="2">
        <v>0.79315746120111397</v>
      </c>
      <c r="J57" s="2">
        <v>0.98257191266746802</v>
      </c>
      <c r="K57" s="2">
        <v>0.99879505604253804</v>
      </c>
      <c r="L57" s="2">
        <v>0.99991795312330101</v>
      </c>
    </row>
    <row r="58" spans="1:12" x14ac:dyDescent="0.25">
      <c r="A58">
        <v>5.7</v>
      </c>
      <c r="B58" s="2">
        <v>1.4411930699367499E-9</v>
      </c>
      <c r="C58" s="2">
        <v>1.4758328358744001E-7</v>
      </c>
      <c r="D58" s="2">
        <v>2.2186437818249602E-5</v>
      </c>
      <c r="E58" s="2">
        <v>1.06894490167353E-3</v>
      </c>
      <c r="F58" s="2">
        <v>1.62386190893146E-2</v>
      </c>
      <c r="G58" s="2">
        <v>0.20294833148206901</v>
      </c>
      <c r="H58" s="15">
        <f t="shared" si="0"/>
        <v>0.20293428411377101</v>
      </c>
      <c r="I58" s="2">
        <v>0.79706571588622899</v>
      </c>
      <c r="J58" s="2">
        <v>0.98376276820014597</v>
      </c>
      <c r="K58" s="2">
        <v>0.99893114783041204</v>
      </c>
      <c r="L58" s="2">
        <v>0.99993063905631996</v>
      </c>
    </row>
    <row r="59" spans="1:12" x14ac:dyDescent="0.25">
      <c r="A59">
        <v>5.8</v>
      </c>
      <c r="B59" s="2">
        <v>1.14355303503005E-9</v>
      </c>
      <c r="C59" s="2">
        <v>1.12100873694592E-7</v>
      </c>
      <c r="D59" s="2">
        <v>1.8384218476174799E-5</v>
      </c>
      <c r="E59" s="2">
        <v>9.4818502322269703E-4</v>
      </c>
      <c r="F59" s="2">
        <v>1.5127576866437901E-2</v>
      </c>
      <c r="G59" s="2">
        <v>0.199092996527204</v>
      </c>
      <c r="H59" s="15">
        <f t="shared" si="0"/>
        <v>0.19908113909078895</v>
      </c>
      <c r="I59" s="2">
        <v>0.80091886090921105</v>
      </c>
      <c r="J59" s="2">
        <v>0.98487353106047004</v>
      </c>
      <c r="K59" s="2">
        <v>0.99905188542280099</v>
      </c>
      <c r="L59" s="2">
        <v>0.99994136377051301</v>
      </c>
    </row>
    <row r="60" spans="1:12" x14ac:dyDescent="0.25">
      <c r="A60">
        <v>5.9</v>
      </c>
      <c r="B60" s="2">
        <v>9.3672430867111099E-10</v>
      </c>
      <c r="C60" s="2">
        <v>8.51762113457734E-8</v>
      </c>
      <c r="D60" s="2">
        <v>1.5233606179598601E-5</v>
      </c>
      <c r="E60" s="2">
        <v>8.4105596878381202E-4</v>
      </c>
      <c r="F60" s="2">
        <v>1.40914672392322E-2</v>
      </c>
      <c r="G60" s="2">
        <v>0.19529306447827099</v>
      </c>
      <c r="H60" s="15">
        <f t="shared" si="0"/>
        <v>0.19528305918538003</v>
      </c>
      <c r="I60" s="2">
        <v>0.80471694081461997</v>
      </c>
      <c r="J60" s="2">
        <v>0.98590941728830905</v>
      </c>
      <c r="K60" s="2">
        <v>0.99915899753626702</v>
      </c>
      <c r="L60" s="2">
        <v>0.999950430393031</v>
      </c>
    </row>
    <row r="61" spans="1:12" x14ac:dyDescent="0.25">
      <c r="A61">
        <v>6</v>
      </c>
      <c r="B61" s="2">
        <v>7.9300006125639099E-10</v>
      </c>
      <c r="C61" s="2">
        <v>6.4745327898111598E-8</v>
      </c>
      <c r="D61" s="2">
        <v>1.2622935856762699E-5</v>
      </c>
      <c r="E61" s="2">
        <v>7.4602160709486595E-4</v>
      </c>
      <c r="F61" s="2">
        <v>1.31253797818159E-2</v>
      </c>
      <c r="G61" s="2">
        <v>0.191548405017643</v>
      </c>
      <c r="H61" s="15">
        <f t="shared" si="0"/>
        <v>0.19153996550934305</v>
      </c>
      <c r="I61" s="2">
        <v>0.80846003449065695</v>
      </c>
      <c r="J61" s="2">
        <v>0.98687532617240203</v>
      </c>
      <c r="K61" s="2">
        <v>0.99925401902325495</v>
      </c>
      <c r="L61" s="2">
        <v>0.99995809521953005</v>
      </c>
    </row>
    <row r="62" spans="1:12" x14ac:dyDescent="0.25">
      <c r="A62">
        <v>6.1</v>
      </c>
      <c r="B62" s="2">
        <v>6.9312686697037002E-10</v>
      </c>
      <c r="C62" s="2">
        <v>4.92420411889998E-8</v>
      </c>
      <c r="D62" s="2">
        <v>1.04596770696968E-5</v>
      </c>
      <c r="E62" s="2">
        <v>6.6171840146551702E-4</v>
      </c>
      <c r="F62" s="2">
        <v>1.2224706923056E-2</v>
      </c>
      <c r="G62" s="2">
        <v>0.18785886287296399</v>
      </c>
      <c r="H62" s="15">
        <f t="shared" si="0"/>
        <v>0.18785174651381498</v>
      </c>
      <c r="I62" s="2">
        <v>0.81214825348618502</v>
      </c>
      <c r="J62" s="2">
        <v>0.98777585634476395</v>
      </c>
      <c r="K62" s="2">
        <v>0.99933831244669502</v>
      </c>
      <c r="L62" s="2">
        <v>0.999964574943915</v>
      </c>
    </row>
    <row r="63" spans="1:12" x14ac:dyDescent="0.25">
      <c r="A63">
        <v>6.2</v>
      </c>
      <c r="B63" s="2">
        <v>6.2372557075843104E-10</v>
      </c>
      <c r="C63" s="2">
        <v>3.74779010587847E-8</v>
      </c>
      <c r="D63" s="2">
        <v>8.6671555216028203E-6</v>
      </c>
      <c r="E63" s="2">
        <v>5.8693612785099198E-4</v>
      </c>
      <c r="F63" s="2">
        <v>1.1385127788504999E-2</v>
      </c>
      <c r="G63" s="2">
        <v>0.18422425827428299</v>
      </c>
      <c r="H63" s="15">
        <f t="shared" si="0"/>
        <v>0.18421825957793503</v>
      </c>
      <c r="I63" s="2">
        <v>0.81578174042206497</v>
      </c>
      <c r="J63" s="2">
        <v>0.98861532150952502</v>
      </c>
      <c r="K63" s="2">
        <v>0.99941308728941103</v>
      </c>
      <c r="L63" s="2">
        <v>0.99997005277346296</v>
      </c>
    </row>
    <row r="64" spans="1:12" x14ac:dyDescent="0.25">
      <c r="A64">
        <v>6.3</v>
      </c>
      <c r="B64" s="2">
        <v>5.7549904266591098E-10</v>
      </c>
      <c r="C64" s="2">
        <v>2.8551088803062299E-8</v>
      </c>
      <c r="D64" s="2">
        <v>7.1818361879089304E-6</v>
      </c>
      <c r="E64" s="2">
        <v>5.2060072372894404E-4</v>
      </c>
      <c r="F64" s="2">
        <v>1.06025925582868E-2</v>
      </c>
      <c r="G64" s="2">
        <v>0.18064438748995701</v>
      </c>
      <c r="H64" s="15">
        <f t="shared" si="0"/>
        <v>0.18063933251445297</v>
      </c>
      <c r="I64" s="2">
        <v>0.81936066748554703</v>
      </c>
      <c r="J64" s="2">
        <v>0.98939776573849203</v>
      </c>
      <c r="K64" s="2">
        <v>0.99947941704990495</v>
      </c>
      <c r="L64" s="2">
        <v>0.99997468360075903</v>
      </c>
    </row>
    <row r="65" spans="1:12" x14ac:dyDescent="0.25">
      <c r="A65">
        <v>6.4</v>
      </c>
      <c r="B65" s="2">
        <v>5.4198674433018996E-10</v>
      </c>
      <c r="C65" s="2">
        <v>2.1777287765532201E-8</v>
      </c>
      <c r="D65" s="2">
        <v>5.9510718931072404E-6</v>
      </c>
      <c r="E65" s="2">
        <v>4.61759037255429E-4</v>
      </c>
      <c r="F65" s="2">
        <v>9.8733073773173106E-3</v>
      </c>
      <c r="G65" s="2">
        <v>0.177119023428679</v>
      </c>
      <c r="H65" s="15">
        <f t="shared" si="0"/>
        <v>0.17711476500191703</v>
      </c>
      <c r="I65" s="2">
        <v>0.82288523499808297</v>
      </c>
      <c r="J65" s="2">
        <v>0.99012697828141005</v>
      </c>
      <c r="K65" s="2">
        <v>0.999538254450965</v>
      </c>
      <c r="L65" s="2">
        <v>0.99997859837763403</v>
      </c>
    </row>
    <row r="66" spans="1:12" x14ac:dyDescent="0.25">
      <c r="A66">
        <v>6.5</v>
      </c>
      <c r="B66" s="2">
        <v>5.1869927725796201E-10</v>
      </c>
      <c r="C66" s="2">
        <v>1.66372262771099E-8</v>
      </c>
      <c r="D66" s="2">
        <v>4.9312376167387097E-6</v>
      </c>
      <c r="E66" s="2">
        <v>4.0956527006176801E-4</v>
      </c>
      <c r="F66" s="2">
        <v>9.1937198437444696E-3</v>
      </c>
      <c r="G66" s="2">
        <v>0.17364791629649501</v>
      </c>
      <c r="H66" s="15">
        <f t="shared" si="0"/>
        <v>0.17364432995179602</v>
      </c>
      <c r="I66" s="2">
        <v>0.82635567004820398</v>
      </c>
      <c r="J66" s="2">
        <v>0.99080650785230495</v>
      </c>
      <c r="K66" s="2">
        <v>0.99959044496466898</v>
      </c>
      <c r="L66" s="2">
        <v>0.99998190781400298</v>
      </c>
    </row>
    <row r="67" spans="1:12" x14ac:dyDescent="0.25">
      <c r="A67">
        <v>6.6</v>
      </c>
      <c r="B67" s="2">
        <v>5.0251698131789799E-10</v>
      </c>
      <c r="C67" s="2">
        <v>1.2736872034265E-8</v>
      </c>
      <c r="D67" s="2">
        <v>4.0861844584320598E-6</v>
      </c>
      <c r="E67" s="2">
        <v>3.63268928692643E-4</v>
      </c>
      <c r="F67" s="2">
        <v>8.5605050924637792E-3</v>
      </c>
      <c r="G67" s="2">
        <v>0.17023079429912299</v>
      </c>
      <c r="H67" s="15">
        <f t="shared" ref="H67:H130" si="1">1-I67</f>
        <v>0.17022777481759799</v>
      </c>
      <c r="I67" s="2">
        <v>0.82977222518240201</v>
      </c>
      <c r="J67" s="2">
        <v>0.99143967636463504</v>
      </c>
      <c r="K67" s="2">
        <v>0.99963673883640103</v>
      </c>
      <c r="L67" s="2">
        <v>0.99998470550565399</v>
      </c>
    </row>
    <row r="68" spans="1:12" x14ac:dyDescent="0.25">
      <c r="A68">
        <v>6.7</v>
      </c>
      <c r="B68" s="2">
        <v>4.91272022001881E-10</v>
      </c>
      <c r="C68" s="2">
        <v>9.7772267220517004E-9</v>
      </c>
      <c r="D68" s="2">
        <v>3.38595850422603E-6</v>
      </c>
      <c r="E68" s="2">
        <v>3.2220411923748797E-4</v>
      </c>
      <c r="F68" s="2">
        <v>7.9705524828834803E-3</v>
      </c>
      <c r="G68" s="2">
        <v>0.16686736438100699</v>
      </c>
      <c r="H68" s="15">
        <f t="shared" si="1"/>
        <v>0.16686482285208604</v>
      </c>
      <c r="I68" s="2">
        <v>0.83313517714791396</v>
      </c>
      <c r="J68" s="2">
        <v>0.99202959209767805</v>
      </c>
      <c r="K68" s="2">
        <v>0.999677801771513</v>
      </c>
      <c r="L68" s="2">
        <v>0.99998707057903902</v>
      </c>
    </row>
    <row r="69" spans="1:12" x14ac:dyDescent="0.25">
      <c r="A69">
        <v>6.8</v>
      </c>
      <c r="B69" s="2">
        <v>4.8345798401418695E-10</v>
      </c>
      <c r="C69" s="2">
        <v>7.5314055421453402E-9</v>
      </c>
      <c r="D69" s="2">
        <v>2.8057392132077898E-6</v>
      </c>
      <c r="E69" s="2">
        <v>2.8578003733359701E-4</v>
      </c>
      <c r="F69" s="2">
        <v>7.42095289362676E-3</v>
      </c>
      <c r="G69" s="2">
        <v>0.16355731299363299</v>
      </c>
      <c r="H69" s="15">
        <f t="shared" si="1"/>
        <v>0.163555174317631</v>
      </c>
      <c r="I69" s="2">
        <v>0.836444825682369</v>
      </c>
      <c r="J69" s="2">
        <v>0.99257916228458898</v>
      </c>
      <c r="K69" s="2">
        <v>0.99971422443108404</v>
      </c>
      <c r="L69" s="2">
        <v>0.99998906992754999</v>
      </c>
    </row>
    <row r="70" spans="1:12" x14ac:dyDescent="0.25">
      <c r="A70">
        <v>6.9</v>
      </c>
      <c r="B70" s="2">
        <v>4.7802806886658496E-10</v>
      </c>
      <c r="C70" s="2">
        <v>5.8272446993075399E-9</v>
      </c>
      <c r="D70" s="2">
        <v>2.3249597155530399E-6</v>
      </c>
      <c r="E70" s="2">
        <v>2.5347252157923502E-4</v>
      </c>
      <c r="F70" s="2">
        <v>6.9089866214296801E-3</v>
      </c>
      <c r="G70" s="2">
        <v>0.160300306886552</v>
      </c>
      <c r="H70" s="15">
        <f t="shared" si="1"/>
        <v>0.16029850765409404</v>
      </c>
      <c r="I70" s="2">
        <v>0.83970149234590596</v>
      </c>
      <c r="J70" s="2">
        <v>0.99309110511934495</v>
      </c>
      <c r="K70" s="2">
        <v>0.99974653086765697</v>
      </c>
      <c r="L70" s="2">
        <v>0.999990760102351</v>
      </c>
    </row>
    <row r="71" spans="1:12" x14ac:dyDescent="0.25">
      <c r="A71">
        <v>7</v>
      </c>
      <c r="B71" s="2">
        <v>4.7425486321864199E-10</v>
      </c>
      <c r="C71" s="2">
        <v>4.5341036272930702E-9</v>
      </c>
      <c r="D71" s="2">
        <v>1.9265778547129801E-6</v>
      </c>
      <c r="E71" s="2">
        <v>2.2481655264059501E-4</v>
      </c>
      <c r="F71" s="2">
        <v>6.4321118770103904E-3</v>
      </c>
      <c r="G71" s="2">
        <v>0.157095993915325</v>
      </c>
      <c r="H71" s="15">
        <f t="shared" si="1"/>
        <v>0.15709448060779896</v>
      </c>
      <c r="I71" s="2">
        <v>0.84290551939220104</v>
      </c>
      <c r="J71" s="2">
        <v>0.9935679611853</v>
      </c>
      <c r="K71" s="2">
        <v>0.99977518601788096</v>
      </c>
      <c r="L71" s="2">
        <v>0.99999218891105002</v>
      </c>
    </row>
    <row r="72" spans="1:12" x14ac:dyDescent="0.25">
      <c r="A72">
        <v>7.1</v>
      </c>
      <c r="B72" s="2">
        <v>4.7163289255505897E-10</v>
      </c>
      <c r="C72" s="2">
        <v>3.55285027322659E-9</v>
      </c>
      <c r="D72" s="2">
        <v>1.5964721452988101E-6</v>
      </c>
      <c r="E72" s="2">
        <v>1.99399593113153E-4</v>
      </c>
      <c r="F72" s="2">
        <v>5.9879538670192601E-3</v>
      </c>
      <c r="G72" s="2">
        <v>0.153944003861338</v>
      </c>
      <c r="H72" s="15">
        <f t="shared" si="1"/>
        <v>0.15394273132462299</v>
      </c>
      <c r="I72" s="2">
        <v>0.84605726867537701</v>
      </c>
      <c r="J72" s="2">
        <v>0.994012104312614</v>
      </c>
      <c r="K72" s="2">
        <v>0.99980060235636803</v>
      </c>
      <c r="L72" s="2">
        <v>0.99999339676934396</v>
      </c>
    </row>
    <row r="73" spans="1:12" x14ac:dyDescent="0.25">
      <c r="A73">
        <v>7.2</v>
      </c>
      <c r="B73" s="2">
        <v>4.6981090624223901E-10</v>
      </c>
      <c r="C73" s="2">
        <v>2.80826175217584E-9</v>
      </c>
      <c r="D73" s="2">
        <v>1.32294124284027E-6</v>
      </c>
      <c r="E73" s="2">
        <v>1.76855674642435E-4</v>
      </c>
      <c r="F73" s="2">
        <v>5.5742944482385101E-3</v>
      </c>
      <c r="G73" s="2">
        <v>0.150843949259056</v>
      </c>
      <c r="H73" s="15">
        <f t="shared" si="1"/>
        <v>0.15084287940973096</v>
      </c>
      <c r="I73" s="2">
        <v>0.84915712059026904</v>
      </c>
      <c r="J73" s="2">
        <v>0.99442575187546101</v>
      </c>
      <c r="K73" s="2">
        <v>0.99982314580379295</v>
      </c>
      <c r="L73" s="2">
        <v>0.99999441784378196</v>
      </c>
    </row>
    <row r="74" spans="1:12" x14ac:dyDescent="0.25">
      <c r="A74">
        <v>7.3</v>
      </c>
      <c r="B74" s="2">
        <v>4.6854482279600497E-10</v>
      </c>
      <c r="C74" s="2">
        <v>2.2432578322221E-9</v>
      </c>
      <c r="D74" s="2">
        <v>1.09628918848147E-6</v>
      </c>
      <c r="E74" s="2">
        <v>1.56860149048104E-4</v>
      </c>
      <c r="F74" s="2">
        <v>5.1890623378793898E-3</v>
      </c>
      <c r="G74" s="2">
        <v>0.147795426226798</v>
      </c>
      <c r="H74" s="15">
        <f t="shared" si="1"/>
        <v>0.14779452695596895</v>
      </c>
      <c r="I74" s="2">
        <v>0.85220547304403105</v>
      </c>
      <c r="J74" s="2">
        <v>0.99481097454279399</v>
      </c>
      <c r="K74" s="2">
        <v>0.999843140972144</v>
      </c>
      <c r="L74" s="2">
        <v>0.99999528101789803</v>
      </c>
    </row>
    <row r="75" spans="1:12" x14ac:dyDescent="0.25">
      <c r="A75">
        <v>7.4</v>
      </c>
      <c r="B75" s="2">
        <v>4.6766503183205801E-10</v>
      </c>
      <c r="C75" s="2">
        <v>1.8145252060197999E-9</v>
      </c>
      <c r="D75" s="2">
        <v>9.0848173052421595E-7</v>
      </c>
      <c r="E75" s="2">
        <v>1.39125029346806E-4</v>
      </c>
      <c r="F75" s="2">
        <v>4.8303238620464404E-3</v>
      </c>
      <c r="G75" s="2">
        <v>0.14479801529763101</v>
      </c>
      <c r="H75" s="15">
        <f t="shared" si="1"/>
        <v>0.14479725954267098</v>
      </c>
      <c r="I75" s="2">
        <v>0.85520274045732902</v>
      </c>
      <c r="J75" s="2">
        <v>0.99516970549871397</v>
      </c>
      <c r="K75" s="2">
        <v>0.99986087582093297</v>
      </c>
      <c r="L75" s="2">
        <v>0.99999601070901301</v>
      </c>
    </row>
    <row r="76" spans="1:12" x14ac:dyDescent="0.25">
      <c r="A76">
        <v>7.5</v>
      </c>
      <c r="B76" s="2">
        <v>4.67053672399976E-10</v>
      </c>
      <c r="C76" s="2">
        <v>1.4891971165241899E-9</v>
      </c>
      <c r="D76" s="2">
        <v>7.5286154305196702E-7</v>
      </c>
      <c r="E76" s="2">
        <v>1.2339485474130701E-4</v>
      </c>
      <c r="F76" s="2">
        <v>4.4962742231201497E-3</v>
      </c>
      <c r="G76" s="2">
        <v>0.14185128224737201</v>
      </c>
      <c r="H76" s="15">
        <f t="shared" si="1"/>
        <v>0.14185064720621599</v>
      </c>
      <c r="I76" s="2">
        <v>0.85814935279378401</v>
      </c>
      <c r="J76" s="2">
        <v>0.99550374915012696</v>
      </c>
      <c r="K76" s="2">
        <v>0.99987660579010995</v>
      </c>
      <c r="L76" s="2">
        <v>0.99999662755877805</v>
      </c>
    </row>
    <row r="77" spans="1:12" x14ac:dyDescent="0.25">
      <c r="A77">
        <v>7.6</v>
      </c>
      <c r="B77" s="2">
        <v>4.6662884384942495E-10</v>
      </c>
      <c r="C77" s="2">
        <v>1.24233380406797E-9</v>
      </c>
      <c r="D77" s="2">
        <v>6.2391224879286904E-7</v>
      </c>
      <c r="E77" s="2">
        <v>1.09443020935288E-4</v>
      </c>
      <c r="F77" s="2">
        <v>4.18522926588695E-3</v>
      </c>
      <c r="G77" s="2">
        <v>0.13895477891705599</v>
      </c>
      <c r="H77" s="15">
        <f t="shared" si="1"/>
        <v>0.138954245383479</v>
      </c>
      <c r="I77" s="2">
        <v>0.861045754616521</v>
      </c>
      <c r="J77" s="2">
        <v>0.99581478934066203</v>
      </c>
      <c r="K77" s="2">
        <v>0.99989055746815003</v>
      </c>
      <c r="L77" s="2">
        <v>0.99999714901696202</v>
      </c>
    </row>
    <row r="78" spans="1:12" x14ac:dyDescent="0.25">
      <c r="A78">
        <v>7.7</v>
      </c>
      <c r="B78" s="2">
        <v>4.6633363407087997E-10</v>
      </c>
      <c r="C78" s="2">
        <v>1.05501063035587E-9</v>
      </c>
      <c r="D78" s="2">
        <v>5.1706288278485705E-7</v>
      </c>
      <c r="E78" s="2">
        <v>9.7068523635073601E-5</v>
      </c>
      <c r="F78" s="2">
        <v>3.8956177216569999E-3</v>
      </c>
      <c r="G78" s="2">
        <v>0.13610804402759399</v>
      </c>
      <c r="H78" s="15">
        <f t="shared" si="1"/>
        <v>0.13610759582908205</v>
      </c>
      <c r="I78" s="2">
        <v>0.86389240417091795</v>
      </c>
      <c r="J78" s="2">
        <v>0.99610439709058796</v>
      </c>
      <c r="K78" s="2">
        <v>0.99990293184734802</v>
      </c>
      <c r="L78" s="2">
        <v>0.99999758983499298</v>
      </c>
    </row>
    <row r="79" spans="1:12" x14ac:dyDescent="0.25">
      <c r="A79">
        <v>7.8</v>
      </c>
      <c r="B79" s="2">
        <v>4.6612849529899202E-10</v>
      </c>
      <c r="C79" s="2">
        <v>9.1286731778455299E-10</v>
      </c>
      <c r="D79" s="2">
        <v>4.2852586651868197E-7</v>
      </c>
      <c r="E79" s="2">
        <v>8.6093068893532498E-5</v>
      </c>
      <c r="F79" s="2">
        <v>3.6259739093017799E-3</v>
      </c>
      <c r="G79" s="2">
        <v>0.13331060398459099</v>
      </c>
      <c r="H79" s="15">
        <f t="shared" si="1"/>
        <v>0.13331022750719002</v>
      </c>
      <c r="I79" s="2">
        <v>0.86668977249280998</v>
      </c>
      <c r="J79" s="2">
        <v>0.99637403788302004</v>
      </c>
      <c r="K79" s="2">
        <v>0.99991390721254603</v>
      </c>
      <c r="L79" s="2">
        <v>0.99999796248318595</v>
      </c>
    </row>
    <row r="80" spans="1:12" x14ac:dyDescent="0.25">
      <c r="A80">
        <v>7.9</v>
      </c>
      <c r="B80" s="2">
        <v>4.6598594611473702E-10</v>
      </c>
      <c r="C80" s="2">
        <v>8.0500709051889004E-10</v>
      </c>
      <c r="D80" s="2">
        <v>3.55162749808125E-7</v>
      </c>
      <c r="E80" s="2">
        <v>7.6358509111793999E-5</v>
      </c>
      <c r="F80" s="2">
        <v>3.3749308720717099E-3</v>
      </c>
      <c r="G80" s="2">
        <v>0.130561973671563</v>
      </c>
      <c r="H80" s="15">
        <f t="shared" si="1"/>
        <v>0.13056165745839898</v>
      </c>
      <c r="I80" s="2">
        <v>0.86943834254160102</v>
      </c>
      <c r="J80" s="2">
        <v>0.99662507851691096</v>
      </c>
      <c r="K80" s="2">
        <v>0.99992364170443704</v>
      </c>
      <c r="L80" s="2">
        <v>0.99999827750347503</v>
      </c>
    </row>
    <row r="81" spans="1:12" x14ac:dyDescent="0.25">
      <c r="A81">
        <v>8</v>
      </c>
      <c r="B81" s="2">
        <v>4.6588688990685402E-10</v>
      </c>
      <c r="C81" s="2">
        <v>7.2316132653633095E-10</v>
      </c>
      <c r="D81" s="2">
        <v>2.9437296172944402E-7</v>
      </c>
      <c r="E81" s="2">
        <v>6.77245681081992E-5</v>
      </c>
      <c r="F81" s="2">
        <v>3.1412139291723002E-3</v>
      </c>
      <c r="G81" s="2">
        <v>0.12786165723005799</v>
      </c>
      <c r="H81" s="15">
        <f t="shared" si="1"/>
        <v>0.12786139164225696</v>
      </c>
      <c r="I81" s="2">
        <v>0.87213860835774304</v>
      </c>
      <c r="J81" s="2">
        <v>0.99685879354733398</v>
      </c>
      <c r="K81" s="2">
        <v>0.99993227559396602</v>
      </c>
      <c r="L81" s="2">
        <v>0.99999854380759801</v>
      </c>
    </row>
    <row r="82" spans="1:12" x14ac:dyDescent="0.25">
      <c r="A82">
        <v>8.1</v>
      </c>
      <c r="B82" s="2">
        <v>4.6581805659917501E-10</v>
      </c>
      <c r="C82" s="2">
        <v>6.6105568348741205E-10</v>
      </c>
      <c r="D82" s="2">
        <v>2.4400162744356202E-7</v>
      </c>
      <c r="E82" s="2">
        <v>6.0066822751743502E-5</v>
      </c>
      <c r="F82" s="2">
        <v>2.92363462135791E-3</v>
      </c>
      <c r="G82" s="2">
        <v>0.125209148825317</v>
      </c>
      <c r="H82" s="15">
        <f t="shared" si="1"/>
        <v>0.12520892575572995</v>
      </c>
      <c r="I82" s="2">
        <v>0.87479107424427005</v>
      </c>
      <c r="J82" s="2">
        <v>0.997076371333388</v>
      </c>
      <c r="K82" s="2">
        <v>0.99993993330029496</v>
      </c>
      <c r="L82" s="2">
        <v>0.99999876892918205</v>
      </c>
    </row>
    <row r="83" spans="1:12" x14ac:dyDescent="0.25">
      <c r="A83">
        <v>8.1999999999999993</v>
      </c>
      <c r="B83" s="2">
        <v>4.6577022492709799E-10</v>
      </c>
      <c r="C83" s="2">
        <v>6.1392910593299098E-10</v>
      </c>
      <c r="D83" s="2">
        <v>2.0226318345269699E-7</v>
      </c>
      <c r="E83" s="2">
        <v>5.3274912293345697E-5</v>
      </c>
      <c r="F83" s="2">
        <v>2.72108503020764E-3</v>
      </c>
      <c r="G83" s="2">
        <v>0.122603933396393</v>
      </c>
      <c r="H83" s="15">
        <f t="shared" si="1"/>
        <v>0.12260374602799096</v>
      </c>
      <c r="I83" s="2">
        <v>0.87739625397200904</v>
      </c>
      <c r="J83" s="2">
        <v>0.99727891971373805</v>
      </c>
      <c r="K83" s="2">
        <v>0.99994672518116001</v>
      </c>
      <c r="L83" s="2">
        <v>0.99999895923684501</v>
      </c>
    </row>
    <row r="84" spans="1:12" x14ac:dyDescent="0.25">
      <c r="A84">
        <v>8.3000000000000007</v>
      </c>
      <c r="B84" s="2">
        <v>4.65736987111719E-10</v>
      </c>
      <c r="C84" s="2">
        <v>5.7816884123950097E-10</v>
      </c>
      <c r="D84" s="2">
        <v>1.67678083788795E-7</v>
      </c>
      <c r="E84" s="2">
        <v>4.7250949761569802E-5</v>
      </c>
      <c r="F84" s="2">
        <v>2.5325324512550599E-3</v>
      </c>
      <c r="G84" s="2">
        <v>0.120045487389688</v>
      </c>
      <c r="H84" s="15">
        <f t="shared" si="1"/>
        <v>0.120045329991746</v>
      </c>
      <c r="I84" s="2">
        <v>0.879954670008254</v>
      </c>
      <c r="J84" s="2">
        <v>0.99746747132933899</v>
      </c>
      <c r="K84" s="2">
        <v>0.99995274912124898</v>
      </c>
      <c r="L84" s="2">
        <v>0.99999912011435299</v>
      </c>
    </row>
    <row r="85" spans="1:12" x14ac:dyDescent="0.25">
      <c r="A85">
        <v>8.4</v>
      </c>
      <c r="B85" s="2">
        <v>4.6571389044189198E-10</v>
      </c>
      <c r="C85" s="2">
        <v>5.5103348453834101E-10</v>
      </c>
      <c r="D85" s="2">
        <v>1.39020353623668E-7</v>
      </c>
      <c r="E85" s="2">
        <v>4.1908112663663202E-5</v>
      </c>
      <c r="F85" s="2">
        <v>2.35701440173057E-3</v>
      </c>
      <c r="G85" s="2">
        <v>0.117533279475155</v>
      </c>
      <c r="H85" s="15">
        <f t="shared" si="1"/>
        <v>0.117533147231354</v>
      </c>
      <c r="I85" s="2">
        <v>0.882466852768646</v>
      </c>
      <c r="J85" s="2">
        <v>0.99764298861239997</v>
      </c>
      <c r="K85" s="2">
        <v>0.99995809194132701</v>
      </c>
      <c r="L85" s="2">
        <v>0.99999925611291196</v>
      </c>
    </row>
    <row r="86" spans="1:12" x14ac:dyDescent="0.25">
      <c r="A86">
        <v>8.5</v>
      </c>
      <c r="B86" s="2">
        <v>4.6569784076664097E-10</v>
      </c>
      <c r="C86" s="2">
        <v>5.3044282140652998E-10</v>
      </c>
      <c r="D86" s="2">
        <v>1.15274131271628E-7</v>
      </c>
      <c r="E86" s="2">
        <v>3.7169392787159402E-5</v>
      </c>
      <c r="F86" s="2">
        <v>2.1936339443202799E-3</v>
      </c>
      <c r="G86" s="2">
        <v>0.11506677124440599</v>
      </c>
      <c r="H86" s="15">
        <f t="shared" si="1"/>
        <v>0.11506666010792799</v>
      </c>
      <c r="I86" s="2">
        <v>0.88493333989207201</v>
      </c>
      <c r="J86" s="2">
        <v>0.99780636845998705</v>
      </c>
      <c r="K86" s="2">
        <v>0.99996283064829194</v>
      </c>
      <c r="L86" s="2">
        <v>0.99999937107991799</v>
      </c>
    </row>
    <row r="87" spans="1:12" x14ac:dyDescent="0.25">
      <c r="A87">
        <v>8.6</v>
      </c>
      <c r="B87" s="2">
        <v>4.6568668798697203E-10</v>
      </c>
      <c r="C87" s="2">
        <v>5.14818357607587E-10</v>
      </c>
      <c r="D87" s="2">
        <v>9.55976581485896E-8</v>
      </c>
      <c r="E87" s="2">
        <v>3.2966487166935199E-5</v>
      </c>
      <c r="F87" s="2">
        <v>2.0415553090338502E-3</v>
      </c>
      <c r="G87" s="2">
        <v>0.11264541789020199</v>
      </c>
      <c r="H87" s="15">
        <f t="shared" si="1"/>
        <v>0.11264532446159303</v>
      </c>
      <c r="I87" s="2">
        <v>0.88735467553840697</v>
      </c>
      <c r="J87" s="2">
        <v>0.99795844661005795</v>
      </c>
      <c r="K87" s="2">
        <v>0.99996703354411598</v>
      </c>
      <c r="L87" s="2">
        <v>0.99999946826779096</v>
      </c>
    </row>
    <row r="88" spans="1:12" x14ac:dyDescent="0.25">
      <c r="A88">
        <v>8.6999999999999993</v>
      </c>
      <c r="B88" s="2">
        <v>4.6567893801758403E-10</v>
      </c>
      <c r="C88" s="2">
        <v>5.0296231088590603E-10</v>
      </c>
      <c r="D88" s="2">
        <v>7.9293440247582994E-8</v>
      </c>
      <c r="E88" s="2">
        <v>2.9238814298786099E-5</v>
      </c>
      <c r="F88" s="2">
        <v>1.8999997959914001E-3</v>
      </c>
      <c r="G88" s="2">
        <v>0.110268668866824</v>
      </c>
      <c r="H88" s="15">
        <f t="shared" si="1"/>
        <v>0.11026859029110503</v>
      </c>
      <c r="I88" s="2">
        <v>0.88973140970889497</v>
      </c>
      <c r="J88" s="2">
        <v>0.99810000173700297</v>
      </c>
      <c r="K88" s="2">
        <v>0.99997076120954898</v>
      </c>
      <c r="L88" s="2">
        <v>0.99999955042598498</v>
      </c>
    </row>
    <row r="89" spans="1:12" x14ac:dyDescent="0.25">
      <c r="A89">
        <v>8.8000000000000007</v>
      </c>
      <c r="B89" s="2">
        <v>4.6567355263149603E-10</v>
      </c>
      <c r="C89" s="2">
        <v>4.9396578830226697E-10</v>
      </c>
      <c r="D89" s="2">
        <v>6.5783523445042498E-8</v>
      </c>
      <c r="E89" s="2">
        <v>2.59326414713326E-5</v>
      </c>
      <c r="F89" s="2">
        <v>1.7682419426750401E-3</v>
      </c>
      <c r="G89" s="2">
        <v>0.10793596853097299</v>
      </c>
      <c r="H89" s="15">
        <f t="shared" si="1"/>
        <v>0.10793590241097994</v>
      </c>
      <c r="I89" s="2">
        <v>0.89206409758902006</v>
      </c>
      <c r="J89" s="2">
        <v>0.99823175928305796</v>
      </c>
      <c r="K89" s="2">
        <v>0.999974067376732</v>
      </c>
      <c r="L89" s="2">
        <v>0.99999961987876895</v>
      </c>
    </row>
    <row r="90" spans="1:12" x14ac:dyDescent="0.25">
      <c r="A90">
        <v>8.9</v>
      </c>
      <c r="B90" s="2">
        <v>4.6566981037376403E-10</v>
      </c>
      <c r="C90" s="2">
        <v>4.8713910996021799E-10</v>
      </c>
      <c r="D90" s="2">
        <v>5.4589006217815801E-8</v>
      </c>
      <c r="E90" s="2">
        <v>2.30003106782962E-5</v>
      </c>
      <c r="F90" s="2">
        <v>1.6456059399339799E-3</v>
      </c>
      <c r="G90" s="2">
        <v>0.105646756762921</v>
      </c>
      <c r="H90" s="15">
        <f t="shared" si="1"/>
        <v>0.105646701086341</v>
      </c>
      <c r="I90" s="2">
        <v>0.894353298913659</v>
      </c>
      <c r="J90" s="2">
        <v>0.99835439504123702</v>
      </c>
      <c r="K90" s="2">
        <v>0.99997699970323695</v>
      </c>
      <c r="L90" s="2">
        <v>0.99999967859097305</v>
      </c>
    </row>
    <row r="91" spans="1:12" x14ac:dyDescent="0.25">
      <c r="A91">
        <v>9</v>
      </c>
      <c r="B91" s="2">
        <v>4.6566720991159899E-10</v>
      </c>
      <c r="C91" s="2">
        <v>4.8195893771669798E-10</v>
      </c>
      <c r="D91" s="2">
        <v>4.53130635519548E-8</v>
      </c>
      <c r="E91" s="2">
        <v>2.03995519851615E-5</v>
      </c>
      <c r="F91" s="2">
        <v>1.5314622817742801E-3</v>
      </c>
      <c r="G91" s="2">
        <v>0.103400469567703</v>
      </c>
      <c r="H91" s="15">
        <f t="shared" si="1"/>
        <v>0.10340042264565097</v>
      </c>
      <c r="I91" s="2">
        <v>0.89659957735434903</v>
      </c>
      <c r="J91" s="2">
        <v>0.99846853850469897</v>
      </c>
      <c r="K91" s="2">
        <v>0.99997960045867196</v>
      </c>
      <c r="L91" s="2">
        <v>0.99999972822358096</v>
      </c>
    </row>
    <row r="92" spans="1:12" x14ac:dyDescent="0.25">
      <c r="A92">
        <v>9.1</v>
      </c>
      <c r="B92" s="2">
        <v>4.6566540287320802E-10</v>
      </c>
      <c r="C92" s="2">
        <v>4.7802815574287395E-10</v>
      </c>
      <c r="D92" s="2">
        <v>3.7626880284451403E-8</v>
      </c>
      <c r="E92" s="2">
        <v>1.8092874477800599E-5</v>
      </c>
      <c r="F92" s="2">
        <v>1.4252246347022E-3</v>
      </c>
      <c r="G92" s="2">
        <v>0.101196539656216</v>
      </c>
      <c r="H92" s="15">
        <f t="shared" si="1"/>
        <v>0.101196500071558</v>
      </c>
      <c r="I92" s="2">
        <v>0.898803499928442</v>
      </c>
      <c r="J92" s="2">
        <v>0.99857477599672795</v>
      </c>
      <c r="K92" s="2">
        <v>0.99998190713370105</v>
      </c>
      <c r="L92" s="2">
        <v>0.99999977018071096</v>
      </c>
    </row>
    <row r="93" spans="1:12" x14ac:dyDescent="0.25">
      <c r="A93">
        <v>9.1999999999999993</v>
      </c>
      <c r="B93" s="2">
        <v>4.6566414717806404E-10</v>
      </c>
      <c r="C93" s="2">
        <v>4.7504542736099403E-10</v>
      </c>
      <c r="D93" s="2">
        <v>3.1257995249483201E-8</v>
      </c>
      <c r="E93" s="2">
        <v>1.6047026033394001E-5</v>
      </c>
      <c r="F93" s="2">
        <v>1.3263469131138701E-3</v>
      </c>
      <c r="G93" s="2">
        <v>9.9034397006195499E-2</v>
      </c>
      <c r="H93" s="15">
        <f t="shared" si="1"/>
        <v>9.9034363570066009E-2</v>
      </c>
      <c r="I93" s="2">
        <v>0.90096563642993399</v>
      </c>
      <c r="J93" s="2">
        <v>0.99867365359480997</v>
      </c>
      <c r="K93" s="2">
        <v>0.99998395298025899</v>
      </c>
      <c r="L93" s="2">
        <v>0.99999980564934199</v>
      </c>
    </row>
    <row r="94" spans="1:12" x14ac:dyDescent="0.25">
      <c r="A94">
        <v>9.3000000000000007</v>
      </c>
      <c r="B94" s="2">
        <v>4.6566327460651704E-10</v>
      </c>
      <c r="C94" s="2">
        <v>4.7278209436936404E-10</v>
      </c>
      <c r="D94" s="2">
        <v>2.59806430566811E-8</v>
      </c>
      <c r="E94" s="2">
        <v>1.42325141417079E-5</v>
      </c>
      <c r="F94" s="2">
        <v>1.23432054793313E-3</v>
      </c>
      <c r="G94" s="2">
        <v>9.69134694030203E-2</v>
      </c>
      <c r="H94" s="15">
        <f t="shared" si="1"/>
        <v>9.6913441118258947E-2</v>
      </c>
      <c r="I94" s="2">
        <v>0.90308655888174105</v>
      </c>
      <c r="J94" s="2">
        <v>0.99876567986156395</v>
      </c>
      <c r="K94" s="2">
        <v>0.999985767490713</v>
      </c>
      <c r="L94" s="2">
        <v>0.99999983563289296</v>
      </c>
    </row>
    <row r="95" spans="1:12" x14ac:dyDescent="0.25">
      <c r="A95">
        <v>9.4</v>
      </c>
      <c r="B95" s="2">
        <v>4.6566266826420401E-10</v>
      </c>
      <c r="C95" s="2">
        <v>4.71064647945371E-10</v>
      </c>
      <c r="D95" s="2">
        <v>2.1607751139517798E-8</v>
      </c>
      <c r="E95" s="2">
        <v>1.26231808813893E-5</v>
      </c>
      <c r="F95" s="2">
        <v>1.1486719363886201E-3</v>
      </c>
      <c r="G95" s="2">
        <v>9.4833182960434401E-2</v>
      </c>
      <c r="H95" s="15">
        <f t="shared" si="1"/>
        <v>9.4833158990840993E-2</v>
      </c>
      <c r="I95" s="2">
        <v>0.90516684100915901</v>
      </c>
      <c r="J95" s="2">
        <v>0.99885132839462698</v>
      </c>
      <c r="K95" s="2">
        <v>0.99998737682287697</v>
      </c>
      <c r="L95" s="2">
        <v>0.99999986097960902</v>
      </c>
    </row>
    <row r="96" spans="1:12" x14ac:dyDescent="0.25">
      <c r="A96">
        <v>9.5</v>
      </c>
      <c r="B96" s="2">
        <v>4.6566224692225297E-10</v>
      </c>
      <c r="C96" s="2">
        <v>4.6976142733605098E-10</v>
      </c>
      <c r="D96" s="2">
        <v>1.79843083868709E-8</v>
      </c>
      <c r="E96" s="2">
        <v>1.11958259339276E-5</v>
      </c>
      <c r="F96" s="2">
        <v>1.06896006148899E-3</v>
      </c>
      <c r="G96" s="2">
        <v>9.2792962621270902E-2</v>
      </c>
      <c r="H96" s="15">
        <f t="shared" si="1"/>
        <v>9.279294226575896E-2</v>
      </c>
      <c r="I96" s="2">
        <v>0.90720705773424104</v>
      </c>
      <c r="J96" s="2">
        <v>0.99893104020690704</v>
      </c>
      <c r="K96" s="2">
        <v>0.99998880417698799</v>
      </c>
      <c r="L96" s="2">
        <v>0.99999988240655602</v>
      </c>
    </row>
    <row r="97" spans="1:12" x14ac:dyDescent="0.25">
      <c r="A97">
        <v>9.6</v>
      </c>
      <c r="B97" s="2">
        <v>4.6566195413543097E-10</v>
      </c>
      <c r="C97" s="2">
        <v>4.6877252664986695E-10</v>
      </c>
      <c r="D97" s="2">
        <v>1.4981870290026301E-8</v>
      </c>
      <c r="E97" s="2">
        <v>9.9298722082834007E-6</v>
      </c>
      <c r="F97" s="2">
        <v>9.9477427039861206E-4</v>
      </c>
      <c r="G97" s="2">
        <v>9.0792232638320605E-2</v>
      </c>
      <c r="H97" s="15">
        <f t="shared" si="1"/>
        <v>9.0792215309199009E-2</v>
      </c>
      <c r="I97" s="2">
        <v>0.90920778469080099</v>
      </c>
      <c r="J97" s="2">
        <v>0.99900522594799601</v>
      </c>
      <c r="K97" s="2">
        <v>0.99999007013007202</v>
      </c>
      <c r="L97" s="2">
        <v>0.99999990051991094</v>
      </c>
    </row>
    <row r="98" spans="1:12" x14ac:dyDescent="0.25">
      <c r="A98">
        <v>9.6999999999999993</v>
      </c>
      <c r="B98" s="2">
        <v>4.6566175068043997E-10</v>
      </c>
      <c r="C98" s="2">
        <v>4.6802213599807199E-10</v>
      </c>
      <c r="D98" s="2">
        <v>1.2494005824113199E-8</v>
      </c>
      <c r="E98" s="2">
        <v>8.8070692617943103E-6</v>
      </c>
      <c r="F98" s="2">
        <v>9.25732201535762E-4</v>
      </c>
      <c r="G98" s="2">
        <v>8.8830417035541606E-2</v>
      </c>
      <c r="H98" s="15">
        <f t="shared" si="1"/>
        <v>8.8830402240266948E-2</v>
      </c>
      <c r="I98" s="2">
        <v>0.91116959775973305</v>
      </c>
      <c r="J98" s="2">
        <v>0.99907426797689403</v>
      </c>
      <c r="K98" s="2">
        <v>0.99999119293252803</v>
      </c>
      <c r="L98" s="2">
        <v>0.99999991583210701</v>
      </c>
    </row>
    <row r="99" spans="1:12" x14ac:dyDescent="0.25">
      <c r="A99">
        <v>9.8000000000000007</v>
      </c>
      <c r="B99" s="2">
        <v>4.6566160930135504E-10</v>
      </c>
      <c r="C99" s="2">
        <v>4.6745272985259904E-10</v>
      </c>
      <c r="D99" s="2">
        <v>1.04325246652723E-8</v>
      </c>
      <c r="E99" s="2">
        <v>7.8112302465167194E-6</v>
      </c>
      <c r="F99" s="2">
        <v>8.6147785080793705E-4</v>
      </c>
      <c r="G99" s="2">
        <v>8.6906940049819498E-2</v>
      </c>
      <c r="H99" s="15">
        <f t="shared" si="1"/>
        <v>8.6906927375669962E-2</v>
      </c>
      <c r="I99" s="2">
        <v>0.91309307262433004</v>
      </c>
      <c r="J99" s="2">
        <v>0.99913852229564304</v>
      </c>
      <c r="K99" s="2">
        <v>0.99999218877116502</v>
      </c>
      <c r="L99" s="2">
        <v>0.99999992877633204</v>
      </c>
    </row>
    <row r="100" spans="1:12" x14ac:dyDescent="0.25">
      <c r="A100">
        <v>9.9</v>
      </c>
      <c r="B100" s="2">
        <v>4.6566151105827102E-10</v>
      </c>
      <c r="C100" s="2">
        <v>4.6702065709613598E-10</v>
      </c>
      <c r="D100" s="2">
        <v>8.7243510060145496E-9</v>
      </c>
      <c r="E100" s="2">
        <v>6.9279985924389202E-6</v>
      </c>
      <c r="F100" s="2">
        <v>8.0167976796611997E-4</v>
      </c>
      <c r="G100" s="2">
        <v>8.5021226553532198E-2</v>
      </c>
      <c r="H100" s="15">
        <f t="shared" si="1"/>
        <v>8.5021215654733973E-2</v>
      </c>
      <c r="I100" s="2">
        <v>0.91497878434526603</v>
      </c>
      <c r="J100" s="2">
        <v>0.99919832035286205</v>
      </c>
      <c r="K100" s="2">
        <v>0.99999307200252896</v>
      </c>
      <c r="L100" s="2">
        <v>0.99999993971878298</v>
      </c>
    </row>
    <row r="101" spans="1:12" x14ac:dyDescent="0.25">
      <c r="A101">
        <v>10</v>
      </c>
      <c r="B101" s="2">
        <v>4.6566144279001602E-10</v>
      </c>
      <c r="C101" s="2">
        <v>4.6669279469460596E-10</v>
      </c>
      <c r="D101" s="2">
        <v>7.3089331517210101E-9</v>
      </c>
      <c r="E101" s="2">
        <v>6.1446410668791297E-6</v>
      </c>
      <c r="F101" s="2">
        <v>7.4602937460041801E-4</v>
      </c>
      <c r="G101" s="2">
        <v>8.3172702458220504E-2</v>
      </c>
      <c r="H101" s="15">
        <f t="shared" si="1"/>
        <v>8.3172693045140966E-2</v>
      </c>
      <c r="I101" s="2">
        <v>0.91682730695485903</v>
      </c>
      <c r="J101" s="2">
        <v>0.99925397072566302</v>
      </c>
      <c r="K101" s="2">
        <v>0.99999385535982899</v>
      </c>
      <c r="L101" s="2">
        <v>0.999999948969027</v>
      </c>
    </row>
    <row r="102" spans="1:12" x14ac:dyDescent="0.25">
      <c r="A102">
        <v>10.1</v>
      </c>
      <c r="B102" s="2">
        <v>4.6566139535100503E-10</v>
      </c>
      <c r="C102" s="2">
        <v>4.6644400846024203E-10</v>
      </c>
      <c r="D102" s="2">
        <v>6.1360970735435304E-9</v>
      </c>
      <c r="E102" s="2">
        <v>5.4498642289936996E-6</v>
      </c>
      <c r="F102" s="2">
        <v>6.9423939581407903E-4</v>
      </c>
      <c r="G102" s="2">
        <v>8.1360795099640199E-2</v>
      </c>
      <c r="H102" s="15">
        <f t="shared" si="1"/>
        <v>8.1360786929715045E-2</v>
      </c>
      <c r="I102" s="2">
        <v>0.91863921307028495</v>
      </c>
      <c r="J102" s="2">
        <v>0.99930576068791299</v>
      </c>
      <c r="K102" s="2">
        <v>0.99999455013649297</v>
      </c>
      <c r="L102" s="2">
        <v>0.99999995678875697</v>
      </c>
    </row>
    <row r="103" spans="1:12" x14ac:dyDescent="0.25">
      <c r="A103">
        <v>10.199999999999999</v>
      </c>
      <c r="B103" s="2">
        <v>4.6566136238605395E-10</v>
      </c>
      <c r="C103" s="2">
        <v>4.6625522624557801E-10</v>
      </c>
      <c r="D103" s="2">
        <v>5.1642678302967904E-9</v>
      </c>
      <c r="E103" s="2">
        <v>4.83365163509166E-6</v>
      </c>
      <c r="F103" s="2">
        <v>6.4604239810080503E-4</v>
      </c>
      <c r="G103" s="2">
        <v>7.9584933604553099E-2</v>
      </c>
      <c r="H103" s="15">
        <f t="shared" si="1"/>
        <v>7.9584926474674966E-2</v>
      </c>
      <c r="I103" s="2">
        <v>0.92041507352532503</v>
      </c>
      <c r="J103" s="2">
        <v>0.99935395767229995</v>
      </c>
      <c r="K103" s="2">
        <v>0.99999516634895103</v>
      </c>
      <c r="L103" s="2">
        <v>0.99999996339919694</v>
      </c>
    </row>
    <row r="104" spans="1:12" x14ac:dyDescent="0.25">
      <c r="A104">
        <v>10.3</v>
      </c>
      <c r="B104" s="2">
        <v>4.6566133947899998E-10</v>
      </c>
      <c r="C104" s="2">
        <v>4.6611197585797403E-10</v>
      </c>
      <c r="D104" s="2">
        <v>4.3589958121438897E-9</v>
      </c>
      <c r="E104" s="2">
        <v>4.2871194492098801E-6</v>
      </c>
      <c r="F104" s="2">
        <v>6.0118942641414804E-4</v>
      </c>
      <c r="G104" s="2">
        <v>7.7844549239602698E-2</v>
      </c>
      <c r="H104" s="15">
        <f t="shared" si="1"/>
        <v>7.7844542979732978E-2</v>
      </c>
      <c r="I104" s="2">
        <v>0.92215545702026702</v>
      </c>
      <c r="J104" s="2">
        <v>0.999398810633218</v>
      </c>
      <c r="K104" s="2">
        <v>0.99999571288102995</v>
      </c>
      <c r="L104" s="2">
        <v>0.99999996898735699</v>
      </c>
    </row>
    <row r="105" spans="1:12" x14ac:dyDescent="0.25">
      <c r="A105">
        <v>10.4</v>
      </c>
      <c r="B105" s="2">
        <v>4.6566132356108896E-10</v>
      </c>
      <c r="C105" s="2">
        <v>4.6600327561017904E-10</v>
      </c>
      <c r="D105" s="2">
        <v>3.6917355641982601E-9</v>
      </c>
      <c r="E105" s="2">
        <v>3.8023883784367799E-6</v>
      </c>
      <c r="F105" s="2">
        <v>5.5944873385563201E-4</v>
      </c>
      <c r="G105" s="2">
        <v>7.6139075742637993E-2</v>
      </c>
      <c r="H105" s="15">
        <f t="shared" si="1"/>
        <v>7.6139070210446969E-2</v>
      </c>
      <c r="I105" s="2">
        <v>0.92386092978955303</v>
      </c>
      <c r="J105" s="2">
        <v>0.99944055131704801</v>
      </c>
      <c r="K105" s="2">
        <v>0.99999619761201697</v>
      </c>
      <c r="L105" s="2">
        <v>0.99999997371132998</v>
      </c>
    </row>
    <row r="106" spans="1:12" x14ac:dyDescent="0.25">
      <c r="A106">
        <v>10.5</v>
      </c>
      <c r="B106" s="2">
        <v>4.6566131249987295E-10</v>
      </c>
      <c r="C106" s="2">
        <v>4.6592079245567402E-10</v>
      </c>
      <c r="D106" s="2">
        <v>3.1388339016288899E-9</v>
      </c>
      <c r="E106" s="2">
        <v>3.3724700875743099E-6</v>
      </c>
      <c r="F106" s="2">
        <v>5.2060459782270402E-4</v>
      </c>
      <c r="G106" s="2">
        <v>7.44679496368649E-2</v>
      </c>
      <c r="H106" s="15">
        <f t="shared" si="1"/>
        <v>7.4467944713238032E-2</v>
      </c>
      <c r="I106" s="2">
        <v>0.92553205528676197</v>
      </c>
      <c r="J106" s="2">
        <v>0.99947939544598097</v>
      </c>
      <c r="K106" s="2">
        <v>0.99999662753024099</v>
      </c>
      <c r="L106" s="2">
        <v>0.99999997770475901</v>
      </c>
    </row>
    <row r="107" spans="1:12" x14ac:dyDescent="0.25">
      <c r="A107">
        <v>10.6</v>
      </c>
      <c r="B107" s="2">
        <v>4.65661304813531E-10</v>
      </c>
      <c r="C107" s="2">
        <v>4.6585820317086404E-10</v>
      </c>
      <c r="D107" s="2">
        <v>2.68069144683175E-9</v>
      </c>
      <c r="E107" s="2">
        <v>2.99116645628237E-6</v>
      </c>
      <c r="F107" s="2">
        <v>4.8445621684896101E-4</v>
      </c>
      <c r="G107" s="2">
        <v>7.2830610528245701E-2</v>
      </c>
      <c r="H107" s="15">
        <f t="shared" si="1"/>
        <v>7.2830606113514995E-2</v>
      </c>
      <c r="I107" s="2">
        <v>0.927169393886485</v>
      </c>
      <c r="J107" s="2">
        <v>0.99951554382115704</v>
      </c>
      <c r="K107" s="2">
        <v>0.99999700883382003</v>
      </c>
      <c r="L107" s="2">
        <v>0.99999998108061905</v>
      </c>
    </row>
    <row r="108" spans="1:12" x14ac:dyDescent="0.25">
      <c r="A108">
        <v>10.7</v>
      </c>
      <c r="B108" s="2">
        <v>4.6566129947236002E-10</v>
      </c>
      <c r="C108" s="2">
        <v>4.6581070961181802E-10</v>
      </c>
      <c r="D108" s="2">
        <v>2.301067866711E-9</v>
      </c>
      <c r="E108" s="2">
        <v>2.6529802268460998E-6</v>
      </c>
      <c r="F108" s="2">
        <v>4.5081668273787501E-4</v>
      </c>
      <c r="G108" s="2">
        <v>7.12265013865261E-2</v>
      </c>
      <c r="H108" s="15">
        <f t="shared" si="1"/>
        <v>7.122649739730802E-2</v>
      </c>
      <c r="I108" s="2">
        <v>0.92877350260269198</v>
      </c>
      <c r="J108" s="2">
        <v>0.99954918335051102</v>
      </c>
      <c r="K108" s="2">
        <v>0.99999734702000698</v>
      </c>
      <c r="L108" s="2">
        <v>0.99999998393441603</v>
      </c>
    </row>
    <row r="109" spans="1:12" x14ac:dyDescent="0.25">
      <c r="A109">
        <v>10.8</v>
      </c>
      <c r="B109" s="2">
        <v>4.6566129576082698E-10</v>
      </c>
      <c r="C109" s="2">
        <v>4.6577467088481303E-10</v>
      </c>
      <c r="D109" s="2">
        <v>1.9865061820100902E-9</v>
      </c>
      <c r="E109" s="2">
        <v>2.3530357548040402E-6</v>
      </c>
      <c r="F109" s="2">
        <v>4.1951202293866201E-4</v>
      </c>
      <c r="G109" s="2">
        <v>6.9655068810321505E-2</v>
      </c>
      <c r="H109" s="15">
        <f t="shared" si="1"/>
        <v>6.9655065176877029E-2</v>
      </c>
      <c r="I109" s="2">
        <v>0.93034493482312297</v>
      </c>
      <c r="J109" s="2">
        <v>0.99958048800638599</v>
      </c>
      <c r="K109" s="2">
        <v>0.99999764696444504</v>
      </c>
      <c r="L109" s="2">
        <v>0.99999998634688403</v>
      </c>
    </row>
    <row r="110" spans="1:12" x14ac:dyDescent="0.25">
      <c r="A110">
        <v>10.9</v>
      </c>
      <c r="B110" s="2">
        <v>4.6566129318171598E-10</v>
      </c>
      <c r="C110" s="2">
        <v>4.6574732423256803E-10</v>
      </c>
      <c r="D110" s="2">
        <v>1.72585574151176E-9</v>
      </c>
      <c r="E110" s="2">
        <v>2.0870087202351901E-6</v>
      </c>
      <c r="F110" s="2">
        <v>3.9038030844010599E-4</v>
      </c>
      <c r="G110" s="2">
        <v>6.8115763276703406E-2</v>
      </c>
      <c r="H110" s="15">
        <f t="shared" si="1"/>
        <v>6.8115759940705956E-2</v>
      </c>
      <c r="I110" s="2">
        <v>0.93188424005929404</v>
      </c>
      <c r="J110" s="2">
        <v>0.99960961971762996</v>
      </c>
      <c r="K110" s="2">
        <v>0.99999791299145102</v>
      </c>
      <c r="L110" s="2">
        <v>0.99999998838627302</v>
      </c>
    </row>
    <row r="111" spans="1:12" x14ac:dyDescent="0.25">
      <c r="A111">
        <v>11</v>
      </c>
      <c r="B111" s="2">
        <v>4.65661291389514E-10</v>
      </c>
      <c r="C111" s="2">
        <v>4.6572657323910499E-10</v>
      </c>
      <c r="D111" s="2">
        <v>1.50987695141254E-9</v>
      </c>
      <c r="E111" s="2">
        <v>1.85106378661289E-6</v>
      </c>
      <c r="F111" s="2">
        <v>3.63270822765433E-4</v>
      </c>
      <c r="G111" s="2">
        <v>6.6608039375678302E-2</v>
      </c>
      <c r="H111" s="15">
        <f t="shared" si="1"/>
        <v>6.6608036288362982E-2</v>
      </c>
      <c r="I111" s="2">
        <v>0.93339196371163702</v>
      </c>
      <c r="J111" s="2">
        <v>0.99963672920058799</v>
      </c>
      <c r="K111" s="2">
        <v>0.99999814893636196</v>
      </c>
      <c r="L111" s="2">
        <v>0.99999999011027896</v>
      </c>
    </row>
    <row r="112" spans="1:12" x14ac:dyDescent="0.25">
      <c r="A112">
        <v>11.1</v>
      </c>
      <c r="B112" s="2">
        <v>4.6566129014412803E-10</v>
      </c>
      <c r="C112" s="2">
        <v>4.6571082711685299E-10</v>
      </c>
      <c r="D112" s="2">
        <v>1.3309137482465E-9</v>
      </c>
      <c r="E112" s="2">
        <v>1.64179930865789E-6</v>
      </c>
      <c r="F112" s="2">
        <v>3.3804328794030902E-4</v>
      </c>
      <c r="G112" s="2">
        <v>6.5131356030027607E-2</v>
      </c>
      <c r="H112" s="15">
        <f t="shared" si="1"/>
        <v>6.5131353150629012E-2</v>
      </c>
      <c r="I112" s="2">
        <v>0.93486864684937099</v>
      </c>
      <c r="J112" s="2">
        <v>0.99966195673312896</v>
      </c>
      <c r="K112" s="2">
        <v>0.99999835820081995</v>
      </c>
      <c r="L112" s="2">
        <v>0.99999999156767305</v>
      </c>
    </row>
    <row r="113" spans="1:12" x14ac:dyDescent="0.25">
      <c r="A113">
        <v>11.2</v>
      </c>
      <c r="B113" s="2">
        <v>4.6566128927872103E-10</v>
      </c>
      <c r="C113" s="2">
        <v>4.6569887875562002E-10</v>
      </c>
      <c r="D113" s="2">
        <v>1.18262220511637E-9</v>
      </c>
      <c r="E113" s="2">
        <v>1.4561982922011501E-6</v>
      </c>
      <c r="F113" s="2">
        <v>3.1456714357719102E-4</v>
      </c>
      <c r="G113" s="2">
        <v>6.36851767009326E-2</v>
      </c>
      <c r="H113" s="15">
        <f t="shared" si="1"/>
        <v>6.3685173995381983E-2</v>
      </c>
      <c r="I113" s="2">
        <v>0.93631482600461802</v>
      </c>
      <c r="J113" s="2">
        <v>0.999685432875559</v>
      </c>
      <c r="K113" s="2">
        <v>0.99999854380182096</v>
      </c>
      <c r="L113" s="2">
        <v>0.99999999279968799</v>
      </c>
    </row>
    <row r="114" spans="1:12" x14ac:dyDescent="0.25">
      <c r="A114">
        <v>11.3</v>
      </c>
      <c r="B114" s="2">
        <v>4.65661288677357E-10</v>
      </c>
      <c r="C114" s="2">
        <v>4.6568981218457402E-10</v>
      </c>
      <c r="D114" s="2">
        <v>1.0597456508136099E-9</v>
      </c>
      <c r="E114" s="2">
        <v>1.29158489916816E-6</v>
      </c>
      <c r="F114" s="2">
        <v>2.9272087547371599E-4</v>
      </c>
      <c r="G114" s="2">
        <v>6.2268969579828998E-2</v>
      </c>
      <c r="H114" s="15">
        <f t="shared" si="1"/>
        <v>6.2268967019661003E-2</v>
      </c>
      <c r="I114" s="2">
        <v>0.937731032980339</v>
      </c>
      <c r="J114" s="2">
        <v>0.99970727914201196</v>
      </c>
      <c r="K114" s="2">
        <v>0.9999987084152</v>
      </c>
      <c r="L114" s="2">
        <v>0.99999999384117499</v>
      </c>
    </row>
    <row r="115" spans="1:12" x14ac:dyDescent="0.25">
      <c r="A115">
        <v>11.4</v>
      </c>
      <c r="B115" s="2">
        <v>4.6566128825947497E-10</v>
      </c>
      <c r="C115" s="2">
        <v>4.6568293235319795E-10</v>
      </c>
      <c r="D115" s="2">
        <v>9.5792833020551801E-10</v>
      </c>
      <c r="E115" s="2">
        <v>1.1455858707120901E-6</v>
      </c>
      <c r="F115" s="2">
        <v>2.7239139036123002E-4</v>
      </c>
      <c r="G115" s="2">
        <v>6.08822077669217E-2</v>
      </c>
      <c r="H115" s="15">
        <f t="shared" si="1"/>
        <v>6.0882205328354977E-2</v>
      </c>
      <c r="I115" s="2">
        <v>0.93911779467164502</v>
      </c>
      <c r="J115" s="2">
        <v>0.99972760862570398</v>
      </c>
      <c r="K115" s="2">
        <v>0.99999885441421699</v>
      </c>
      <c r="L115" s="2">
        <v>0.99999999472160095</v>
      </c>
    </row>
    <row r="116" spans="1:12" x14ac:dyDescent="0.25">
      <c r="A116">
        <v>11.5</v>
      </c>
      <c r="B116" s="2">
        <v>4.6566128796909197E-10</v>
      </c>
      <c r="C116" s="2">
        <v>4.6567771184816905E-10</v>
      </c>
      <c r="D116" s="2">
        <v>8.7356100048539304E-10</v>
      </c>
      <c r="E116" s="2">
        <v>1.01609631240674E-6</v>
      </c>
      <c r="F116" s="2">
        <v>2.5347343366334302E-4</v>
      </c>
      <c r="G116" s="2">
        <v>5.9524369436803601E-2</v>
      </c>
      <c r="H116" s="15">
        <f t="shared" si="1"/>
        <v>5.952436709998099E-2</v>
      </c>
      <c r="I116" s="2">
        <v>0.94047563290001901</v>
      </c>
      <c r="J116" s="2">
        <v>0.99974652658117102</v>
      </c>
      <c r="K116" s="2">
        <v>0.99999898390376596</v>
      </c>
      <c r="L116" s="2">
        <v>0.99999999546587304</v>
      </c>
    </row>
    <row r="117" spans="1:12" x14ac:dyDescent="0.25">
      <c r="A117">
        <v>11.6</v>
      </c>
      <c r="B117" s="2">
        <v>4.6566128776730798E-10</v>
      </c>
      <c r="C117" s="2">
        <v>4.6567375046143398E-10</v>
      </c>
      <c r="D117" s="2">
        <v>8.0365298995037102E-10</v>
      </c>
      <c r="E117" s="2">
        <v>9.0124934828129595E-7</v>
      </c>
      <c r="F117" s="2">
        <v>2.3586904733352299E-4</v>
      </c>
      <c r="G117" s="2">
        <v>5.8194937991627102E-2</v>
      </c>
      <c r="H117" s="15">
        <f t="shared" si="1"/>
        <v>5.8194935739969034E-2</v>
      </c>
      <c r="I117" s="2">
        <v>0.94180506426003097</v>
      </c>
      <c r="J117" s="2">
        <v>0.99976413096642303</v>
      </c>
      <c r="K117" s="2">
        <v>0.99999909875072202</v>
      </c>
      <c r="L117" s="2">
        <v>0.99999999609504497</v>
      </c>
    </row>
    <row r="118" spans="1:12" x14ac:dyDescent="0.25">
      <c r="A118">
        <v>11.7</v>
      </c>
      <c r="B118" s="2">
        <v>4.6566128762708898E-10</v>
      </c>
      <c r="C118" s="2">
        <v>4.6567074450994596E-10</v>
      </c>
      <c r="D118" s="2">
        <v>7.4572618401986101E-10</v>
      </c>
      <c r="E118" s="2">
        <v>7.9938920624258795E-7</v>
      </c>
      <c r="F118" s="2">
        <v>2.1948706503682199E-4</v>
      </c>
      <c r="G118" s="2">
        <v>5.6893402202230103E-2</v>
      </c>
      <c r="H118" s="15">
        <f t="shared" si="1"/>
        <v>5.6893400021901019E-2</v>
      </c>
      <c r="I118" s="2">
        <v>0.94310659997809898</v>
      </c>
      <c r="J118" s="2">
        <v>0.99978051294777004</v>
      </c>
      <c r="K118" s="2">
        <v>0.99999920061085601</v>
      </c>
      <c r="L118" s="2">
        <v>0.99999999662691896</v>
      </c>
    </row>
    <row r="119" spans="1:12" x14ac:dyDescent="0.25">
      <c r="A119">
        <v>11.8</v>
      </c>
      <c r="B119" s="2">
        <v>4.65661287529653E-10</v>
      </c>
      <c r="C119" s="2">
        <v>4.65668463555081E-10</v>
      </c>
      <c r="D119" s="2">
        <v>6.9772718048908003E-10</v>
      </c>
      <c r="E119" s="2">
        <v>7.09047346891151E-7</v>
      </c>
      <c r="F119" s="2">
        <v>2.0424264212426699E-4</v>
      </c>
      <c r="G119" s="2">
        <v>5.5619256337693497E-2</v>
      </c>
      <c r="H119" s="15">
        <f t="shared" si="1"/>
        <v>5.561925421715197E-2</v>
      </c>
      <c r="I119" s="2">
        <v>0.94438074578284803</v>
      </c>
      <c r="J119" s="2">
        <v>0.99979575736983795</v>
      </c>
      <c r="K119" s="2">
        <v>0.99999929095270901</v>
      </c>
      <c r="L119" s="2">
        <v>0.99999999707653997</v>
      </c>
    </row>
    <row r="120" spans="1:12" x14ac:dyDescent="0.25">
      <c r="A120">
        <v>11.9</v>
      </c>
      <c r="B120" s="2">
        <v>4.6566128746194496E-10</v>
      </c>
      <c r="C120" s="2">
        <v>4.6566673273703003E-10</v>
      </c>
      <c r="D120" s="2">
        <v>6.5795450007855297E-10</v>
      </c>
      <c r="E120" s="2">
        <v>6.2892129160543E-7</v>
      </c>
      <c r="F120" s="2">
        <v>1.9005681801992301E-4</v>
      </c>
      <c r="G120" s="2">
        <v>5.4372000283708297E-2</v>
      </c>
      <c r="H120" s="15">
        <f t="shared" si="1"/>
        <v>5.4371998213329054E-2</v>
      </c>
      <c r="I120" s="2">
        <v>0.94562800178667095</v>
      </c>
      <c r="J120" s="2">
        <v>0.99980994319318495</v>
      </c>
      <c r="K120" s="2">
        <v>0.99999937107875903</v>
      </c>
      <c r="L120" s="2">
        <v>0.99999999745662904</v>
      </c>
    </row>
    <row r="121" spans="1:12" x14ac:dyDescent="0.25">
      <c r="A121">
        <v>12</v>
      </c>
      <c r="B121" s="2">
        <v>4.6566128741489503E-10</v>
      </c>
      <c r="C121" s="2">
        <v>4.6566541936990796E-10</v>
      </c>
      <c r="D121" s="2">
        <v>6.2499827202372204E-10</v>
      </c>
      <c r="E121" s="2">
        <v>5.5785584467824099E-7</v>
      </c>
      <c r="F121" s="2">
        <v>1.7685610880100599E-4</v>
      </c>
      <c r="G121" s="2">
        <v>5.3151139650210101E-2</v>
      </c>
      <c r="H121" s="15">
        <f t="shared" si="1"/>
        <v>5.3151137621971989E-2</v>
      </c>
      <c r="I121" s="2">
        <v>0.94684886237802801</v>
      </c>
      <c r="J121" s="2">
        <v>0.999823143901722</v>
      </c>
      <c r="K121" s="2">
        <v>0.999999442144201</v>
      </c>
      <c r="L121" s="2">
        <v>0.99999999777793902</v>
      </c>
    </row>
    <row r="122" spans="1:12" x14ac:dyDescent="0.25">
      <c r="A122">
        <v>12.1</v>
      </c>
      <c r="B122" s="2">
        <v>4.6566128738220102E-10</v>
      </c>
      <c r="C122" s="2">
        <v>4.6566442276995104E-10</v>
      </c>
      <c r="D122" s="2">
        <v>5.9769025666659598E-10</v>
      </c>
      <c r="E122" s="2">
        <v>4.9482643879958395E-7</v>
      </c>
      <c r="F122" s="2">
        <v>1.64572127901359E-4</v>
      </c>
      <c r="G122" s="2">
        <v>5.1956185868669798E-2</v>
      </c>
      <c r="H122" s="15">
        <f t="shared" si="1"/>
        <v>5.1956183875891959E-2</v>
      </c>
      <c r="I122" s="2">
        <v>0.94804381612410804</v>
      </c>
      <c r="J122" s="2">
        <v>0.99983542788200097</v>
      </c>
      <c r="K122" s="2">
        <v>0.99999950517360203</v>
      </c>
      <c r="L122" s="2">
        <v>0.99999999804955997</v>
      </c>
    </row>
    <row r="123" spans="1:12" x14ac:dyDescent="0.25">
      <c r="A123">
        <v>12.2</v>
      </c>
      <c r="B123" s="2">
        <v>4.6566128735948199E-10</v>
      </c>
      <c r="C123" s="2">
        <v>4.6566366653701398E-10</v>
      </c>
      <c r="D123" s="2">
        <v>5.7506243343956003E-10</v>
      </c>
      <c r="E123" s="2">
        <v>4.3892436378859198E-7</v>
      </c>
      <c r="F123" s="2">
        <v>1.53141233008685E-4</v>
      </c>
      <c r="G123" s="2">
        <v>5.0786656279475401E-2</v>
      </c>
      <c r="H123" s="15">
        <f t="shared" si="1"/>
        <v>5.0786654316597013E-2</v>
      </c>
      <c r="I123" s="2">
        <v>0.94921334568340299</v>
      </c>
      <c r="J123" s="2">
        <v>0.99984685877632695</v>
      </c>
      <c r="K123" s="2">
        <v>0.999999561075673</v>
      </c>
      <c r="L123" s="2">
        <v>0.99999999827917496</v>
      </c>
    </row>
    <row r="124" spans="1:12" x14ac:dyDescent="0.25">
      <c r="A124">
        <v>12.3</v>
      </c>
      <c r="B124" s="2">
        <v>4.6566128734369504E-10</v>
      </c>
      <c r="C124" s="2">
        <v>4.65663092697682E-10</v>
      </c>
      <c r="D124" s="2">
        <v>5.5631268625923998E-10</v>
      </c>
      <c r="E124" s="2">
        <v>3.8934366562545302E-7</v>
      </c>
      <c r="F124" s="2">
        <v>1.4250419735668899E-4</v>
      </c>
      <c r="G124" s="2">
        <v>4.9642074209778203E-2</v>
      </c>
      <c r="H124" s="15">
        <f t="shared" si="1"/>
        <v>4.9642072272175986E-2</v>
      </c>
      <c r="I124" s="2">
        <v>0.95035792772782401</v>
      </c>
      <c r="J124" s="2">
        <v>0.999857495811459</v>
      </c>
      <c r="K124" s="2">
        <v>0.999999610656368</v>
      </c>
      <c r="L124" s="2">
        <v>0.99999999847328103</v>
      </c>
    </row>
    <row r="125" spans="1:12" x14ac:dyDescent="0.25">
      <c r="A125">
        <v>12.4</v>
      </c>
      <c r="B125" s="2">
        <v>4.6566128733272497E-10</v>
      </c>
      <c r="C125" s="2">
        <v>4.6566265726097595E-10</v>
      </c>
      <c r="D125" s="2">
        <v>5.40776369938869E-10</v>
      </c>
      <c r="E125" s="2">
        <v>3.4536952691256402E-7</v>
      </c>
      <c r="F125" s="2">
        <v>1.3260590373551901E-4</v>
      </c>
      <c r="G125" s="2">
        <v>4.8521969042221003E-2</v>
      </c>
      <c r="H125" s="15">
        <f t="shared" si="1"/>
        <v>4.8521967126052945E-2</v>
      </c>
      <c r="I125" s="2">
        <v>0.95147803287394705</v>
      </c>
      <c r="J125" s="2">
        <v>0.99986739410459902</v>
      </c>
      <c r="K125" s="2">
        <v>0.999999654630503</v>
      </c>
      <c r="L125" s="2">
        <v>0.99999999863736999</v>
      </c>
    </row>
    <row r="126" spans="1:12" x14ac:dyDescent="0.25">
      <c r="A126">
        <v>12.5</v>
      </c>
      <c r="B126" s="2">
        <v>4.6566128732510095E-10</v>
      </c>
      <c r="C126" s="2">
        <v>4.6566232684597197E-10</v>
      </c>
      <c r="D126" s="2">
        <v>5.2790274969914599E-10</v>
      </c>
      <c r="E126" s="2">
        <v>3.0636796125032298E-7</v>
      </c>
      <c r="F126" s="2">
        <v>1.2339505965790499E-4</v>
      </c>
      <c r="G126" s="2">
        <v>4.7425876274925297E-2</v>
      </c>
      <c r="H126" s="15">
        <f t="shared" si="1"/>
        <v>4.742587437700696E-2</v>
      </c>
      <c r="I126" s="2">
        <v>0.95257412562299304</v>
      </c>
      <c r="J126" s="2">
        <v>0.99987660494823005</v>
      </c>
      <c r="K126" s="2">
        <v>0.99999969363206598</v>
      </c>
      <c r="L126" s="2">
        <v>0.99999999877608303</v>
      </c>
    </row>
    <row r="127" spans="1:12" x14ac:dyDescent="0.25">
      <c r="A127">
        <v>12.6</v>
      </c>
      <c r="B127" s="2">
        <v>4.65661287319804E-10</v>
      </c>
      <c r="C127" s="2">
        <v>4.6566207612279404E-10</v>
      </c>
      <c r="D127" s="2">
        <v>5.1723547860025302E-10</v>
      </c>
      <c r="E127" s="2">
        <v>2.7177667295454002E-7</v>
      </c>
      <c r="F127" s="2">
        <v>1.14823932224907E-4</v>
      </c>
      <c r="G127" s="2">
        <v>4.6353337573119997E-2</v>
      </c>
      <c r="H127" s="15">
        <f t="shared" si="1"/>
        <v>4.6353335690811015E-2</v>
      </c>
      <c r="I127" s="2">
        <v>0.95364666430918898</v>
      </c>
      <c r="J127" s="2">
        <v>0.99988517607524796</v>
      </c>
      <c r="K127" s="2">
        <v>0.99999972822335204</v>
      </c>
      <c r="L127" s="2">
        <v>0.99999999889334401</v>
      </c>
    </row>
    <row r="128" spans="1:12" x14ac:dyDescent="0.25">
      <c r="A128">
        <v>12.7</v>
      </c>
      <c r="B128" s="2">
        <v>4.6566128731612304E-10</v>
      </c>
      <c r="C128" s="2">
        <v>4.6566188587080399E-10</v>
      </c>
      <c r="D128" s="2">
        <v>5.0839642085476998E-10</v>
      </c>
      <c r="E128" s="2">
        <v>2.4109695034205198E-7</v>
      </c>
      <c r="F128" s="2">
        <v>1.06848101334454E-4</v>
      </c>
      <c r="G128" s="2">
        <v>4.53039008127753E-2</v>
      </c>
      <c r="H128" s="15">
        <f t="shared" si="1"/>
        <v>4.5303898943890974E-2</v>
      </c>
      <c r="I128" s="2">
        <v>0.95469610105610903</v>
      </c>
      <c r="J128" s="2">
        <v>0.99989315190575001</v>
      </c>
      <c r="K128" s="2">
        <v>0.99999975890307202</v>
      </c>
      <c r="L128" s="2">
        <v>0.99999999899247105</v>
      </c>
    </row>
    <row r="129" spans="1:12" x14ac:dyDescent="0.25">
      <c r="A129">
        <v>12.8</v>
      </c>
      <c r="B129" s="2">
        <v>4.6566128731356499E-10</v>
      </c>
      <c r="C129" s="2">
        <v>4.65661741505133E-10</v>
      </c>
      <c r="D129" s="2">
        <v>5.01072247586735E-10</v>
      </c>
      <c r="E129" s="2">
        <v>2.1388647571142299E-7</v>
      </c>
      <c r="F129" s="2">
        <v>9.9426229968603506E-5</v>
      </c>
      <c r="G129" s="2">
        <v>4.4277120116614603E-2</v>
      </c>
      <c r="H129" s="15">
        <f t="shared" si="1"/>
        <v>4.4277118259353987E-2</v>
      </c>
      <c r="I129" s="2">
        <v>0.95572288174064601</v>
      </c>
      <c r="J129" s="2">
        <v>0.99990057377675301</v>
      </c>
      <c r="K129" s="2">
        <v>0.99999978611354501</v>
      </c>
      <c r="L129" s="2">
        <v>0.99999999907626902</v>
      </c>
    </row>
    <row r="130" spans="1:12" x14ac:dyDescent="0.25">
      <c r="A130">
        <v>12.9</v>
      </c>
      <c r="B130" s="2">
        <v>4.65661287311788E-10</v>
      </c>
      <c r="C130" s="2">
        <v>4.6566163195859499E-10</v>
      </c>
      <c r="D130" s="2">
        <v>4.9500332988040405E-10</v>
      </c>
      <c r="E130" s="2">
        <v>1.8975294836113799E-7</v>
      </c>
      <c r="F130" s="2">
        <v>9.2519850381854004E-5</v>
      </c>
      <c r="G130" s="2">
        <v>4.3272555882850602E-2</v>
      </c>
      <c r="H130" s="15">
        <f t="shared" si="1"/>
        <v>4.3272554035734045E-2</v>
      </c>
      <c r="I130" s="2">
        <v>0.95672744596426595</v>
      </c>
      <c r="J130" s="2">
        <v>0.99990748015599795</v>
      </c>
      <c r="K130" s="2">
        <v>0.99999981024706996</v>
      </c>
      <c r="L130" s="2">
        <v>0.99999999914710802</v>
      </c>
    </row>
    <row r="131" spans="1:12" x14ac:dyDescent="0.25">
      <c r="A131">
        <v>13</v>
      </c>
      <c r="B131" s="2">
        <v>4.6566128731055198E-10</v>
      </c>
      <c r="C131" s="2">
        <v>4.6566154883326599E-10</v>
      </c>
      <c r="D131" s="2">
        <v>4.8997453539702597E-10</v>
      </c>
      <c r="E131" s="2">
        <v>1.68348428708762E-7</v>
      </c>
      <c r="F131" s="2">
        <v>8.6093165093532694E-5</v>
      </c>
      <c r="G131" s="2">
        <v>4.2289774806992399E-2</v>
      </c>
      <c r="H131" s="15">
        <f t="shared" ref="H131:H194" si="2">1-I131</f>
        <v>4.2289772968802986E-2</v>
      </c>
      <c r="I131" s="2">
        <v>0.95771022703119701</v>
      </c>
      <c r="J131" s="2">
        <v>0.99991390684096404</v>
      </c>
      <c r="K131" s="2">
        <v>0.99999983165158801</v>
      </c>
      <c r="L131" s="2">
        <v>0.99999999920699201</v>
      </c>
    </row>
    <row r="132" spans="1:12" x14ac:dyDescent="0.25">
      <c r="A132">
        <v>13.1</v>
      </c>
      <c r="B132" s="2">
        <v>4.6566128730969399E-10</v>
      </c>
      <c r="C132" s="2">
        <v>4.6566148575669099E-10</v>
      </c>
      <c r="D132" s="2">
        <v>4.8580760231612501E-10</v>
      </c>
      <c r="E132" s="2">
        <v>1.49364321970473E-7</v>
      </c>
      <c r="F132" s="2">
        <v>8.0112861662404495E-5</v>
      </c>
      <c r="G132" s="2">
        <v>4.1328349897058199E-2</v>
      </c>
      <c r="H132" s="15">
        <f t="shared" si="2"/>
        <v>4.1328348066803966E-2</v>
      </c>
      <c r="I132" s="2">
        <v>0.95867165193319603</v>
      </c>
      <c r="J132" s="2">
        <v>0.99991988714409197</v>
      </c>
      <c r="K132" s="2">
        <v>0.99999985063569297</v>
      </c>
      <c r="L132" s="2">
        <v>0.99999999925761496</v>
      </c>
    </row>
    <row r="133" spans="1:12" x14ac:dyDescent="0.25">
      <c r="A133">
        <v>13.2</v>
      </c>
      <c r="B133" s="2">
        <v>4.6566128730909801E-10</v>
      </c>
      <c r="C133" s="2">
        <v>4.6566143789337005E-10</v>
      </c>
      <c r="D133" s="2">
        <v>4.8235482027104202E-10</v>
      </c>
      <c r="E133" s="2">
        <v>1.3252692908058699E-7</v>
      </c>
      <c r="F133" s="2">
        <v>7.4547940291785599E-5</v>
      </c>
      <c r="G133" s="2">
        <v>4.0387860482524497E-2</v>
      </c>
      <c r="H133" s="15">
        <f t="shared" si="2"/>
        <v>4.0387858659401976E-2</v>
      </c>
      <c r="I133" s="2">
        <v>0.95961214134059802</v>
      </c>
      <c r="J133" s="2">
        <v>0.99992545206517702</v>
      </c>
      <c r="K133" s="2">
        <v>0.999999867473085</v>
      </c>
      <c r="L133" s="2">
        <v>0.99999999930040895</v>
      </c>
    </row>
    <row r="134" spans="1:12" x14ac:dyDescent="0.25">
      <c r="A134">
        <v>13.3</v>
      </c>
      <c r="B134" s="2">
        <v>4.6566128730868297E-10</v>
      </c>
      <c r="C134" s="2">
        <v>4.6566140157406396E-10</v>
      </c>
      <c r="D134" s="2">
        <v>4.7949379427917001E-10</v>
      </c>
      <c r="E134" s="2">
        <v>1.1759350070859499E-7</v>
      </c>
      <c r="F134" s="2">
        <v>6.9369553378796704E-5</v>
      </c>
      <c r="G134" s="2">
        <v>3.94678922173178E-2</v>
      </c>
      <c r="H134" s="15">
        <f t="shared" si="2"/>
        <v>3.9467890400675998E-2</v>
      </c>
      <c r="I134" s="2">
        <v>0.960532109599324</v>
      </c>
      <c r="J134" s="2">
        <v>0.99993063045181796</v>
      </c>
      <c r="K134" s="2">
        <v>0.99999988240651205</v>
      </c>
      <c r="L134" s="2">
        <v>0.99999999933658501</v>
      </c>
    </row>
    <row r="135" spans="1:12" x14ac:dyDescent="0.25">
      <c r="A135">
        <v>13.4</v>
      </c>
      <c r="B135" s="2">
        <v>4.6566128730839501E-10</v>
      </c>
      <c r="C135" s="2">
        <v>4.6566137401450399E-10</v>
      </c>
      <c r="D135" s="2">
        <v>4.7712310605751803E-10</v>
      </c>
      <c r="E135" s="2">
        <v>1.0434873748417701E-7</v>
      </c>
      <c r="F135" s="2">
        <v>6.4550856182291199E-5</v>
      </c>
      <c r="G135" s="2">
        <v>3.8568037077167897E-2</v>
      </c>
      <c r="H135" s="15">
        <f t="shared" si="2"/>
        <v>3.8568035266488998E-2</v>
      </c>
      <c r="I135" s="2">
        <v>0.961431964733511</v>
      </c>
      <c r="J135" s="2">
        <v>0.99993544914875798</v>
      </c>
      <c r="K135" s="2">
        <v>0.99999989565127401</v>
      </c>
      <c r="L135" s="2">
        <v>0.99999999936716699</v>
      </c>
    </row>
    <row r="136" spans="1:12" x14ac:dyDescent="0.25">
      <c r="A136">
        <v>13.5</v>
      </c>
      <c r="B136" s="2">
        <v>4.6566128730819503E-10</v>
      </c>
      <c r="C136" s="2">
        <v>4.6566135310195401E-10</v>
      </c>
      <c r="D136" s="2">
        <v>4.7515871892496798E-10</v>
      </c>
      <c r="E136" s="2">
        <v>9.2601685973634204E-8</v>
      </c>
      <c r="F136" s="2">
        <v>6.0066867840753603E-5</v>
      </c>
      <c r="G136" s="2">
        <v>3.7687893351619803E-2</v>
      </c>
      <c r="H136" s="15">
        <f t="shared" si="2"/>
        <v>3.7687891546491992E-2</v>
      </c>
      <c r="I136" s="2">
        <v>0.96231210845350801</v>
      </c>
      <c r="J136" s="2">
        <v>0.99993993313685703</v>
      </c>
      <c r="K136" s="2">
        <v>0.99999990739832401</v>
      </c>
      <c r="L136" s="2">
        <v>0.99999999939301998</v>
      </c>
    </row>
    <row r="137" spans="1:12" x14ac:dyDescent="0.25">
      <c r="A137">
        <v>13.6</v>
      </c>
      <c r="B137" s="2">
        <v>4.6566128730805596E-10</v>
      </c>
      <c r="C137" s="2">
        <v>4.6566133723323998E-10</v>
      </c>
      <c r="D137" s="2">
        <v>4.7353099885139099E-10</v>
      </c>
      <c r="E137" s="2">
        <v>8.2182985656689001E-8</v>
      </c>
      <c r="F137" s="2">
        <v>5.5894342024409903E-5</v>
      </c>
      <c r="G137" s="2">
        <v>3.6827065630984299E-2</v>
      </c>
      <c r="H137" s="15">
        <f t="shared" si="2"/>
        <v>3.6827063831091023E-2</v>
      </c>
      <c r="I137" s="2">
        <v>0.96317293616890898</v>
      </c>
      <c r="J137" s="2">
        <v>0.99994410566244296</v>
      </c>
      <c r="K137" s="2">
        <v>0.99999991781702402</v>
      </c>
      <c r="L137" s="2">
        <v>0.99999999941487405</v>
      </c>
    </row>
    <row r="138" spans="1:12" x14ac:dyDescent="0.25">
      <c r="A138">
        <v>13.7</v>
      </c>
      <c r="B138" s="2">
        <v>4.6566128730795898E-10</v>
      </c>
      <c r="C138" s="2">
        <v>4.6566132519185403E-10</v>
      </c>
      <c r="D138" s="2">
        <v>4.72182246055128E-10</v>
      </c>
      <c r="E138" s="2">
        <v>7.2942427212960699E-8</v>
      </c>
      <c r="F138" s="2">
        <v>5.2011646555014301E-5</v>
      </c>
      <c r="G138" s="2">
        <v>3.5985164788517203E-2</v>
      </c>
      <c r="H138" s="15">
        <f t="shared" si="2"/>
        <v>3.5985162993614983E-2</v>
      </c>
      <c r="I138" s="2">
        <v>0.96401483700638502</v>
      </c>
      <c r="J138" s="2">
        <v>0.99994798835769305</v>
      </c>
      <c r="K138" s="2">
        <v>0.99999992705758201</v>
      </c>
      <c r="L138" s="2">
        <v>0.99999999943334905</v>
      </c>
    </row>
    <row r="139" spans="1:12" x14ac:dyDescent="0.25">
      <c r="A139">
        <v>13.8</v>
      </c>
      <c r="B139" s="2">
        <v>4.6566128730789198E-10</v>
      </c>
      <c r="C139" s="2">
        <v>4.6566131605469601E-10</v>
      </c>
      <c r="D139" s="2">
        <v>4.7106464964835803E-10</v>
      </c>
      <c r="E139" s="2">
        <v>6.47467869155384E-8</v>
      </c>
      <c r="F139" s="2">
        <v>4.8398651372779797E-5</v>
      </c>
      <c r="G139" s="2">
        <v>3.51618079580951E-2</v>
      </c>
      <c r="H139" s="15">
        <f t="shared" si="2"/>
        <v>3.5161806168006016E-2</v>
      </c>
      <c r="I139" s="2">
        <v>0.96483819383199398</v>
      </c>
      <c r="J139" s="2">
        <v>0.99995160135266803</v>
      </c>
      <c r="K139" s="2">
        <v>0.99999993525322095</v>
      </c>
      <c r="L139" s="2">
        <v>0.999999999448966</v>
      </c>
    </row>
    <row r="140" spans="1:12" x14ac:dyDescent="0.25">
      <c r="A140">
        <v>13.9</v>
      </c>
      <c r="B140" s="2">
        <v>4.6566128730784503E-10</v>
      </c>
      <c r="C140" s="2">
        <v>4.6566130912130203E-10</v>
      </c>
      <c r="D140" s="2">
        <v>4.7013859282614799E-10</v>
      </c>
      <c r="E140" s="2">
        <v>5.7477905909784198E-8</v>
      </c>
      <c r="F140" s="2">
        <v>4.5036624272651999E-5</v>
      </c>
      <c r="G140" s="2">
        <v>3.4356618507645702E-2</v>
      </c>
      <c r="H140" s="15">
        <f t="shared" si="2"/>
        <v>3.4356616722246991E-2</v>
      </c>
      <c r="I140" s="2">
        <v>0.96564338327775301</v>
      </c>
      <c r="J140" s="2">
        <v>0.99995496337957002</v>
      </c>
      <c r="K140" s="2">
        <v>0.999999942522101</v>
      </c>
      <c r="L140" s="2">
        <v>0.999999999462169</v>
      </c>
    </row>
    <row r="141" spans="1:12" x14ac:dyDescent="0.25">
      <c r="A141">
        <v>14</v>
      </c>
      <c r="B141" s="2">
        <v>4.6566128730781298E-10</v>
      </c>
      <c r="C141" s="2">
        <v>4.6566130386015302E-10</v>
      </c>
      <c r="D141" s="2">
        <v>4.69371248521185E-10</v>
      </c>
      <c r="E141" s="2">
        <v>5.1030986685959002E-8</v>
      </c>
      <c r="F141" s="2">
        <v>4.1908133872021703E-5</v>
      </c>
      <c r="G141" s="2">
        <v>3.3569226008592197E-2</v>
      </c>
      <c r="H141" s="15">
        <f t="shared" si="2"/>
        <v>3.3569224227801953E-2</v>
      </c>
      <c r="I141" s="2">
        <v>0.96643077577219805</v>
      </c>
      <c r="J141" s="2">
        <v>0.99995809186978302</v>
      </c>
      <c r="K141" s="2">
        <v>0.99999994896902</v>
      </c>
      <c r="L141" s="2">
        <v>0.99999999947332996</v>
      </c>
    </row>
    <row r="142" spans="1:12" x14ac:dyDescent="0.25">
      <c r="A142">
        <v>14.1</v>
      </c>
      <c r="B142" s="2">
        <v>4.6566128730779096E-10</v>
      </c>
      <c r="C142" s="2">
        <v>4.6566129986792503E-10</v>
      </c>
      <c r="D142" s="2">
        <v>4.6873541574262199E-10</v>
      </c>
      <c r="E142" s="2">
        <v>4.5313082185591903E-8</v>
      </c>
      <c r="F142" s="2">
        <v>3.8996959309061798E-5</v>
      </c>
      <c r="G142" s="2">
        <v>3.2799266201545101E-2</v>
      </c>
      <c r="H142" s="15">
        <f t="shared" si="2"/>
        <v>3.2799264425322994E-2</v>
      </c>
      <c r="I142" s="2">
        <v>0.96720073557467701</v>
      </c>
      <c r="J142" s="2">
        <v>0.99996100304416802</v>
      </c>
      <c r="K142" s="2">
        <v>0.99999995468692404</v>
      </c>
      <c r="L142" s="2">
        <v>0.99999999948276497</v>
      </c>
    </row>
    <row r="143" spans="1:12" x14ac:dyDescent="0.25">
      <c r="A143">
        <v>14.2</v>
      </c>
      <c r="B143" s="2">
        <v>4.6566128730777503E-10</v>
      </c>
      <c r="C143" s="2">
        <v>4.6566129683857104E-10</v>
      </c>
      <c r="D143" s="2">
        <v>4.6820855534932401E-10</v>
      </c>
      <c r="E143" s="2">
        <v>4.0241755758753098E-8</v>
      </c>
      <c r="F143" s="2">
        <v>3.6288006205483598E-5</v>
      </c>
      <c r="G143" s="2">
        <v>3.2046380958491598E-2</v>
      </c>
      <c r="H143" s="15">
        <f t="shared" si="2"/>
        <v>3.2046379186825957E-2</v>
      </c>
      <c r="I143" s="2">
        <v>0.96795362081317404</v>
      </c>
      <c r="J143" s="2">
        <v>0.99996371199710199</v>
      </c>
      <c r="K143" s="2">
        <v>0.99999995975824996</v>
      </c>
      <c r="L143" s="2">
        <v>0.99999999949074003</v>
      </c>
    </row>
    <row r="144" spans="1:12" x14ac:dyDescent="0.25">
      <c r="A144">
        <v>14.3</v>
      </c>
      <c r="B144" s="2">
        <v>4.6566128730776397E-10</v>
      </c>
      <c r="C144" s="2">
        <v>4.65661294539857E-10</v>
      </c>
      <c r="D144" s="2">
        <v>4.6777199107740699E-10</v>
      </c>
      <c r="E144" s="2">
        <v>3.5743892652526003E-8</v>
      </c>
      <c r="F144" s="2">
        <v>3.3767228459712598E-5</v>
      </c>
      <c r="G144" s="2">
        <v>3.1310218241688698E-2</v>
      </c>
      <c r="H144" s="15">
        <f t="shared" si="2"/>
        <v>3.1310216474595975E-2</v>
      </c>
      <c r="I144" s="2">
        <v>0.96868978352540402</v>
      </c>
      <c r="J144" s="2">
        <v>0.99996623277468599</v>
      </c>
      <c r="K144" s="2">
        <v>0.99999996425611204</v>
      </c>
      <c r="L144" s="2">
        <v>0.99999999949748197</v>
      </c>
    </row>
    <row r="145" spans="1:12" x14ac:dyDescent="0.25">
      <c r="A145">
        <v>14.4</v>
      </c>
      <c r="B145" s="2">
        <v>9.3132257461549609E-10</v>
      </c>
      <c r="C145" s="2">
        <v>9.313225801033051E-10</v>
      </c>
      <c r="D145" s="2">
        <v>9.3307153533530002E-10</v>
      </c>
      <c r="E145" s="2">
        <v>3.2220316098293602E-8</v>
      </c>
      <c r="F145" s="2">
        <v>3.1422026514386002E-5</v>
      </c>
      <c r="G145" s="2">
        <v>3.0590434596367001E-2</v>
      </c>
      <c r="H145" s="15">
        <f t="shared" si="2"/>
        <v>3.0590431092624049E-2</v>
      </c>
      <c r="I145" s="2">
        <v>0.96940956890737595</v>
      </c>
      <c r="J145" s="2">
        <v>0.99996857797944805</v>
      </c>
      <c r="K145" s="2">
        <v>0.99999996777969302</v>
      </c>
      <c r="L145" s="2">
        <v>0.99999999903752101</v>
      </c>
    </row>
    <row r="146" spans="1:12" x14ac:dyDescent="0.25">
      <c r="A146">
        <v>14.5</v>
      </c>
      <c r="B146" s="2">
        <v>9.313225746154901E-10</v>
      </c>
      <c r="C146" s="2">
        <v>9.313225787797121E-10</v>
      </c>
      <c r="D146" s="2">
        <v>9.3277178920021105E-10</v>
      </c>
      <c r="E146" s="2">
        <v>2.8682170677035999E-8</v>
      </c>
      <c r="F146" s="2">
        <v>2.92392951185542E-5</v>
      </c>
      <c r="G146" s="2">
        <v>2.98866849357763E-2</v>
      </c>
      <c r="H146" s="15">
        <f t="shared" si="2"/>
        <v>2.9886681441425034E-2</v>
      </c>
      <c r="I146" s="2">
        <v>0.97011331855857497</v>
      </c>
      <c r="J146" s="2">
        <v>0.99997076071055302</v>
      </c>
      <c r="K146" s="2">
        <v>0.99999997131783702</v>
      </c>
      <c r="L146" s="2">
        <v>0.99999999904233905</v>
      </c>
    </row>
    <row r="147" spans="1:12" x14ac:dyDescent="0.25">
      <c r="A147">
        <v>14.6</v>
      </c>
      <c r="B147" s="2">
        <v>9.3132257461548699E-10</v>
      </c>
      <c r="C147" s="2">
        <v>9.3132257777535292E-10</v>
      </c>
      <c r="D147" s="2">
        <v>9.3252341514265703E-10</v>
      </c>
      <c r="E147" s="2">
        <v>2.5544117153999399E-8</v>
      </c>
      <c r="F147" s="2">
        <v>2.7208187551745199E-5</v>
      </c>
      <c r="G147" s="2">
        <v>2.9198637774212499E-2</v>
      </c>
      <c r="H147" s="15">
        <f t="shared" si="2"/>
        <v>2.9198634289470005E-2</v>
      </c>
      <c r="I147" s="2">
        <v>0.97080136571053</v>
      </c>
      <c r="J147" s="2">
        <v>0.99997279181784304</v>
      </c>
      <c r="K147" s="2">
        <v>0.99999997445588995</v>
      </c>
      <c r="L147" s="2">
        <v>0.99999999904641201</v>
      </c>
    </row>
    <row r="148" spans="1:12" x14ac:dyDescent="0.25">
      <c r="A148">
        <v>14.7</v>
      </c>
      <c r="B148" s="2">
        <v>9.313225746154841E-10</v>
      </c>
      <c r="C148" s="2">
        <v>9.3132257701323192E-10</v>
      </c>
      <c r="D148" s="2">
        <v>9.3231760874434608E-10</v>
      </c>
      <c r="E148" s="2">
        <v>2.2760913318518901E-8</v>
      </c>
      <c r="F148" s="2">
        <v>2.5318171790606399E-5</v>
      </c>
      <c r="G148" s="2">
        <v>2.85259649657683E-2</v>
      </c>
      <c r="H148" s="15">
        <f t="shared" si="2"/>
        <v>2.8525961490867946E-2</v>
      </c>
      <c r="I148" s="2">
        <v>0.97147403850913205</v>
      </c>
      <c r="J148" s="2">
        <v>0.99997468183334104</v>
      </c>
      <c r="K148" s="2">
        <v>0.99999997723909295</v>
      </c>
      <c r="L148" s="2">
        <v>0.99999999904985504</v>
      </c>
    </row>
    <row r="149" spans="1:12" x14ac:dyDescent="0.25">
      <c r="A149">
        <v>14.8</v>
      </c>
      <c r="B149" s="2">
        <v>9.3132257461548203E-10</v>
      </c>
      <c r="C149" s="2">
        <v>9.313225764349239E-10</v>
      </c>
      <c r="D149" s="2">
        <v>9.3214707453474899E-10</v>
      </c>
      <c r="E149" s="2">
        <v>2.0292432928198701E-8</v>
      </c>
      <c r="F149" s="2">
        <v>2.3559447308061999E-5</v>
      </c>
      <c r="G149" s="2">
        <v>2.7868344207362599E-2</v>
      </c>
      <c r="H149" s="15">
        <f t="shared" si="2"/>
        <v>2.7868340742547959E-2</v>
      </c>
      <c r="I149" s="2">
        <v>0.97213165925745204</v>
      </c>
      <c r="J149" s="2">
        <v>0.99997644055757295</v>
      </c>
      <c r="K149" s="2">
        <v>0.99999997970757304</v>
      </c>
      <c r="L149" s="2">
        <v>0.99999999905276604</v>
      </c>
    </row>
    <row r="150" spans="1:12" x14ac:dyDescent="0.25">
      <c r="A150">
        <v>14.9</v>
      </c>
      <c r="B150" s="2">
        <v>9.31322574615481E-10</v>
      </c>
      <c r="C150" s="2">
        <v>9.3132257599609797E-10</v>
      </c>
      <c r="D150" s="2">
        <v>9.3200576737965596E-10</v>
      </c>
      <c r="E150" s="2">
        <v>1.81030871976743E-8</v>
      </c>
      <c r="F150" s="2">
        <v>2.1922894277561299E-5</v>
      </c>
      <c r="G150" s="2">
        <v>2.7225458982214599E-2</v>
      </c>
      <c r="H150" s="15">
        <f t="shared" si="2"/>
        <v>2.722545552773703E-2</v>
      </c>
      <c r="I150" s="2">
        <v>0.97277454447226297</v>
      </c>
      <c r="J150" s="2">
        <v>0.99997807711036502</v>
      </c>
      <c r="K150" s="2">
        <v>0.99999998189691797</v>
      </c>
      <c r="L150" s="2">
        <v>0.99999999905522696</v>
      </c>
    </row>
    <row r="151" spans="1:12" x14ac:dyDescent="0.25">
      <c r="A151">
        <v>15</v>
      </c>
      <c r="B151" s="2">
        <v>9.3132257461547996E-10</v>
      </c>
      <c r="C151" s="2">
        <v>9.3132257566311E-10</v>
      </c>
      <c r="D151" s="2">
        <v>9.3188867819192203E-10</v>
      </c>
      <c r="E151" s="2">
        <v>1.6161311705133999E-8</v>
      </c>
      <c r="F151" s="2">
        <v>2.04000263033002E-5</v>
      </c>
      <c r="G151" s="2">
        <v>2.6596998501385201E-2</v>
      </c>
      <c r="H151" s="15">
        <f t="shared" si="2"/>
        <v>2.6596995057506012E-2</v>
      </c>
      <c r="I151" s="2">
        <v>0.97340300494249399</v>
      </c>
      <c r="J151" s="2">
        <v>0.99997959997811203</v>
      </c>
      <c r="K151" s="2">
        <v>0.99999998383869304</v>
      </c>
      <c r="L151" s="2">
        <v>0.99999999905730697</v>
      </c>
    </row>
    <row r="152" spans="1:12" x14ac:dyDescent="0.25">
      <c r="A152">
        <v>15.1</v>
      </c>
      <c r="B152" s="2">
        <v>9.3132257461547996E-10</v>
      </c>
      <c r="C152" s="2">
        <v>9.3132257541043507E-10</v>
      </c>
      <c r="D152" s="2">
        <v>9.317916563682479E-10</v>
      </c>
      <c r="E152" s="2">
        <v>1.443911131919E-8</v>
      </c>
      <c r="F152" s="2">
        <v>1.89829464318339E-5</v>
      </c>
      <c r="G152" s="2">
        <v>2.5982657643555899E-2</v>
      </c>
      <c r="H152" s="15">
        <f t="shared" si="2"/>
        <v>2.5982654210542022E-2</v>
      </c>
      <c r="I152" s="2">
        <v>0.97401734578945798</v>
      </c>
      <c r="J152" s="2">
        <v>0.99998101705776699</v>
      </c>
      <c r="K152" s="2">
        <v>0.99999998556089298</v>
      </c>
      <c r="L152" s="2">
        <v>0.999999999059065</v>
      </c>
    </row>
    <row r="153" spans="1:12" x14ac:dyDescent="0.25">
      <c r="A153">
        <v>15.2</v>
      </c>
      <c r="B153" s="2">
        <v>9.3132257461547893E-10</v>
      </c>
      <c r="C153" s="2">
        <v>9.3132257521870205E-10</v>
      </c>
      <c r="D153" s="2">
        <v>9.3171126265767497E-10</v>
      </c>
      <c r="E153" s="2">
        <v>1.2911656585189E-8</v>
      </c>
      <c r="F153" s="2">
        <v>1.76643062174449E-5</v>
      </c>
      <c r="G153" s="2">
        <v>2.53821368931921E-2</v>
      </c>
      <c r="H153" s="15">
        <f t="shared" si="2"/>
        <v>2.5382133471315016E-2</v>
      </c>
      <c r="I153" s="2">
        <v>0.97461786652868498</v>
      </c>
      <c r="J153" s="2">
        <v>0.99998233569777595</v>
      </c>
      <c r="K153" s="2">
        <v>0.99999998708834803</v>
      </c>
      <c r="L153" s="2">
        <v>0.99999999906055204</v>
      </c>
    </row>
    <row r="154" spans="1:12" x14ac:dyDescent="0.25">
      <c r="A154">
        <v>15.3</v>
      </c>
      <c r="B154" s="2">
        <v>9.3132257461547893E-10</v>
      </c>
      <c r="C154" s="2">
        <v>9.3132257507321194E-10</v>
      </c>
      <c r="D154" s="2">
        <v>9.3164464724626004E-10</v>
      </c>
      <c r="E154" s="2">
        <v>1.1556925751962E-8</v>
      </c>
      <c r="F154" s="2">
        <v>1.64372676294111E-5</v>
      </c>
      <c r="G154" s="2">
        <v>2.4795142277240199E-2</v>
      </c>
      <c r="H154" s="15">
        <f t="shared" si="2"/>
        <v>2.479513886677398E-2</v>
      </c>
      <c r="I154" s="2">
        <v>0.97520486113322602</v>
      </c>
      <c r="J154" s="2">
        <v>0.99998356273616795</v>
      </c>
      <c r="K154" s="2">
        <v>0.99999998844307803</v>
      </c>
      <c r="L154" s="2">
        <v>0.99999999906180803</v>
      </c>
    </row>
    <row r="155" spans="1:12" x14ac:dyDescent="0.25">
      <c r="A155">
        <v>15.4</v>
      </c>
      <c r="B155" s="2">
        <v>9.3132257461547893E-10</v>
      </c>
      <c r="C155" s="2">
        <v>9.313225749628131E-10</v>
      </c>
      <c r="D155" s="2">
        <v>9.3158944873623896E-10</v>
      </c>
      <c r="E155" s="2">
        <v>1.03553872780133E-8</v>
      </c>
      <c r="F155" s="2">
        <v>1.52954676039808E-5</v>
      </c>
      <c r="G155" s="2">
        <v>2.4221385300509199E-2</v>
      </c>
      <c r="H155" s="15">
        <f t="shared" si="2"/>
        <v>2.4221381901732952E-2</v>
      </c>
      <c r="I155" s="2">
        <v>0.97577861809826705</v>
      </c>
      <c r="J155" s="2">
        <v>0.99998470453600696</v>
      </c>
      <c r="K155" s="2">
        <v>0.99999998964461601</v>
      </c>
      <c r="L155" s="2">
        <v>0.99999999906287096</v>
      </c>
    </row>
    <row r="156" spans="1:12" x14ac:dyDescent="0.25">
      <c r="A156">
        <v>15.5</v>
      </c>
      <c r="B156" s="2">
        <v>9.3132257461547893E-10</v>
      </c>
      <c r="C156" s="2">
        <v>9.3132257487903997E-10</v>
      </c>
      <c r="D156" s="2">
        <v>9.3154371043868909E-10</v>
      </c>
      <c r="E156" s="2">
        <v>9.2897182397584001E-9</v>
      </c>
      <c r="F156" s="2">
        <v>1.42329850575455E-5</v>
      </c>
      <c r="G156" s="2">
        <v>2.36605828798606E-2</v>
      </c>
      <c r="H156" s="15">
        <f t="shared" si="2"/>
        <v>2.3660579493054001E-2</v>
      </c>
      <c r="I156" s="2">
        <v>0.976339420506946</v>
      </c>
      <c r="J156" s="2">
        <v>0.99998576701837605</v>
      </c>
      <c r="K156" s="2">
        <v>0.999999990710285</v>
      </c>
      <c r="L156" s="2">
        <v>0.99999999906376902</v>
      </c>
    </row>
    <row r="157" spans="1:12" x14ac:dyDescent="0.25">
      <c r="A157">
        <v>15.6</v>
      </c>
      <c r="B157" s="2">
        <v>9.3132257461547893E-10</v>
      </c>
      <c r="C157" s="2">
        <v>9.3132257481547197E-10</v>
      </c>
      <c r="D157" s="2">
        <v>9.3150581101237702E-10</v>
      </c>
      <c r="E157" s="2">
        <v>8.3445545820207793E-9</v>
      </c>
      <c r="F157" s="2">
        <v>1.32443101902094E-5</v>
      </c>
      <c r="G157" s="2">
        <v>2.3112457277344602E-2</v>
      </c>
      <c r="H157" s="15">
        <f t="shared" si="2"/>
        <v>2.3112453902789043E-2</v>
      </c>
      <c r="I157" s="2">
        <v>0.97688754609721096</v>
      </c>
      <c r="J157" s="2">
        <v>0.99998675569307505</v>
      </c>
      <c r="K157" s="2">
        <v>0.99999999165544795</v>
      </c>
      <c r="L157" s="2">
        <v>0.99999999906452797</v>
      </c>
    </row>
    <row r="158" spans="1:12" x14ac:dyDescent="0.25">
      <c r="A158">
        <v>15.7</v>
      </c>
      <c r="B158" s="2">
        <v>9.3132257461547893E-10</v>
      </c>
      <c r="C158" s="2">
        <v>9.3132257476723597E-10</v>
      </c>
      <c r="D158" s="2">
        <v>9.3147440699010698E-10</v>
      </c>
      <c r="E158" s="2">
        <v>7.5062696100887706E-9</v>
      </c>
      <c r="F158" s="2">
        <v>1.23243159208052E-5</v>
      </c>
      <c r="G158" s="2">
        <v>2.25767360324013E-2</v>
      </c>
      <c r="H158" s="15">
        <f t="shared" si="2"/>
        <v>2.2576732670377964E-2</v>
      </c>
      <c r="I158" s="2">
        <v>0.97742326732962204</v>
      </c>
      <c r="J158" s="2">
        <v>0.99998767568718405</v>
      </c>
      <c r="K158" s="2">
        <v>0.99999999249373295</v>
      </c>
      <c r="L158" s="2">
        <v>0.99999999906516901</v>
      </c>
    </row>
    <row r="159" spans="1:12" x14ac:dyDescent="0.25">
      <c r="A159">
        <v>15.8</v>
      </c>
      <c r="B159" s="2">
        <v>9.3132257461547893E-10</v>
      </c>
      <c r="C159" s="2">
        <v>9.3132257473063508E-10</v>
      </c>
      <c r="D159" s="2">
        <v>9.314483851551899E-10</v>
      </c>
      <c r="E159" s="2">
        <v>6.7627775297821203E-9</v>
      </c>
      <c r="F159" s="2">
        <v>1.14682313054138E-5</v>
      </c>
      <c r="G159" s="2">
        <v>2.2053151893244E-2</v>
      </c>
      <c r="H159" s="15">
        <f t="shared" si="2"/>
        <v>2.2053148544034951E-2</v>
      </c>
      <c r="I159" s="2">
        <v>0.97794685145596505</v>
      </c>
      <c r="J159" s="2">
        <v>0.99998853177164604</v>
      </c>
      <c r="K159" s="2">
        <v>0.99999999323722499</v>
      </c>
      <c r="L159" s="2">
        <v>0.99999999906571202</v>
      </c>
    </row>
    <row r="160" spans="1:12" x14ac:dyDescent="0.25">
      <c r="A160">
        <v>15.9</v>
      </c>
      <c r="B160" s="2">
        <v>9.3132257461547893E-10</v>
      </c>
      <c r="C160" s="2">
        <v>9.3132257470286001E-10</v>
      </c>
      <c r="D160" s="2">
        <v>9.3142682307990305E-10</v>
      </c>
      <c r="E160" s="2">
        <v>6.1033592031195004E-9</v>
      </c>
      <c r="F160" s="2">
        <v>1.06716168017225E-5</v>
      </c>
      <c r="G160" s="2">
        <v>2.1541442747539101E-2</v>
      </c>
      <c r="H160" s="15">
        <f t="shared" si="2"/>
        <v>2.1541439411424945E-2</v>
      </c>
      <c r="I160" s="2">
        <v>0.97845856058857505</v>
      </c>
      <c r="J160" s="2">
        <v>0.99998932838600396</v>
      </c>
      <c r="K160" s="2">
        <v>0.99999999389664296</v>
      </c>
      <c r="L160" s="2">
        <v>0.99999999906617099</v>
      </c>
    </row>
    <row r="161" spans="1:12" x14ac:dyDescent="0.25">
      <c r="A161">
        <v>16</v>
      </c>
      <c r="B161" s="2">
        <v>9.3132257461547893E-10</v>
      </c>
      <c r="C161" s="2">
        <v>9.313225746817849E-10</v>
      </c>
      <c r="D161" s="2">
        <v>9.3140895642706191E-10</v>
      </c>
      <c r="E161" s="2">
        <v>5.5185076074526101E-9</v>
      </c>
      <c r="F161" s="2">
        <v>9.9303412510883492E-6</v>
      </c>
      <c r="G161" s="2">
        <v>2.1041351552481501E-2</v>
      </c>
      <c r="H161" s="15">
        <f t="shared" si="2"/>
        <v>2.1041348229743018E-2</v>
      </c>
      <c r="I161" s="2">
        <v>0.97895865177025698</v>
      </c>
      <c r="J161" s="2">
        <v>0.99999006966141701</v>
      </c>
      <c r="K161" s="2">
        <v>0.99999999448149401</v>
      </c>
      <c r="L161" s="2">
        <v>0.99999999906655801</v>
      </c>
    </row>
    <row r="162" spans="1:12" x14ac:dyDescent="0.25">
      <c r="A162">
        <v>16.100000000000001</v>
      </c>
      <c r="B162" s="2">
        <v>9.3132257461547893E-10</v>
      </c>
      <c r="C162" s="2">
        <v>9.3132257466579302E-10</v>
      </c>
      <c r="D162" s="2">
        <v>9.3139415185563092E-10</v>
      </c>
      <c r="E162" s="2">
        <v>4.9997907700110901E-9</v>
      </c>
      <c r="F162" s="2">
        <v>9.2405604590688908E-6</v>
      </c>
      <c r="G162" s="2">
        <v>2.0552626264375099E-2</v>
      </c>
      <c r="H162" s="15">
        <f t="shared" si="2"/>
        <v>2.0552622955290034E-2</v>
      </c>
      <c r="I162" s="2">
        <v>0.97944737704470997</v>
      </c>
      <c r="J162" s="2">
        <v>0.99999075944207705</v>
      </c>
      <c r="K162" s="2">
        <v>0.99999999500021097</v>
      </c>
      <c r="L162" s="2">
        <v>0.99999999906688597</v>
      </c>
    </row>
    <row r="163" spans="1:12" x14ac:dyDescent="0.25">
      <c r="A163">
        <v>16.2</v>
      </c>
      <c r="B163" s="2">
        <v>9.3132257461547893E-10</v>
      </c>
      <c r="C163" s="2">
        <v>9.3132257465365807E-10</v>
      </c>
      <c r="D163" s="2">
        <v>9.3138188456991092E-10</v>
      </c>
      <c r="E163" s="2">
        <v>4.5397302017449396E-9</v>
      </c>
      <c r="F163" s="2">
        <v>8.5986972634515002E-6</v>
      </c>
      <c r="G163" s="2">
        <v>2.0075019767804701E-2</v>
      </c>
      <c r="H163" s="15">
        <f t="shared" si="2"/>
        <v>2.0075016472649976E-2</v>
      </c>
      <c r="I163" s="2">
        <v>0.97992498352735002</v>
      </c>
      <c r="J163" s="2">
        <v>0.99999140130514796</v>
      </c>
      <c r="K163" s="2">
        <v>0.99999999546027096</v>
      </c>
      <c r="L163" s="2">
        <v>0.99999999906716297</v>
      </c>
    </row>
    <row r="164" spans="1:12" x14ac:dyDescent="0.25">
      <c r="A164">
        <v>16.3</v>
      </c>
      <c r="B164" s="2">
        <v>9.3132257461547893E-10</v>
      </c>
      <c r="C164" s="2">
        <v>9.3132257464444907E-10</v>
      </c>
      <c r="D164" s="2">
        <v>9.3137171971646096E-10</v>
      </c>
      <c r="E164" s="2">
        <v>4.1316930778145304E-9</v>
      </c>
      <c r="F164" s="2">
        <v>8.0014229865156308E-6</v>
      </c>
      <c r="G164" s="2">
        <v>1.9608289804495301E-2</v>
      </c>
      <c r="H164" s="15">
        <f t="shared" si="2"/>
        <v>1.9608286523543961E-2</v>
      </c>
      <c r="I164" s="2">
        <v>0.98039171347645604</v>
      </c>
      <c r="J164" s="2">
        <v>0.99999199857930499</v>
      </c>
      <c r="K164" s="2">
        <v>0.99999999586830801</v>
      </c>
      <c r="L164" s="2">
        <v>0.99999999906739701</v>
      </c>
    </row>
    <row r="165" spans="1:12" x14ac:dyDescent="0.25">
      <c r="A165">
        <v>16.399999999999999</v>
      </c>
      <c r="B165" s="2">
        <v>9.3132257461547893E-10</v>
      </c>
      <c r="C165" s="2">
        <v>9.3132257463746208E-10</v>
      </c>
      <c r="D165" s="2">
        <v>9.31363296969325E-10</v>
      </c>
      <c r="E165" s="2">
        <v>3.7697966102596796E-9</v>
      </c>
      <c r="F165" s="2">
        <v>7.4456401754172299E-6</v>
      </c>
      <c r="G165" s="2">
        <v>1.9152198901940601E-2</v>
      </c>
      <c r="H165" s="15">
        <f t="shared" si="2"/>
        <v>1.9152195635464997E-2</v>
      </c>
      <c r="I165" s="2">
        <v>0.980847804364535</v>
      </c>
      <c r="J165" s="2">
        <v>0.99999255436200296</v>
      </c>
      <c r="K165" s="2">
        <v>0.99999999623020497</v>
      </c>
      <c r="L165" s="2">
        <v>0.99999999906759496</v>
      </c>
    </row>
    <row r="166" spans="1:12" x14ac:dyDescent="0.25">
      <c r="A166">
        <v>16.5</v>
      </c>
      <c r="B166" s="2">
        <v>9.3132257461547893E-10</v>
      </c>
      <c r="C166" s="2">
        <v>9.3132257463216006E-10</v>
      </c>
      <c r="D166" s="2">
        <v>9.3135631775711396E-10</v>
      </c>
      <c r="E166" s="2">
        <v>3.4488232341653799E-9</v>
      </c>
      <c r="F166" s="2">
        <v>6.9284665412682099E-6</v>
      </c>
      <c r="G166" s="2">
        <v>1.8706514301881898E-2</v>
      </c>
      <c r="H166" s="15">
        <f t="shared" si="2"/>
        <v>1.8706511050149977E-2</v>
      </c>
      <c r="I166" s="2">
        <v>0.98129348894985002</v>
      </c>
      <c r="J166" s="2">
        <v>0.99999307153552996</v>
      </c>
      <c r="K166" s="2">
        <v>0.99999999655117799</v>
      </c>
      <c r="L166" s="2">
        <v>0.99999999906776305</v>
      </c>
    </row>
    <row r="167" spans="1:12" x14ac:dyDescent="0.25">
      <c r="A167">
        <v>16.600000000000001</v>
      </c>
      <c r="B167" s="2">
        <v>9.3132257461547893E-10</v>
      </c>
      <c r="C167" s="2">
        <v>9.3132257462813603E-10</v>
      </c>
      <c r="D167" s="2">
        <v>9.3135053467917893E-10</v>
      </c>
      <c r="E167" s="2">
        <v>3.1641453845367198E-9</v>
      </c>
      <c r="F167" s="2">
        <v>6.4472200136731502E-6</v>
      </c>
      <c r="G167" s="2">
        <v>1.8271007888716599E-2</v>
      </c>
      <c r="H167" s="15">
        <f t="shared" si="2"/>
        <v>1.8271004651992051E-2</v>
      </c>
      <c r="I167" s="2">
        <v>0.98172899534800795</v>
      </c>
      <c r="J167" s="2">
        <v>0.99999355278195501</v>
      </c>
      <c r="K167" s="2">
        <v>0.99999999683585605</v>
      </c>
      <c r="L167" s="2">
        <v>0.99999999906790404</v>
      </c>
    </row>
    <row r="168" spans="1:12" x14ac:dyDescent="0.25">
      <c r="A168">
        <v>16.7</v>
      </c>
      <c r="B168" s="2">
        <v>9.3132257461547893E-10</v>
      </c>
      <c r="C168" s="2">
        <v>9.3132257462508394E-10</v>
      </c>
      <c r="D168" s="2">
        <v>9.3134574273570791E-10</v>
      </c>
      <c r="E168" s="2">
        <v>2.9116587793714E-9</v>
      </c>
      <c r="F168" s="2">
        <v>5.9994048332767898E-6</v>
      </c>
      <c r="G168" s="2">
        <v>1.7845456117902201E-2</v>
      </c>
      <c r="H168" s="15">
        <f t="shared" si="2"/>
        <v>1.7845452896445013E-2</v>
      </c>
      <c r="I168" s="2">
        <v>0.98215454710355499</v>
      </c>
      <c r="J168" s="2">
        <v>0.99999400059703802</v>
      </c>
      <c r="K168" s="2">
        <v>0.99999999708834197</v>
      </c>
      <c r="L168" s="2">
        <v>0.99999999906802395</v>
      </c>
    </row>
    <row r="169" spans="1:12" x14ac:dyDescent="0.25">
      <c r="A169">
        <v>16.8</v>
      </c>
      <c r="B169" s="2">
        <v>9.3132257461547893E-10</v>
      </c>
      <c r="C169" s="2">
        <v>9.3132257462276701E-10</v>
      </c>
      <c r="D169" s="2">
        <v>9.3134177206083596E-10</v>
      </c>
      <c r="E169" s="2">
        <v>2.68772324705211E-9</v>
      </c>
      <c r="F169" s="2">
        <v>5.5826986102416201E-6</v>
      </c>
      <c r="G169" s="2">
        <v>1.7429639944427401E-2</v>
      </c>
      <c r="H169" s="15">
        <f t="shared" si="2"/>
        <v>1.7429636738494958E-2</v>
      </c>
      <c r="I169" s="2">
        <v>0.98257036326150504</v>
      </c>
      <c r="J169" s="2">
        <v>0.99999441730316796</v>
      </c>
      <c r="K169" s="2">
        <v>0.99999999731227796</v>
      </c>
      <c r="L169" s="2">
        <v>0.99999999906812498</v>
      </c>
    </row>
    <row r="170" spans="1:12" x14ac:dyDescent="0.25">
      <c r="A170">
        <v>16.899999999999999</v>
      </c>
      <c r="B170" s="2">
        <v>9.3132257461547893E-10</v>
      </c>
      <c r="C170" s="2">
        <v>9.3132257462100905E-10</v>
      </c>
      <c r="D170" s="2">
        <v>9.3133848190120894E-10</v>
      </c>
      <c r="E170" s="2">
        <v>2.4891102449508999E-9</v>
      </c>
      <c r="F170" s="2">
        <v>5.1949402815828399E-6</v>
      </c>
      <c r="G170" s="2">
        <v>1.7023344751415401E-2</v>
      </c>
      <c r="H170" s="15">
        <f t="shared" si="2"/>
        <v>1.7023341561258953E-2</v>
      </c>
      <c r="I170" s="2">
        <v>0.98297665843874105</v>
      </c>
      <c r="J170" s="2">
        <v>0.99999480506140803</v>
      </c>
      <c r="K170" s="2">
        <v>0.99999999751089097</v>
      </c>
      <c r="L170" s="2">
        <v>0.99999999906821002</v>
      </c>
    </row>
    <row r="171" spans="1:12" x14ac:dyDescent="0.25">
      <c r="A171">
        <v>17</v>
      </c>
      <c r="B171" s="2">
        <v>9.3132257461547893E-10</v>
      </c>
      <c r="C171" s="2">
        <v>9.3132257461967501E-10</v>
      </c>
      <c r="D171" s="2">
        <v>9.3133575562652709E-10</v>
      </c>
      <c r="E171" s="2">
        <v>2.31295631260623E-9</v>
      </c>
      <c r="F171" s="2">
        <v>4.8341189049396797E-6</v>
      </c>
      <c r="G171" s="2">
        <v>1.6626360278913899E-2</v>
      </c>
      <c r="H171" s="15">
        <f t="shared" si="2"/>
        <v>1.6626357104781997E-2</v>
      </c>
      <c r="I171" s="2">
        <v>0.983373642895218</v>
      </c>
      <c r="J171" s="2">
        <v>0.99999516588270099</v>
      </c>
      <c r="K171" s="2">
        <v>0.99999999768704395</v>
      </c>
      <c r="L171" s="2">
        <v>0.99999999906828196</v>
      </c>
    </row>
    <row r="172" spans="1:12" x14ac:dyDescent="0.25">
      <c r="A172">
        <v>17.100000000000001</v>
      </c>
      <c r="B172" s="2">
        <v>9.3132257461547893E-10</v>
      </c>
      <c r="C172" s="2">
        <v>9.3132257461866295E-10</v>
      </c>
      <c r="D172" s="2">
        <v>9.3133349659520797E-10</v>
      </c>
      <c r="E172" s="2">
        <v>2.1567217883940602E-9</v>
      </c>
      <c r="F172" s="2">
        <v>4.4983632306996202E-6</v>
      </c>
      <c r="G172" s="2">
        <v>1.62384805529305E-2</v>
      </c>
      <c r="H172" s="15">
        <f t="shared" si="2"/>
        <v>1.623847739506501E-2</v>
      </c>
      <c r="I172" s="2">
        <v>0.98376152260493499</v>
      </c>
      <c r="J172" s="2">
        <v>0.99999550163829498</v>
      </c>
      <c r="K172" s="2">
        <v>0.99999999784327898</v>
      </c>
      <c r="L172" s="2">
        <v>0.99999999906834403</v>
      </c>
    </row>
    <row r="173" spans="1:12" x14ac:dyDescent="0.25">
      <c r="A173">
        <v>17.2</v>
      </c>
      <c r="B173" s="2">
        <v>9.3132257461547893E-10</v>
      </c>
      <c r="C173" s="2">
        <v>9.3132257461789492E-10</v>
      </c>
      <c r="D173" s="2">
        <v>9.313316247286151E-10</v>
      </c>
      <c r="E173" s="2">
        <v>2.0181541944990502E-9</v>
      </c>
      <c r="F173" s="2">
        <v>4.1859319984212399E-6</v>
      </c>
      <c r="G173" s="2">
        <v>1.5859503814769901E-2</v>
      </c>
      <c r="H173" s="15">
        <f t="shared" si="2"/>
        <v>1.5859500673407023E-2</v>
      </c>
      <c r="I173" s="2">
        <v>0.98414049932659298</v>
      </c>
      <c r="J173" s="2">
        <v>0.99999581406945204</v>
      </c>
      <c r="K173" s="2">
        <v>0.99999999798184702</v>
      </c>
      <c r="L173" s="2">
        <v>0.99999999906839498</v>
      </c>
    </row>
    <row r="174" spans="1:12" x14ac:dyDescent="0.25">
      <c r="A174">
        <v>17.3</v>
      </c>
      <c r="B174" s="2">
        <v>9.3132257461547893E-10</v>
      </c>
      <c r="C174" s="2">
        <v>9.3132257461731196E-10</v>
      </c>
      <c r="D174" s="2">
        <v>9.3133007367241105E-10</v>
      </c>
      <c r="E174" s="2">
        <v>1.89525576229717E-9</v>
      </c>
      <c r="F174" s="2">
        <v>3.8952049072546796E-6</v>
      </c>
      <c r="G174" s="2">
        <v>1.5489232450713999E-2</v>
      </c>
      <c r="H174" s="15">
        <f t="shared" si="2"/>
        <v>1.5489229326085985E-2</v>
      </c>
      <c r="I174" s="2">
        <v>0.98451077067391402</v>
      </c>
      <c r="J174" s="2">
        <v>0.99999610479647105</v>
      </c>
      <c r="K174" s="2">
        <v>0.99999999810474505</v>
      </c>
      <c r="L174" s="2">
        <v>0.99999999906843895</v>
      </c>
    </row>
    <row r="175" spans="1:12" x14ac:dyDescent="0.25">
      <c r="A175">
        <v>17.399999999999999</v>
      </c>
      <c r="B175" s="2">
        <v>9.3132257461547893E-10</v>
      </c>
      <c r="C175" s="2">
        <v>9.3132257461687004E-10</v>
      </c>
      <c r="D175" s="2">
        <v>9.3132878844441501E-10</v>
      </c>
      <c r="E175" s="2">
        <v>1.78625462995352E-9</v>
      </c>
      <c r="F175" s="2">
        <v>3.6246742135516799E-6</v>
      </c>
      <c r="G175" s="2">
        <v>1.5127472922097601E-2</v>
      </c>
      <c r="H175" s="15">
        <f t="shared" si="2"/>
        <v>1.5127469814430028E-2</v>
      </c>
      <c r="I175" s="2">
        <v>0.98487253018556997</v>
      </c>
      <c r="J175" s="2">
        <v>0.99999637532709595</v>
      </c>
      <c r="K175" s="2">
        <v>0.99999999821374597</v>
      </c>
      <c r="L175" s="2">
        <v>0.99999999906847603</v>
      </c>
    </row>
    <row r="176" spans="1:12" x14ac:dyDescent="0.25">
      <c r="A176">
        <v>17.5</v>
      </c>
      <c r="B176" s="2">
        <v>9.3132257461547893E-10</v>
      </c>
      <c r="C176" s="2">
        <v>9.31322574616534E-10</v>
      </c>
      <c r="D176" s="2">
        <v>9.3132772348558494E-10</v>
      </c>
      <c r="E176" s="2">
        <v>1.6895792969827599E-9</v>
      </c>
      <c r="F176" s="2">
        <v>3.3729369121062099E-6</v>
      </c>
      <c r="G176" s="2">
        <v>1.47740356958202E-2</v>
      </c>
      <c r="H176" s="15">
        <f t="shared" si="2"/>
        <v>1.4774032605334053E-2</v>
      </c>
      <c r="I176" s="2">
        <v>0.98522596739466595</v>
      </c>
      <c r="J176" s="2">
        <v>0.99999662706433201</v>
      </c>
      <c r="K176" s="2">
        <v>0.99999999831042097</v>
      </c>
      <c r="L176" s="2">
        <v>0.99999999906850701</v>
      </c>
    </row>
    <row r="177" spans="1:12" x14ac:dyDescent="0.25">
      <c r="A177">
        <v>17.600000000000001</v>
      </c>
      <c r="B177" s="2">
        <v>9.3132257461547893E-10</v>
      </c>
      <c r="C177" s="2">
        <v>9.3132257461628005E-10</v>
      </c>
      <c r="D177" s="2">
        <v>9.3132684104502598E-10</v>
      </c>
      <c r="E177" s="2">
        <v>1.6038359674767E-9</v>
      </c>
      <c r="F177" s="2">
        <v>3.13868746049216E-6</v>
      </c>
      <c r="G177" s="2">
        <v>1.4428735175331799E-2</v>
      </c>
      <c r="H177" s="15">
        <f t="shared" si="2"/>
        <v>1.4428732102240049E-2</v>
      </c>
      <c r="I177" s="2">
        <v>0.98557126789775995</v>
      </c>
      <c r="J177" s="2">
        <v>0.99999686131372201</v>
      </c>
      <c r="K177" s="2">
        <v>0.99999999839616505</v>
      </c>
      <c r="L177" s="2">
        <v>0.99999999906853299</v>
      </c>
    </row>
    <row r="178" spans="1:12" x14ac:dyDescent="0.25">
      <c r="A178">
        <v>17.7</v>
      </c>
      <c r="B178" s="2">
        <v>9.3132257461547893E-10</v>
      </c>
      <c r="C178" s="2">
        <v>9.3132257461608608E-10</v>
      </c>
      <c r="D178" s="2">
        <v>9.3132610984179299E-10</v>
      </c>
      <c r="E178" s="2">
        <v>1.52778845534958E-9</v>
      </c>
      <c r="F178" s="2">
        <v>2.9207110087775698E-6</v>
      </c>
      <c r="G178" s="2">
        <v>1.40913896321345E-2</v>
      </c>
      <c r="H178" s="15">
        <f t="shared" si="2"/>
        <v>1.4091386576644993E-2</v>
      </c>
      <c r="I178" s="2">
        <v>0.98590861342335501</v>
      </c>
      <c r="J178" s="2">
        <v>0.99999707929011405</v>
      </c>
      <c r="K178" s="2">
        <v>0.99999999847221199</v>
      </c>
      <c r="L178" s="2">
        <v>0.99999999906855597</v>
      </c>
    </row>
    <row r="179" spans="1:12" x14ac:dyDescent="0.25">
      <c r="A179">
        <v>17.8</v>
      </c>
      <c r="B179" s="2">
        <v>9.3132257461547893E-10</v>
      </c>
      <c r="C179" s="2">
        <v>9.3132257461594008E-10</v>
      </c>
      <c r="D179" s="2">
        <v>9.3132550395603299E-10</v>
      </c>
      <c r="E179" s="2">
        <v>1.4603403618892701E-9</v>
      </c>
      <c r="F179" s="2">
        <v>2.7178770995160501E-6</v>
      </c>
      <c r="G179" s="2">
        <v>1.37618211378276E-2</v>
      </c>
      <c r="H179" s="15">
        <f t="shared" si="2"/>
        <v>1.3761818100142986E-2</v>
      </c>
      <c r="I179" s="2">
        <v>0.98623818189985701</v>
      </c>
      <c r="J179" s="2">
        <v>0.99999728212396699</v>
      </c>
      <c r="K179" s="2">
        <v>0.99999999853966004</v>
      </c>
      <c r="L179" s="2">
        <v>0.99999999906857395</v>
      </c>
    </row>
    <row r="180" spans="1:12" x14ac:dyDescent="0.25">
      <c r="A180">
        <v>17.899999999999999</v>
      </c>
      <c r="B180" s="2">
        <v>9.3132257461547893E-10</v>
      </c>
      <c r="C180" s="2">
        <v>9.31322574615828E-10</v>
      </c>
      <c r="D180" s="2">
        <v>9.3132500191017592E-10</v>
      </c>
      <c r="E180" s="2">
        <v>1.40051926866305E-9</v>
      </c>
      <c r="F180" s="2">
        <v>2.52913380535087E-6</v>
      </c>
      <c r="G180" s="2">
        <v>1.34398554967351E-2</v>
      </c>
      <c r="H180" s="15">
        <f t="shared" si="2"/>
        <v>1.343985247705004E-2</v>
      </c>
      <c r="I180" s="2">
        <v>0.98656014752294996</v>
      </c>
      <c r="J180" s="2">
        <v>0.99999747086720803</v>
      </c>
      <c r="K180" s="2">
        <v>0.99999999859948097</v>
      </c>
      <c r="L180" s="2">
        <v>0.99999999906859005</v>
      </c>
    </row>
    <row r="181" spans="1:12" x14ac:dyDescent="0.25">
      <c r="A181">
        <v>18</v>
      </c>
      <c r="B181" s="2">
        <v>9.3132257461547893E-10</v>
      </c>
      <c r="C181" s="2">
        <v>9.3132257461574404E-10</v>
      </c>
      <c r="D181" s="2">
        <v>9.3132458590758991E-10</v>
      </c>
      <c r="E181" s="2">
        <v>1.3474627178826E-9</v>
      </c>
      <c r="F181" s="2">
        <v>2.3535022738380799E-6</v>
      </c>
      <c r="G181" s="2">
        <v>1.3125322179139601E-2</v>
      </c>
      <c r="H181" s="15">
        <f t="shared" si="2"/>
        <v>1.3125319177641037E-2</v>
      </c>
      <c r="I181" s="2">
        <v>0.98687468082235896</v>
      </c>
      <c r="J181" s="2">
        <v>0.99999764649868905</v>
      </c>
      <c r="K181" s="2">
        <v>0.99999999865253797</v>
      </c>
      <c r="L181" s="2">
        <v>0.99999999906860404</v>
      </c>
    </row>
    <row r="182" spans="1:12" x14ac:dyDescent="0.25">
      <c r="A182">
        <v>18.100000000000001</v>
      </c>
      <c r="B182" s="2">
        <v>9.3132257461547893E-10</v>
      </c>
      <c r="C182" s="2">
        <v>9.3132257461567993E-10</v>
      </c>
      <c r="D182" s="2">
        <v>9.3132424120172501E-10</v>
      </c>
      <c r="E182" s="2">
        <v>1.30040577810315E-9</v>
      </c>
      <c r="F182" s="2">
        <v>2.19007165120387E-6</v>
      </c>
      <c r="G182" s="2">
        <v>1.2818054255149799E-2</v>
      </c>
      <c r="H182" s="15">
        <f t="shared" si="2"/>
        <v>1.2818051272019959E-2</v>
      </c>
      <c r="I182" s="2">
        <v>0.98718194872798004</v>
      </c>
      <c r="J182" s="2">
        <v>0.99999780992926401</v>
      </c>
      <c r="K182" s="2">
        <v>0.99999999869959399</v>
      </c>
      <c r="L182" s="2">
        <v>0.99999999906861503</v>
      </c>
    </row>
    <row r="183" spans="1:12" x14ac:dyDescent="0.25">
      <c r="A183">
        <v>18.2</v>
      </c>
      <c r="B183" s="2">
        <v>9.3132257461547893E-10</v>
      </c>
      <c r="C183" s="2">
        <v>9.3132257461563092E-10</v>
      </c>
      <c r="D183" s="2">
        <v>9.3132395557337305E-10</v>
      </c>
      <c r="E183" s="2">
        <v>1.25867001598777E-9</v>
      </c>
      <c r="F183" s="2">
        <v>2.0379943587163399E-6</v>
      </c>
      <c r="G183" s="2">
        <v>1.2517888329231E-2</v>
      </c>
      <c r="H183" s="15">
        <f t="shared" si="2"/>
        <v>1.2517885364644044E-2</v>
      </c>
      <c r="I183" s="2">
        <v>0.98748211463535596</v>
      </c>
      <c r="J183" s="2">
        <v>0.99999796200651003</v>
      </c>
      <c r="K183" s="2">
        <v>0.99999999874133005</v>
      </c>
      <c r="L183" s="2">
        <v>0.99999999906862502</v>
      </c>
    </row>
    <row r="184" spans="1:12" x14ac:dyDescent="0.25">
      <c r="A184">
        <v>18.3</v>
      </c>
      <c r="B184" s="2">
        <v>9.3132257461547893E-10</v>
      </c>
      <c r="C184" s="2">
        <v>9.3132257461559494E-10</v>
      </c>
      <c r="D184" s="2">
        <v>9.3132371889751597E-10</v>
      </c>
      <c r="E184" s="2">
        <v>1.22165371513975E-9</v>
      </c>
      <c r="F184" s="2">
        <v>1.89648169717959E-6</v>
      </c>
      <c r="G184" s="2">
        <v>1.22246644754152E-2</v>
      </c>
      <c r="H184" s="15">
        <f t="shared" si="2"/>
        <v>1.222466152953805E-2</v>
      </c>
      <c r="I184" s="2">
        <v>0.98777533847046195</v>
      </c>
      <c r="J184" s="2">
        <v>0.99999810351912799</v>
      </c>
      <c r="K184" s="2">
        <v>0.999999998778347</v>
      </c>
      <c r="L184" s="2">
        <v>0.99999999906863302</v>
      </c>
    </row>
    <row r="185" spans="1:12" x14ac:dyDescent="0.25">
      <c r="A185">
        <v>18.399999999999999</v>
      </c>
      <c r="B185" s="2">
        <v>9.3132257461547893E-10</v>
      </c>
      <c r="C185" s="2">
        <v>9.3132257461556599E-10</v>
      </c>
      <c r="D185" s="2">
        <v>9.3132352278441796E-10</v>
      </c>
      <c r="E185" s="2">
        <v>1.1888232009849701E-9</v>
      </c>
      <c r="F185" s="2">
        <v>1.7647997567587399E-6</v>
      </c>
      <c r="G185" s="2">
        <v>1.1938226173213801E-2</v>
      </c>
      <c r="H185" s="15">
        <f t="shared" si="2"/>
        <v>1.1938223246206969E-2</v>
      </c>
      <c r="I185" s="2">
        <v>0.98806177675379303</v>
      </c>
      <c r="J185" s="2">
        <v>0.99999823520102704</v>
      </c>
      <c r="K185" s="2">
        <v>0.99999999881117696</v>
      </c>
      <c r="L185" s="2">
        <v>0.99999999906864001</v>
      </c>
    </row>
    <row r="186" spans="1:12" x14ac:dyDescent="0.25">
      <c r="A186">
        <v>18.5</v>
      </c>
      <c r="B186" s="2">
        <v>9.3132257461547893E-10</v>
      </c>
      <c r="C186" s="2">
        <v>9.313225746155449E-10</v>
      </c>
      <c r="D186" s="2">
        <v>9.3132336028221802E-10</v>
      </c>
      <c r="E186" s="2">
        <v>1.15970514663283E-9</v>
      </c>
      <c r="F186" s="2">
        <v>1.64226561092812E-6</v>
      </c>
      <c r="G186" s="2">
        <v>1.1658420244253001E-2</v>
      </c>
      <c r="H186" s="15">
        <f t="shared" si="2"/>
        <v>1.1658417336270044E-2</v>
      </c>
      <c r="I186" s="2">
        <v>0.98834158266372996</v>
      </c>
      <c r="J186" s="2">
        <v>0.99999835773513401</v>
      </c>
      <c r="K186" s="2">
        <v>0.999999998840295</v>
      </c>
      <c r="L186" s="2">
        <v>0.99999999906864601</v>
      </c>
    </row>
    <row r="187" spans="1:12" x14ac:dyDescent="0.25">
      <c r="A187">
        <v>18.600000000000001</v>
      </c>
      <c r="B187" s="2">
        <v>9.3132257461547893E-10</v>
      </c>
      <c r="C187" s="2">
        <v>9.3132257461552897E-10</v>
      </c>
      <c r="D187" s="2">
        <v>9.3132322563050399E-10</v>
      </c>
      <c r="E187" s="2">
        <v>1.13387974878696E-9</v>
      </c>
      <c r="F187" s="2">
        <v>1.5282437748069399E-6</v>
      </c>
      <c r="G187" s="2">
        <v>1.13850967896474E-2</v>
      </c>
      <c r="H187" s="15">
        <f t="shared" si="2"/>
        <v>1.1385093900832977E-2</v>
      </c>
      <c r="I187" s="2">
        <v>0.98861490609916702</v>
      </c>
      <c r="J187" s="2">
        <v>0.99999847175693302</v>
      </c>
      <c r="K187" s="2">
        <v>0.99999999886612001</v>
      </c>
      <c r="L187" s="2">
        <v>0.999999999068651</v>
      </c>
    </row>
    <row r="188" spans="1:12" x14ac:dyDescent="0.25">
      <c r="A188">
        <v>18.7</v>
      </c>
      <c r="B188" s="2">
        <v>9.3132257461547893E-10</v>
      </c>
      <c r="C188" s="2">
        <v>9.3132257461551698E-10</v>
      </c>
      <c r="D188" s="2">
        <v>9.3132311405611099E-10</v>
      </c>
      <c r="E188" s="2">
        <v>1.11097467532095E-9</v>
      </c>
      <c r="F188" s="2">
        <v>1.4221429095172801E-6</v>
      </c>
      <c r="G188" s="2">
        <v>1.1118109128123201E-2</v>
      </c>
      <c r="H188" s="15">
        <f t="shared" si="2"/>
        <v>1.1118106258615978E-2</v>
      </c>
      <c r="I188" s="2">
        <v>0.98888189374138402</v>
      </c>
      <c r="J188" s="2">
        <v>0.99999857785776303</v>
      </c>
      <c r="K188" s="2">
        <v>0.99999999888902602</v>
      </c>
      <c r="L188" s="2">
        <v>0.999999999068655</v>
      </c>
    </row>
    <row r="189" spans="1:12" x14ac:dyDescent="0.25">
      <c r="A189">
        <v>18.8</v>
      </c>
      <c r="B189" s="2">
        <v>9.3132257461547893E-10</v>
      </c>
      <c r="C189" s="2">
        <v>9.3132257461550809E-10</v>
      </c>
      <c r="D189" s="2">
        <v>9.3132302160392808E-10</v>
      </c>
      <c r="E189" s="2">
        <v>1.09065969725951E-9</v>
      </c>
      <c r="F189" s="2">
        <v>1.3234127554764E-6</v>
      </c>
      <c r="G189" s="2">
        <v>1.08573137349109E-2</v>
      </c>
      <c r="H189" s="15">
        <f t="shared" si="2"/>
        <v>1.0857310884840987E-2</v>
      </c>
      <c r="I189" s="2">
        <v>0.98914268911515901</v>
      </c>
      <c r="J189" s="2">
        <v>0.999998676587883</v>
      </c>
      <c r="K189" s="2">
        <v>0.99999999890933999</v>
      </c>
      <c r="L189" s="2">
        <v>0.999999999068658</v>
      </c>
    </row>
    <row r="190" spans="1:12" x14ac:dyDescent="0.25">
      <c r="A190">
        <v>18.899999999999999</v>
      </c>
      <c r="B190" s="2">
        <v>9.3132257461547893E-10</v>
      </c>
      <c r="C190" s="2">
        <v>9.3132257461550106E-10</v>
      </c>
      <c r="D190" s="2">
        <v>9.31322944996688E-10</v>
      </c>
      <c r="E190" s="2">
        <v>1.07264192777284E-9</v>
      </c>
      <c r="F190" s="2">
        <v>1.23154127871987E-6</v>
      </c>
      <c r="G190" s="2">
        <v>1.0602570181415499E-2</v>
      </c>
      <c r="H190" s="15">
        <f t="shared" si="2"/>
        <v>1.0602567350906034E-2</v>
      </c>
      <c r="I190" s="2">
        <v>0.98939743264909397</v>
      </c>
      <c r="J190" s="2">
        <v>0.999998768459328</v>
      </c>
      <c r="K190" s="2">
        <v>0.99999999892735802</v>
      </c>
      <c r="L190" s="2">
        <v>0.99999999906866099</v>
      </c>
    </row>
    <row r="191" spans="1:12" x14ac:dyDescent="0.25">
      <c r="A191">
        <v>19</v>
      </c>
      <c r="B191" s="2">
        <v>9.3132257461547893E-10</v>
      </c>
      <c r="C191" s="2">
        <v>9.3132257461549506E-10</v>
      </c>
      <c r="D191" s="2">
        <v>9.3132288151880106E-10</v>
      </c>
      <c r="E191" s="2">
        <v>1.0566615995433599E-9</v>
      </c>
      <c r="F191" s="2">
        <v>1.1460520154587501E-6</v>
      </c>
      <c r="G191" s="2">
        <v>1.0353741075673301E-2</v>
      </c>
      <c r="H191" s="15">
        <f t="shared" si="2"/>
        <v>1.0353738264840984E-2</v>
      </c>
      <c r="I191" s="2">
        <v>0.98964626173515902</v>
      </c>
      <c r="J191" s="2">
        <v>0.99999885394856003</v>
      </c>
      <c r="K191" s="2">
        <v>0.99999999894333802</v>
      </c>
      <c r="L191" s="2">
        <v>0.99999999906866399</v>
      </c>
    </row>
    <row r="192" spans="1:12" x14ac:dyDescent="0.25">
      <c r="A192">
        <v>19.100000000000001</v>
      </c>
      <c r="B192" s="2">
        <v>9.3132257461547893E-10</v>
      </c>
      <c r="C192" s="2">
        <v>9.3132257461549092E-10</v>
      </c>
      <c r="D192" s="2">
        <v>9.313228289200899E-10</v>
      </c>
      <c r="E192" s="2">
        <v>1.0424883196260599E-9</v>
      </c>
      <c r="F192" s="2">
        <v>1.0665016010999599E-6</v>
      </c>
      <c r="G192" s="2">
        <v>1.0110692003607501E-2</v>
      </c>
      <c r="H192" s="15">
        <f t="shared" si="2"/>
        <v>1.0110689212559976E-2</v>
      </c>
      <c r="I192" s="2">
        <v>0.98988931078744002</v>
      </c>
      <c r="J192" s="2">
        <v>0.99999893349894597</v>
      </c>
      <c r="K192" s="2">
        <v>0.99999999895751202</v>
      </c>
      <c r="L192" s="2">
        <v>0.99999999906866599</v>
      </c>
    </row>
    <row r="193" spans="1:12" x14ac:dyDescent="0.25">
      <c r="A193">
        <v>19.2</v>
      </c>
      <c r="B193" s="2">
        <v>9.3132257461547893E-10</v>
      </c>
      <c r="C193" s="2">
        <v>9.3132257461548803E-10</v>
      </c>
      <c r="D193" s="2">
        <v>9.3132278533602304E-10</v>
      </c>
      <c r="E193" s="2">
        <v>1.0299177478074E-9</v>
      </c>
      <c r="F193" s="2">
        <v>9.9247747091742799E-7</v>
      </c>
      <c r="G193" s="2">
        <v>9.8732914710867193E-3</v>
      </c>
      <c r="H193" s="15">
        <f t="shared" si="2"/>
        <v>9.8732886999239877E-3</v>
      </c>
      <c r="I193" s="2">
        <v>0.99012671130007601</v>
      </c>
      <c r="J193" s="2">
        <v>0.99999900752304904</v>
      </c>
      <c r="K193" s="2">
        <v>0.99999999897008196</v>
      </c>
      <c r="L193" s="2">
        <v>0.99999999906866799</v>
      </c>
    </row>
    <row r="194" spans="1:12" x14ac:dyDescent="0.25">
      <c r="A194">
        <v>19.3</v>
      </c>
      <c r="B194" s="2">
        <v>9.3132257461547893E-10</v>
      </c>
      <c r="C194" s="2">
        <v>9.3132257461548596E-10</v>
      </c>
      <c r="D194" s="2">
        <v>9.3132274922162397E-10</v>
      </c>
      <c r="E194" s="2">
        <v>1.0187686505740801E-9</v>
      </c>
      <c r="F194" s="2">
        <v>9.2359572044940399E-7</v>
      </c>
      <c r="G194" s="2">
        <v>9.6414108467960998E-3</v>
      </c>
      <c r="H194" s="15">
        <f t="shared" si="2"/>
        <v>9.6414080956119808E-3</v>
      </c>
      <c r="I194" s="2">
        <v>0.99035859190438802</v>
      </c>
      <c r="J194" s="2">
        <v>0.99999907640477304</v>
      </c>
      <c r="K194" s="2">
        <v>0.99999999898123104</v>
      </c>
      <c r="L194" s="2">
        <v>0.99999999906866899</v>
      </c>
    </row>
    <row r="195" spans="1:12" x14ac:dyDescent="0.25">
      <c r="A195">
        <v>19.399999999999999</v>
      </c>
      <c r="B195" s="2">
        <v>9.3132257461547893E-10</v>
      </c>
      <c r="C195" s="2">
        <v>9.313225746154841E-10</v>
      </c>
      <c r="D195" s="2">
        <v>9.3132271929670102E-10</v>
      </c>
      <c r="E195" s="2">
        <v>1.0088802882176301E-9</v>
      </c>
      <c r="F195" s="2">
        <v>8.59499114527331E-7</v>
      </c>
      <c r="G195" s="2">
        <v>9.4149243059239197E-3</v>
      </c>
      <c r="H195" s="15">
        <f t="shared" ref="H195:H201" si="3">1-I195</f>
        <v>9.4149215748039472E-3</v>
      </c>
      <c r="I195" s="2">
        <v>0.99058507842519605</v>
      </c>
      <c r="J195" s="2">
        <v>0.99999914050135397</v>
      </c>
      <c r="K195" s="2">
        <v>0.99999999899112002</v>
      </c>
      <c r="L195" s="2">
        <v>0.99999999906866999</v>
      </c>
    </row>
    <row r="196" spans="1:12" x14ac:dyDescent="0.25">
      <c r="A196">
        <v>19.5</v>
      </c>
      <c r="B196" s="2">
        <v>9.3132257461547893E-10</v>
      </c>
      <c r="C196" s="2">
        <v>9.3132257461548307E-10</v>
      </c>
      <c r="D196" s="2">
        <v>9.3132269450046993E-10</v>
      </c>
      <c r="E196" s="2">
        <v>1.00011009740405E-9</v>
      </c>
      <c r="F196" s="2">
        <v>7.9985523461153596E-7</v>
      </c>
      <c r="G196" s="2">
        <v>9.1937087746654395E-3</v>
      </c>
      <c r="H196" s="15">
        <f t="shared" si="3"/>
        <v>9.1937060636879675E-3</v>
      </c>
      <c r="I196" s="2">
        <v>0.99080629393631203</v>
      </c>
      <c r="J196" s="2">
        <v>0.99999920014521004</v>
      </c>
      <c r="K196" s="2">
        <v>0.99999999899989001</v>
      </c>
      <c r="L196" s="2">
        <v>0.99999999906867099</v>
      </c>
    </row>
    <row r="197" spans="1:12" x14ac:dyDescent="0.25">
      <c r="A197">
        <v>19.600000000000001</v>
      </c>
      <c r="B197" s="2">
        <v>9.3132257461547893E-10</v>
      </c>
      <c r="C197" s="2">
        <v>9.3132257461548203E-10</v>
      </c>
      <c r="D197" s="2">
        <v>9.3132267395394706E-10</v>
      </c>
      <c r="E197" s="2">
        <v>9.923316357975061E-10</v>
      </c>
      <c r="F197" s="2">
        <v>7.4435475482595295E-7</v>
      </c>
      <c r="G197" s="2">
        <v>8.9776438755548305E-3</v>
      </c>
      <c r="H197" s="15">
        <f t="shared" si="3"/>
        <v>8.9776411847890536E-3</v>
      </c>
      <c r="I197" s="2">
        <v>0.99102235881521095</v>
      </c>
      <c r="J197" s="2">
        <v>0.99999925564566805</v>
      </c>
      <c r="K197" s="2">
        <v>0.99999999900766801</v>
      </c>
      <c r="L197" s="2">
        <v>0.99999999906867199</v>
      </c>
    </row>
    <row r="198" spans="1:12" x14ac:dyDescent="0.25">
      <c r="A198">
        <v>19.7</v>
      </c>
      <c r="B198" s="2">
        <v>9.3132257461547893E-10</v>
      </c>
      <c r="C198" s="2">
        <v>9.31322574615481E-10</v>
      </c>
      <c r="D198" s="2">
        <v>9.3132265692879699E-10</v>
      </c>
      <c r="E198" s="2">
        <v>9.854327591049861E-10</v>
      </c>
      <c r="F198" s="2">
        <v>6.9270983775221095E-7</v>
      </c>
      <c r="G198" s="2">
        <v>8.7666118736172503E-3</v>
      </c>
      <c r="H198" s="15">
        <f t="shared" si="3"/>
        <v>8.7666092031279952E-3</v>
      </c>
      <c r="I198" s="2">
        <v>0.991233390796872</v>
      </c>
      <c r="J198" s="2">
        <v>0.99999930729056297</v>
      </c>
      <c r="K198" s="2">
        <v>0.99999999901456704</v>
      </c>
      <c r="L198" s="2">
        <v>0.99999999906867298</v>
      </c>
    </row>
    <row r="199" spans="1:12" x14ac:dyDescent="0.25">
      <c r="A199">
        <v>19.8</v>
      </c>
      <c r="B199" s="2">
        <v>9.3132257461547893E-10</v>
      </c>
      <c r="C199" s="2">
        <v>9.3132257461547996E-10</v>
      </c>
      <c r="D199" s="2">
        <v>9.3132264282150502E-10</v>
      </c>
      <c r="E199" s="2">
        <v>9.7931400426001803E-10</v>
      </c>
      <c r="F199" s="2">
        <v>6.4465264166346703E-7</v>
      </c>
      <c r="G199" s="2">
        <v>8.5604976233472196E-3</v>
      </c>
      <c r="H199" s="15">
        <f t="shared" si="3"/>
        <v>8.5604949731890034E-3</v>
      </c>
      <c r="I199" s="2">
        <v>0.991439505026811</v>
      </c>
      <c r="J199" s="2">
        <v>0.99999935534773898</v>
      </c>
      <c r="K199" s="2">
        <v>0.99999999902068604</v>
      </c>
      <c r="L199" s="2">
        <v>0.99999999906867398</v>
      </c>
    </row>
    <row r="200" spans="1:12" x14ac:dyDescent="0.25">
      <c r="A200">
        <v>19.899999999999999</v>
      </c>
      <c r="B200" s="2">
        <v>9.3132257461547893E-10</v>
      </c>
      <c r="C200" s="2">
        <v>9.3132257461547996E-10</v>
      </c>
      <c r="D200" s="2">
        <v>9.3132263113199602E-10</v>
      </c>
      <c r="E200" s="2">
        <v>9.73887155435198E-10</v>
      </c>
      <c r="F200" s="2">
        <v>5.9993393145718404E-7</v>
      </c>
      <c r="G200" s="2">
        <v>8.3591885165161493E-3</v>
      </c>
      <c r="H200" s="15">
        <f t="shared" si="3"/>
        <v>8.3591858867370084E-3</v>
      </c>
      <c r="I200" s="2">
        <v>0.99164081411326299</v>
      </c>
      <c r="J200" s="2">
        <v>0.99999940006642996</v>
      </c>
      <c r="K200" s="2">
        <v>0.99999999902611303</v>
      </c>
      <c r="L200" s="2">
        <v>0.99999999906867398</v>
      </c>
    </row>
    <row r="201" spans="1:12" x14ac:dyDescent="0.25">
      <c r="A201">
        <v>20</v>
      </c>
      <c r="B201" s="2">
        <v>9.3132257461547893E-10</v>
      </c>
      <c r="C201" s="2">
        <v>9.3132257461547996E-10</v>
      </c>
      <c r="D201" s="2">
        <v>9.3132262144589799E-10</v>
      </c>
      <c r="E201" s="2">
        <v>9.6907397220941198E-10</v>
      </c>
      <c r="F201" s="2">
        <v>5.5832178608307504E-7</v>
      </c>
      <c r="G201" s="2">
        <v>8.1625744307993204E-3</v>
      </c>
      <c r="H201" s="15">
        <f t="shared" si="3"/>
        <v>8.1625718214409781E-3</v>
      </c>
      <c r="I201" s="2">
        <v>0.99183742817855902</v>
      </c>
      <c r="J201" s="2">
        <v>0.99999944167855803</v>
      </c>
      <c r="K201" s="2">
        <v>0.99999999903092596</v>
      </c>
      <c r="L201" s="2">
        <v>0.99999999906867498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Q1019"/>
  <sheetViews>
    <sheetView topLeftCell="G57" workbookViewId="0">
      <selection activeCell="N67" sqref="N67"/>
    </sheetView>
  </sheetViews>
  <sheetFormatPr defaultRowHeight="15" x14ac:dyDescent="0.25"/>
  <cols>
    <col min="1" max="12" width="9.140625" style="2"/>
    <col min="13" max="14" width="13" style="2" customWidth="1"/>
    <col min="15" max="17" width="9.140625" style="2" customWidth="1"/>
    <col min="18" max="18" width="10.140625" style="2" customWidth="1"/>
    <col min="19" max="26" width="9.140625" style="2"/>
    <col min="27" max="28" width="13" style="2" customWidth="1"/>
    <col min="29" max="31" width="9.140625" style="2" customWidth="1"/>
    <col min="32" max="32" width="10.140625" style="2" customWidth="1"/>
    <col min="33" max="41" width="9.140625" style="2"/>
    <col min="42" max="42" width="13.42578125" style="2" customWidth="1"/>
    <col min="43" max="16384" width="9.140625" style="2"/>
  </cols>
  <sheetData>
    <row r="3" spans="1:42" x14ac:dyDescent="0.25">
      <c r="B3" s="2" t="s">
        <v>26</v>
      </c>
    </row>
    <row r="5" spans="1:42" x14ac:dyDescent="0.25">
      <c r="B5" s="5" t="s">
        <v>6</v>
      </c>
      <c r="C5" s="5"/>
      <c r="D5" s="5"/>
      <c r="E5" s="5"/>
      <c r="F5" s="5"/>
      <c r="G5" s="5"/>
      <c r="H5" s="5"/>
      <c r="I5" s="5"/>
      <c r="J5" s="5"/>
      <c r="K5" s="5"/>
      <c r="O5" s="5" t="s">
        <v>6</v>
      </c>
      <c r="P5" s="5"/>
      <c r="Q5" s="5"/>
      <c r="R5" s="5"/>
      <c r="S5" s="5"/>
      <c r="T5" s="5"/>
      <c r="U5" s="5"/>
      <c r="V5" s="5"/>
      <c r="W5" s="5"/>
      <c r="X5" s="5"/>
      <c r="Y5" s="8"/>
      <c r="AC5" s="5" t="s">
        <v>6</v>
      </c>
      <c r="AD5" s="5"/>
      <c r="AE5" s="5"/>
      <c r="AF5" s="5"/>
      <c r="AG5" s="5"/>
      <c r="AH5" s="5"/>
      <c r="AI5" s="5"/>
      <c r="AJ5" s="5"/>
      <c r="AK5" s="5"/>
      <c r="AL5" s="5"/>
      <c r="AM5" s="8"/>
    </row>
    <row r="6" spans="1:42" x14ac:dyDescent="0.25">
      <c r="A6" s="6" t="s">
        <v>0</v>
      </c>
      <c r="B6" s="7">
        <v>0.5</v>
      </c>
      <c r="C6" s="7">
        <v>1.5</v>
      </c>
      <c r="D6" s="7">
        <v>2.5</v>
      </c>
      <c r="E6" s="7">
        <v>3.5</v>
      </c>
      <c r="F6" s="7">
        <v>4.5</v>
      </c>
      <c r="G6" s="7">
        <v>5.5</v>
      </c>
      <c r="H6" s="7">
        <v>6.5</v>
      </c>
      <c r="I6" s="7">
        <v>7.5</v>
      </c>
      <c r="J6" s="7">
        <v>8.5</v>
      </c>
      <c r="K6" s="7">
        <v>9.5</v>
      </c>
      <c r="N6" s="6" t="s">
        <v>0</v>
      </c>
      <c r="O6" s="7">
        <v>0.5</v>
      </c>
      <c r="P6" s="7">
        <v>1.5</v>
      </c>
      <c r="Q6" s="7">
        <v>2.5</v>
      </c>
      <c r="R6" s="7">
        <v>3.5</v>
      </c>
      <c r="S6" s="7">
        <v>4.5</v>
      </c>
      <c r="T6" s="7">
        <v>5.5</v>
      </c>
      <c r="U6" s="7">
        <v>6.5</v>
      </c>
      <c r="V6" s="7">
        <v>7.5</v>
      </c>
      <c r="W6" s="7">
        <v>8.5</v>
      </c>
      <c r="X6" s="7">
        <v>9.5</v>
      </c>
      <c r="Y6" s="11" t="s">
        <v>27</v>
      </c>
      <c r="AB6" s="6" t="s">
        <v>0</v>
      </c>
      <c r="AC6" s="7">
        <v>0.5</v>
      </c>
      <c r="AD6" s="7">
        <v>1.5</v>
      </c>
      <c r="AE6" s="7">
        <v>2.5</v>
      </c>
      <c r="AF6" s="7">
        <v>3.5</v>
      </c>
      <c r="AG6" s="7">
        <v>4.5</v>
      </c>
      <c r="AH6" s="7">
        <v>5.5</v>
      </c>
      <c r="AI6" s="7">
        <v>6.5</v>
      </c>
      <c r="AJ6" s="7">
        <v>7.5</v>
      </c>
      <c r="AK6" s="7">
        <v>8.5</v>
      </c>
      <c r="AL6" s="7">
        <v>9.5</v>
      </c>
      <c r="AM6" s="11" t="s">
        <v>28</v>
      </c>
      <c r="AP6" s="11" t="s">
        <v>29</v>
      </c>
    </row>
    <row r="7" spans="1:42" x14ac:dyDescent="0.25">
      <c r="A7" s="4">
        <v>0.1</v>
      </c>
      <c r="B7" s="2">
        <v>0.41361384944787499</v>
      </c>
      <c r="C7" s="2">
        <v>0.43639449538722203</v>
      </c>
      <c r="D7" s="2">
        <v>0.45944675382377098</v>
      </c>
      <c r="E7" s="2">
        <v>0.47658574684105998</v>
      </c>
      <c r="F7" s="2">
        <v>0.48768390902762898</v>
      </c>
      <c r="G7" s="2">
        <v>0.49879422758854702</v>
      </c>
      <c r="H7" s="2">
        <v>0.50990573700053499</v>
      </c>
      <c r="I7" s="2">
        <v>0.52100746703935596</v>
      </c>
      <c r="J7" s="2">
        <v>0.53208848606311998</v>
      </c>
      <c r="K7" s="2">
        <v>0.54313794397257098</v>
      </c>
      <c r="M7" s="2" t="s">
        <v>30</v>
      </c>
      <c r="N7" s="4">
        <v>0.1</v>
      </c>
      <c r="O7" s="2">
        <f>B7*($T$6+2)+(1-B7)*(2.4+0.6*$T$6)</f>
        <v>6.4445049290061753</v>
      </c>
      <c r="P7" s="2">
        <f t="shared" ref="P7:Q7" si="0">C7*($T$6+2)+(1-C7)*(2.4+0.6*$T$6)</f>
        <v>6.485510091696999</v>
      </c>
      <c r="Q7" s="2">
        <f t="shared" si="0"/>
        <v>6.5270041568827875</v>
      </c>
      <c r="R7" s="2">
        <f>E7*($T$6+2)+(1-E7)*($T$6+2)</f>
        <v>7.5</v>
      </c>
      <c r="S7" s="2">
        <f>F7*($T$6+2)+(1-F7)*($T$6+2)</f>
        <v>7.5</v>
      </c>
      <c r="T7" s="2">
        <f>G7*($T$6+2)+(1-G7)*($T$6+2)</f>
        <v>7.5</v>
      </c>
      <c r="U7" s="2">
        <f>H7*($T$6+2)+(1-H7)*($T$6+2)</f>
        <v>7.5</v>
      </c>
      <c r="V7" s="2">
        <f>I7*($T$6+2)+(1-I7)*($T$6+2)</f>
        <v>7.5</v>
      </c>
      <c r="W7" s="2">
        <f>J7*($T$6+2)+(1-J7)*($T$6+2)</f>
        <v>7.5</v>
      </c>
      <c r="X7" s="2">
        <f>K7*($T$6+2)+(1-K7)*($T$6+2)</f>
        <v>7.5</v>
      </c>
      <c r="Y7" s="2">
        <f>SUM(O7:X7)/10</f>
        <v>7.1957019177585959</v>
      </c>
      <c r="AA7" s="2" t="s">
        <v>31</v>
      </c>
      <c r="AB7" s="4">
        <v>0.1</v>
      </c>
      <c r="AC7" s="2">
        <f>B7*($AH$6+2)+(1-B7)*(7)</f>
        <v>7.2068069247239386</v>
      </c>
      <c r="AD7" s="2">
        <f>C7*($AH$6+2)+(1-C7)*(7)</f>
        <v>7.2181972476936105</v>
      </c>
      <c r="AE7" s="2">
        <f>D7*($AH$6+2)+(1-D7)*(7)</f>
        <v>7.2297233769118856</v>
      </c>
      <c r="AF7" s="2">
        <f>E7*($AH$6+2)+(1-E7)*(7)</f>
        <v>7.2382928734205301</v>
      </c>
      <c r="AG7" s="2">
        <f>F7*($AH$6+2)+(1-F7)*(7)</f>
        <v>7.2438419545138135</v>
      </c>
      <c r="AH7" s="2">
        <f>G7*($AH$6+2)+(1-G7)*(7)</f>
        <v>7.2493971137942737</v>
      </c>
      <c r="AI7" s="2">
        <f>H7*($AH$6+2)+(1-H7)*(7)</f>
        <v>7.2549528685002675</v>
      </c>
      <c r="AJ7" s="2">
        <f>I7*($AH$6+2)+(1-I7)*(7)</f>
        <v>7.2605037335196787</v>
      </c>
      <c r="AK7" s="2">
        <f>J7*($AH$6+2)+(1-J7)*(7)</f>
        <v>7.2660442430315602</v>
      </c>
      <c r="AL7" s="2">
        <f>K7*($AH$6+2)+(1-K7)*(7)</f>
        <v>7.2715689719862855</v>
      </c>
      <c r="AM7" s="2">
        <f>SUM(AC7:AL7)/10</f>
        <v>7.2439329308095832</v>
      </c>
      <c r="AP7" s="2">
        <f>(EXP(A7*Y7))/(EXP(A7*Y7)+EXP(A7*AM7))</f>
        <v>0.49879422701114612</v>
      </c>
    </row>
    <row r="8" spans="1:42" x14ac:dyDescent="0.25">
      <c r="A8" s="4">
        <v>0.2</v>
      </c>
      <c r="B8" s="2">
        <v>0.33128005007991801</v>
      </c>
      <c r="C8" s="2">
        <v>0.37345520180863501</v>
      </c>
      <c r="D8" s="2">
        <v>0.41764628112351798</v>
      </c>
      <c r="E8" s="2">
        <v>0.45140731384310001</v>
      </c>
      <c r="F8" s="2">
        <v>0.47376131364941698</v>
      </c>
      <c r="G8" s="2">
        <v>0.49622099241161399</v>
      </c>
      <c r="H8" s="2">
        <v>0.51869593258375302</v>
      </c>
      <c r="I8" s="2">
        <v>0.54109547084055098</v>
      </c>
      <c r="J8" s="2">
        <v>0.56333015574927303</v>
      </c>
      <c r="K8" s="2">
        <v>0.58531316427075097</v>
      </c>
      <c r="N8" s="4">
        <v>0.2</v>
      </c>
      <c r="O8" s="2">
        <f t="shared" ref="O8:O26" si="1">B8*($T$6+2)+(1-B8)*(2.4+0.6*$T$6)</f>
        <v>6.2963040901438516</v>
      </c>
      <c r="P8" s="2">
        <f t="shared" ref="P8:P26" si="2">C8*($T$6+2)+(1-C8)*(2.4+0.6*$T$6)</f>
        <v>6.3722193632555424</v>
      </c>
      <c r="Q8" s="2">
        <f t="shared" ref="Q8:Q26" si="3">D8*($T$6+2)+(1-D8)*(2.4+0.6*$T$6)</f>
        <v>6.4517633060223325</v>
      </c>
      <c r="R8" s="2">
        <f t="shared" ref="R8:X23" si="4">E8*($T$6+2)+(1-E8)*($T$6+2)</f>
        <v>7.5</v>
      </c>
      <c r="S8" s="2">
        <f>F8*($T$6+2)+(1-F8)*($T$6+2)</f>
        <v>7.5</v>
      </c>
      <c r="T8" s="2">
        <f>G8*($T$6+2)+(1-G8)*($T$6+2)</f>
        <v>7.5</v>
      </c>
      <c r="U8" s="2">
        <f>H8*($T$6+2)+(1-H8)*($T$6+2)</f>
        <v>7.5</v>
      </c>
      <c r="V8" s="2">
        <f>I8*($T$6+2)+(1-I8)*($T$6+2)</f>
        <v>7.5</v>
      </c>
      <c r="W8" s="2">
        <f>J8*($T$6+2)+(1-J8)*($T$6+2)</f>
        <v>7.5</v>
      </c>
      <c r="X8" s="2">
        <f>K8*($T$6+2)+(1-K8)*($T$6+2)</f>
        <v>7.5</v>
      </c>
      <c r="Y8" s="2">
        <f t="shared" ref="Y8:Y26" si="5">SUM(O8:X8)/10</f>
        <v>7.1620286759421727</v>
      </c>
      <c r="AB8" s="4">
        <v>0.2</v>
      </c>
      <c r="AC8" s="2">
        <f t="shared" ref="AC8:AC26" si="6">B8*($AH$6+2)+(1-B8)*(7)</f>
        <v>7.1656400250399592</v>
      </c>
      <c r="AD8" s="2">
        <f>C8*($AH$6+2)+(1-C8)*(7)</f>
        <v>7.1867276009043177</v>
      </c>
      <c r="AE8" s="2">
        <f>D8*($AH$6+2)+(1-D8)*(7)</f>
        <v>7.2088231405617584</v>
      </c>
      <c r="AF8" s="2">
        <f>E8*($AH$6+2)+(1-E8)*(7)</f>
        <v>7.2257036569215494</v>
      </c>
      <c r="AG8" s="2">
        <f>F8*($AH$6+2)+(1-F8)*(7)</f>
        <v>7.2368806568247086</v>
      </c>
      <c r="AH8" s="2">
        <f>G8*($AH$6+2)+(1-G8)*(7)</f>
        <v>7.2481104962058067</v>
      </c>
      <c r="AI8" s="2">
        <f>H8*($AH$6+2)+(1-H8)*(7)</f>
        <v>7.2593479662918767</v>
      </c>
      <c r="AJ8" s="2">
        <f>I8*($AH$6+2)+(1-I8)*(7)</f>
        <v>7.2705477354202754</v>
      </c>
      <c r="AK8" s="2">
        <f>J8*($AH$6+2)+(1-J8)*(7)</f>
        <v>7.2816650778746368</v>
      </c>
      <c r="AL8" s="2">
        <f>K8*($AH$6+2)+(1-K8)*(7)</f>
        <v>7.2926565821353755</v>
      </c>
      <c r="AM8" s="2">
        <f t="shared" ref="AM8:AM26" si="7">SUM(AC8:AL8)/10</f>
        <v>7.2376102938180269</v>
      </c>
      <c r="AP8" s="2">
        <f>(EXP(A8*Y8))/(EXP(A8*Y8)+EXP(A8*AM8))</f>
        <v>0.49622099106558154</v>
      </c>
    </row>
    <row r="9" spans="1:42" x14ac:dyDescent="0.25">
      <c r="A9" s="4">
        <v>0.3</v>
      </c>
      <c r="B9" s="2">
        <v>0.257312950559486</v>
      </c>
      <c r="C9" s="2">
        <v>0.31332293363965502</v>
      </c>
      <c r="D9" s="2">
        <v>0.37536285586790902</v>
      </c>
      <c r="E9" s="2">
        <v>0.42473891850103901</v>
      </c>
      <c r="F9" s="2">
        <v>0.45838537247556099</v>
      </c>
      <c r="G9" s="2">
        <v>0.49241567507572598</v>
      </c>
      <c r="H9" s="2">
        <v>0.52651640421354995</v>
      </c>
      <c r="I9" s="2">
        <v>0.56037154033202197</v>
      </c>
      <c r="J9" s="2">
        <v>0.59367408723834802</v>
      </c>
      <c r="K9" s="2">
        <v>0.62613699679324497</v>
      </c>
      <c r="N9" s="4">
        <v>0.3</v>
      </c>
      <c r="O9" s="2">
        <f t="shared" si="1"/>
        <v>6.1631633110070743</v>
      </c>
      <c r="P9" s="2">
        <f t="shared" si="2"/>
        <v>6.2639812805513788</v>
      </c>
      <c r="Q9" s="2">
        <f t="shared" si="3"/>
        <v>6.3756531405622363</v>
      </c>
      <c r="R9" s="2">
        <f t="shared" si="4"/>
        <v>7.4999999999999991</v>
      </c>
      <c r="S9" s="2">
        <f>F9*($T$6+2)+(1-F9)*($T$6+2)</f>
        <v>7.5</v>
      </c>
      <c r="T9" s="2">
        <f>G9*($T$6+2)+(1-G9)*($T$6+2)</f>
        <v>7.5</v>
      </c>
      <c r="U9" s="2">
        <f>H9*($T$6+2)+(1-H9)*($T$6+2)</f>
        <v>7.5</v>
      </c>
      <c r="V9" s="2">
        <f>I9*($T$6+2)+(1-I9)*($T$6+2)</f>
        <v>7.5</v>
      </c>
      <c r="W9" s="2">
        <f>J9*($T$6+2)+(1-J9)*($T$6+2)</f>
        <v>7.5</v>
      </c>
      <c r="X9" s="2">
        <f>K9*($T$6+2)+(1-K9)*($T$6+2)</f>
        <v>7.5</v>
      </c>
      <c r="Y9" s="2">
        <f t="shared" si="5"/>
        <v>7.1302797732120693</v>
      </c>
      <c r="AB9" s="4">
        <v>0.3</v>
      </c>
      <c r="AC9" s="2">
        <f t="shared" si="6"/>
        <v>7.128656475279743</v>
      </c>
      <c r="AD9" s="2">
        <f>C9*($AH$6+2)+(1-C9)*(7)</f>
        <v>7.156661466819827</v>
      </c>
      <c r="AE9" s="2">
        <f>D9*($AH$6+2)+(1-D9)*(7)</f>
        <v>7.1876814279339545</v>
      </c>
      <c r="AF9" s="2">
        <f>E9*($AH$6+2)+(1-E9)*(7)</f>
        <v>7.2123694592505192</v>
      </c>
      <c r="AG9" s="2">
        <f>F9*($AH$6+2)+(1-F9)*(7)</f>
        <v>7.2291926862377807</v>
      </c>
      <c r="AH9" s="2">
        <f>G9*($AH$6+2)+(1-G9)*(7)</f>
        <v>7.2462078375378631</v>
      </c>
      <c r="AI9" s="2">
        <f>H9*($AH$6+2)+(1-H9)*(7)</f>
        <v>7.2632582021067744</v>
      </c>
      <c r="AJ9" s="2">
        <f>I9*($AH$6+2)+(1-I9)*(7)</f>
        <v>7.2801857701660104</v>
      </c>
      <c r="AK9" s="2">
        <f>J9*($AH$6+2)+(1-J9)*(7)</f>
        <v>7.2968370436191741</v>
      </c>
      <c r="AL9" s="2">
        <f>K9*($AH$6+2)+(1-K9)*(7)</f>
        <v>7.313068498396623</v>
      </c>
      <c r="AM9" s="2">
        <f t="shared" si="7"/>
        <v>7.2314118867348274</v>
      </c>
      <c r="AP9" s="2">
        <f>(EXP(A9*Y9))/(EXP(A9*Y9)+EXP(A9*AM9))</f>
        <v>0.49241567325375751</v>
      </c>
    </row>
    <row r="10" spans="1:42" x14ac:dyDescent="0.25">
      <c r="A10" s="4">
        <v>0.4</v>
      </c>
      <c r="B10" s="2">
        <v>0.19446820631681799</v>
      </c>
      <c r="C10" s="2">
        <v>0.257948595181755</v>
      </c>
      <c r="D10" s="2">
        <v>0.33356999129152598</v>
      </c>
      <c r="E10" s="2">
        <v>0.39705046997642401</v>
      </c>
      <c r="F10" s="2">
        <v>0.44183422411509699</v>
      </c>
      <c r="G10" s="2">
        <v>0.487584448965105</v>
      </c>
      <c r="H10" s="2">
        <v>0.53354364649945696</v>
      </c>
      <c r="I10" s="2">
        <v>0.57894042913413701</v>
      </c>
      <c r="J10" s="2">
        <v>0.62304057840062599</v>
      </c>
      <c r="K10" s="2">
        <v>0.66519299235631202</v>
      </c>
      <c r="N10" s="4">
        <v>0.4</v>
      </c>
      <c r="O10" s="2">
        <f t="shared" si="1"/>
        <v>6.050042771370272</v>
      </c>
      <c r="P10" s="2">
        <f t="shared" si="2"/>
        <v>6.1643074713271586</v>
      </c>
      <c r="Q10" s="2">
        <f t="shared" si="3"/>
        <v>6.3004259843247468</v>
      </c>
      <c r="R10" s="2">
        <f t="shared" si="4"/>
        <v>7.5</v>
      </c>
      <c r="S10" s="2">
        <f>F10*($T$6+2)+(1-F10)*($T$6+2)</f>
        <v>7.5</v>
      </c>
      <c r="T10" s="2">
        <f>G10*($T$6+2)+(1-G10)*($T$6+2)</f>
        <v>7.5</v>
      </c>
      <c r="U10" s="2">
        <f>H10*($T$6+2)+(1-H10)*($T$6+2)</f>
        <v>7.5</v>
      </c>
      <c r="V10" s="2">
        <f>I10*($T$6+2)+(1-I10)*($T$6+2)</f>
        <v>7.5</v>
      </c>
      <c r="W10" s="2">
        <f>J10*($T$6+2)+(1-J10)*($T$6+2)</f>
        <v>7.5</v>
      </c>
      <c r="X10" s="2">
        <f>K10*($T$6+2)+(1-K10)*($T$6+2)</f>
        <v>7.5</v>
      </c>
      <c r="Y10" s="2">
        <f t="shared" si="5"/>
        <v>7.1014776227022178</v>
      </c>
      <c r="AB10" s="4">
        <v>0.4</v>
      </c>
      <c r="AC10" s="2">
        <f t="shared" si="6"/>
        <v>7.0972341031584101</v>
      </c>
      <c r="AD10" s="2">
        <f>C10*($AH$6+2)+(1-C10)*(7)</f>
        <v>7.1289742975908776</v>
      </c>
      <c r="AE10" s="2">
        <f>D10*($AH$6+2)+(1-D10)*(7)</f>
        <v>7.166784995645763</v>
      </c>
      <c r="AF10" s="2">
        <f>E10*($AH$6+2)+(1-E10)*(7)</f>
        <v>7.1985252349882121</v>
      </c>
      <c r="AG10" s="2">
        <f>F10*($AH$6+2)+(1-F10)*(7)</f>
        <v>7.220917112057549</v>
      </c>
      <c r="AH10" s="2">
        <f>G10*($AH$6+2)+(1-G10)*(7)</f>
        <v>7.2437922244825526</v>
      </c>
      <c r="AI10" s="2">
        <f>H10*($AH$6+2)+(1-H10)*(7)</f>
        <v>7.2667718232497283</v>
      </c>
      <c r="AJ10" s="2">
        <f>I10*($AH$6+2)+(1-I10)*(7)</f>
        <v>7.2894702145670678</v>
      </c>
      <c r="AK10" s="2">
        <f>J10*($AH$6+2)+(1-J10)*(7)</f>
        <v>7.3115202892003133</v>
      </c>
      <c r="AL10" s="2">
        <f>K10*($AH$6+2)+(1-K10)*(7)</f>
        <v>7.332596496178156</v>
      </c>
      <c r="AM10" s="2">
        <f t="shared" si="7"/>
        <v>7.225658679111862</v>
      </c>
      <c r="AP10" s="2">
        <f>(EXP(A10*Y10))/(EXP(A10*Y10)+EXP(A10*AM10))</f>
        <v>0.48758444704649445</v>
      </c>
    </row>
    <row r="11" spans="1:42" x14ac:dyDescent="0.25">
      <c r="A11" s="4">
        <v>0.5</v>
      </c>
      <c r="B11" s="2">
        <v>0.14364639453038999</v>
      </c>
      <c r="C11" s="2">
        <v>0.20876018633330101</v>
      </c>
      <c r="D11" s="2">
        <v>0.29328115635375301</v>
      </c>
      <c r="E11" s="2">
        <v>0.36891612267073498</v>
      </c>
      <c r="F11" s="2">
        <v>0.424452952718814</v>
      </c>
      <c r="G11" s="2">
        <v>0.48196529274903399</v>
      </c>
      <c r="H11" s="2">
        <v>0.53995948069184996</v>
      </c>
      <c r="I11" s="2">
        <v>0.59689140356520598</v>
      </c>
      <c r="J11" s="2">
        <v>0.65132735544296805</v>
      </c>
      <c r="K11" s="2">
        <v>0.702081290354024</v>
      </c>
      <c r="N11" s="4">
        <v>0.5</v>
      </c>
      <c r="O11" s="2">
        <f t="shared" si="1"/>
        <v>5.9585635101547014</v>
      </c>
      <c r="P11" s="2">
        <f t="shared" si="2"/>
        <v>6.0757683353999408</v>
      </c>
      <c r="Q11" s="2">
        <f t="shared" si="3"/>
        <v>6.2279060814367551</v>
      </c>
      <c r="R11" s="2">
        <f t="shared" si="4"/>
        <v>7.5</v>
      </c>
      <c r="S11" s="2">
        <f>F11*($T$6+2)+(1-F11)*($T$6+2)</f>
        <v>7.5</v>
      </c>
      <c r="T11" s="2">
        <f>G11*($T$6+2)+(1-G11)*($T$6+2)</f>
        <v>7.5</v>
      </c>
      <c r="U11" s="2">
        <f>H11*($T$6+2)+(1-H11)*($T$6+2)</f>
        <v>7.5</v>
      </c>
      <c r="V11" s="2">
        <f>I11*($T$6+2)+(1-I11)*($T$6+2)</f>
        <v>7.5</v>
      </c>
      <c r="W11" s="2">
        <f>J11*($T$6+2)+(1-J11)*($T$6+2)</f>
        <v>7.5</v>
      </c>
      <c r="X11" s="2">
        <f>K11*($T$6+2)+(1-K11)*($T$6+2)</f>
        <v>7.5</v>
      </c>
      <c r="Y11" s="2">
        <f t="shared" si="5"/>
        <v>7.0762237926991389</v>
      </c>
      <c r="AB11" s="4">
        <v>0.5</v>
      </c>
      <c r="AC11" s="2">
        <f t="shared" si="6"/>
        <v>7.0718231972651955</v>
      </c>
      <c r="AD11" s="2">
        <f>C11*($AH$6+2)+(1-C11)*(7)</f>
        <v>7.1043800931666494</v>
      </c>
      <c r="AE11" s="2">
        <f>D11*($AH$6+2)+(1-D11)*(7)</f>
        <v>7.1466405781768767</v>
      </c>
      <c r="AF11" s="2">
        <f>E11*($AH$6+2)+(1-E11)*(7)</f>
        <v>7.1844580613353672</v>
      </c>
      <c r="AG11" s="2">
        <f>F11*($AH$6+2)+(1-F11)*(7)</f>
        <v>7.2122264763594064</v>
      </c>
      <c r="AH11" s="2">
        <f>G11*($AH$6+2)+(1-G11)*(7)</f>
        <v>7.2409826463745173</v>
      </c>
      <c r="AI11" s="2">
        <f>H11*($AH$6+2)+(1-H11)*(7)</f>
        <v>7.2699797403459243</v>
      </c>
      <c r="AJ11" s="2">
        <f>I11*($AH$6+2)+(1-I11)*(7)</f>
        <v>7.2984457017826028</v>
      </c>
      <c r="AK11" s="2">
        <f>J11*($AH$6+2)+(1-J11)*(7)</f>
        <v>7.3256636777214847</v>
      </c>
      <c r="AL11" s="2">
        <f>K11*($AH$6+2)+(1-K11)*(7)</f>
        <v>7.3510406451770125</v>
      </c>
      <c r="AM11" s="2">
        <f t="shared" si="7"/>
        <v>7.2205640817705028</v>
      </c>
      <c r="AP11" s="2">
        <f>(EXP(A11*Y11))/(EXP(A11*Y11)+EXP(A11*AM11))</f>
        <v>0.48196529104649793</v>
      </c>
    </row>
    <row r="12" spans="1:42" x14ac:dyDescent="0.25">
      <c r="A12" s="4">
        <v>0.6</v>
      </c>
      <c r="B12" s="2">
        <v>0.10420278454584</v>
      </c>
      <c r="C12" s="2">
        <v>0.166484566278192</v>
      </c>
      <c r="D12" s="2">
        <v>0.25537950286467198</v>
      </c>
      <c r="E12" s="2">
        <v>0.34091197475156898</v>
      </c>
      <c r="F12" s="2">
        <v>0.40659103071012398</v>
      </c>
      <c r="G12" s="2">
        <v>0.47578915671282801</v>
      </c>
      <c r="H12" s="2">
        <v>0.545929567132311</v>
      </c>
      <c r="I12" s="2">
        <v>0.61429310873550402</v>
      </c>
      <c r="J12" s="2">
        <v>0.67842677451415501</v>
      </c>
      <c r="K12" s="2">
        <v>0.73647131891566997</v>
      </c>
      <c r="N12" s="4">
        <v>0.6</v>
      </c>
      <c r="O12" s="2">
        <f t="shared" si="1"/>
        <v>5.8875650121825123</v>
      </c>
      <c r="P12" s="2">
        <f t="shared" si="2"/>
        <v>5.999672219300745</v>
      </c>
      <c r="Q12" s="2">
        <f t="shared" si="3"/>
        <v>6.1596831051564092</v>
      </c>
      <c r="R12" s="2">
        <f t="shared" si="4"/>
        <v>7.5</v>
      </c>
      <c r="S12" s="2">
        <f>F12*($T$6+2)+(1-F12)*($T$6+2)</f>
        <v>7.5000000000000009</v>
      </c>
      <c r="T12" s="2">
        <f>G12*($T$6+2)+(1-G12)*($T$6+2)</f>
        <v>7.5</v>
      </c>
      <c r="U12" s="2">
        <f>H12*($T$6+2)+(1-H12)*($T$6+2)</f>
        <v>7.5</v>
      </c>
      <c r="V12" s="2">
        <f>I12*($T$6+2)+(1-I12)*($T$6+2)</f>
        <v>7.5</v>
      </c>
      <c r="W12" s="2">
        <f>J12*($T$6+2)+(1-J12)*($T$6+2)</f>
        <v>7.5</v>
      </c>
      <c r="X12" s="2">
        <f>K12*($T$6+2)+(1-K12)*($T$6+2)</f>
        <v>7.5</v>
      </c>
      <c r="Y12" s="2">
        <f t="shared" si="5"/>
        <v>7.054692033663966</v>
      </c>
      <c r="AB12" s="4">
        <v>0.6</v>
      </c>
      <c r="AC12" s="2">
        <f t="shared" si="6"/>
        <v>7.0521013922729203</v>
      </c>
      <c r="AD12" s="2">
        <f>C12*($AH$6+2)+(1-C12)*(7)</f>
        <v>7.0832422831390964</v>
      </c>
      <c r="AE12" s="2">
        <f>D12*($AH$6+2)+(1-D12)*(7)</f>
        <v>7.127689751432337</v>
      </c>
      <c r="AF12" s="2">
        <f>E12*($AH$6+2)+(1-E12)*(7)</f>
        <v>7.1704559873757843</v>
      </c>
      <c r="AG12" s="2">
        <f>F12*($AH$6+2)+(1-F12)*(7)</f>
        <v>7.2032955153550624</v>
      </c>
      <c r="AH12" s="2">
        <f>G12*($AH$6+2)+(1-G12)*(7)</f>
        <v>7.2378945783564141</v>
      </c>
      <c r="AI12" s="2">
        <f>H12*($AH$6+2)+(1-H12)*(7)</f>
        <v>7.2729647835661551</v>
      </c>
      <c r="AJ12" s="2">
        <f>I12*($AH$6+2)+(1-I12)*(7)</f>
        <v>7.3071465543677521</v>
      </c>
      <c r="AK12" s="2">
        <f>J12*($AH$6+2)+(1-J12)*(7)</f>
        <v>7.3392133872570779</v>
      </c>
      <c r="AL12" s="2">
        <f>K12*($AH$6+2)+(1-K12)*(7)</f>
        <v>7.3682356594578344</v>
      </c>
      <c r="AM12" s="2">
        <f t="shared" si="7"/>
        <v>7.2162239892580446</v>
      </c>
      <c r="AP12" s="2">
        <f>(EXP(A12*Y12))/(EXP(A12*Y12)+EXP(A12*AM12))</f>
        <v>0.47578915539123695</v>
      </c>
    </row>
    <row r="13" spans="1:42" x14ac:dyDescent="0.25">
      <c r="A13" s="4">
        <v>0.7</v>
      </c>
      <c r="B13" s="2">
        <v>7.4565813645218304E-2</v>
      </c>
      <c r="C13" s="2">
        <v>0.131170825724714</v>
      </c>
      <c r="D13" s="2">
        <v>0.220507526606781</v>
      </c>
      <c r="E13" s="2">
        <v>0.313539572433222</v>
      </c>
      <c r="F13" s="2">
        <v>0.38855710242070801</v>
      </c>
      <c r="G13" s="2">
        <v>0.46925387699223697</v>
      </c>
      <c r="H13" s="2">
        <v>0.55159115960447602</v>
      </c>
      <c r="I13" s="2">
        <v>0.63119418159516205</v>
      </c>
      <c r="J13" s="2">
        <v>0.70424290798887601</v>
      </c>
      <c r="K13" s="2">
        <v>0.76813789087950302</v>
      </c>
      <c r="N13" s="4">
        <v>0.7</v>
      </c>
      <c r="O13" s="2">
        <f t="shared" si="1"/>
        <v>5.8342184645613919</v>
      </c>
      <c r="P13" s="2">
        <f t="shared" si="2"/>
        <v>5.9361074863044854</v>
      </c>
      <c r="Q13" s="2">
        <f t="shared" si="3"/>
        <v>6.0969135478922052</v>
      </c>
      <c r="R13" s="2">
        <f t="shared" si="4"/>
        <v>7.5</v>
      </c>
      <c r="S13" s="2">
        <f>F13*($T$6+2)+(1-F13)*($T$6+2)</f>
        <v>7.5000000000000009</v>
      </c>
      <c r="T13" s="2">
        <f>G13*($T$6+2)+(1-G13)*($T$6+2)</f>
        <v>7.5</v>
      </c>
      <c r="U13" s="2">
        <f>H13*($T$6+2)+(1-H13)*($T$6+2)</f>
        <v>7.5</v>
      </c>
      <c r="V13" s="2">
        <f>I13*($T$6+2)+(1-I13)*($T$6+2)</f>
        <v>7.5</v>
      </c>
      <c r="W13" s="2">
        <f>J13*($T$6+2)+(1-J13)*($T$6+2)</f>
        <v>7.5</v>
      </c>
      <c r="X13" s="2">
        <f>K13*($T$6+2)+(1-K13)*($T$6+2)</f>
        <v>7.5</v>
      </c>
      <c r="Y13" s="2">
        <f t="shared" si="5"/>
        <v>7.0367239498758085</v>
      </c>
      <c r="AB13" s="4">
        <v>0.7</v>
      </c>
      <c r="AC13" s="2">
        <f t="shared" si="6"/>
        <v>7.0372829068226093</v>
      </c>
      <c r="AD13" s="2">
        <f>C13*($AH$6+2)+(1-C13)*(7)</f>
        <v>7.0655854128623581</v>
      </c>
      <c r="AE13" s="2">
        <f>D13*($AH$6+2)+(1-D13)*(7)</f>
        <v>7.1102537633033904</v>
      </c>
      <c r="AF13" s="2">
        <f>E13*($AH$6+2)+(1-E13)*(7)</f>
        <v>7.1567697862166115</v>
      </c>
      <c r="AG13" s="2">
        <f>F13*($AH$6+2)+(1-F13)*(7)</f>
        <v>7.1942785512103544</v>
      </c>
      <c r="AH13" s="2">
        <f>G13*($AH$6+2)+(1-G13)*(7)</f>
        <v>7.2346269384961186</v>
      </c>
      <c r="AI13" s="2">
        <f>H13*($AH$6+2)+(1-H13)*(7)</f>
        <v>7.2757955798022387</v>
      </c>
      <c r="AJ13" s="2">
        <f>I13*($AH$6+2)+(1-I13)*(7)</f>
        <v>7.3155970907975805</v>
      </c>
      <c r="AK13" s="2">
        <f>J13*($AH$6+2)+(1-J13)*(7)</f>
        <v>7.3521214539944379</v>
      </c>
      <c r="AL13" s="2">
        <f>K13*($AH$6+2)+(1-K13)*(7)</f>
        <v>7.3840689454397515</v>
      </c>
      <c r="AM13" s="2">
        <f t="shared" si="7"/>
        <v>7.2126380428945449</v>
      </c>
      <c r="AP13" s="2">
        <f>(EXP(A13*Y13))/(EXP(A13*Y13)+EXP(A13*AM13))</f>
        <v>0.46925387528980611</v>
      </c>
    </row>
    <row r="14" spans="1:42" x14ac:dyDescent="0.25">
      <c r="A14" s="4">
        <v>0.8</v>
      </c>
      <c r="B14" s="2">
        <v>5.28336001099943E-2</v>
      </c>
      <c r="C14" s="2">
        <v>0.102356400704765</v>
      </c>
      <c r="D14" s="2">
        <v>0.18903433062695299</v>
      </c>
      <c r="E14" s="2">
        <v>0.28718876184907</v>
      </c>
      <c r="F14" s="2">
        <v>0.37059809730771498</v>
      </c>
      <c r="G14" s="2">
        <v>0.46251379280862398</v>
      </c>
      <c r="H14" s="2">
        <v>0.55705006973108695</v>
      </c>
      <c r="I14" s="2">
        <v>0.64762673907308299</v>
      </c>
      <c r="J14" s="2">
        <v>0.72870231289579102</v>
      </c>
      <c r="K14" s="2">
        <v>0.796971687100267</v>
      </c>
      <c r="N14" s="4">
        <v>0.8</v>
      </c>
      <c r="O14" s="2">
        <f t="shared" si="1"/>
        <v>5.7951004801979895</v>
      </c>
      <c r="P14" s="2">
        <f t="shared" si="2"/>
        <v>5.8842415212685761</v>
      </c>
      <c r="Q14" s="2">
        <f t="shared" si="3"/>
        <v>6.0402617951285151</v>
      </c>
      <c r="R14" s="2">
        <f t="shared" si="4"/>
        <v>7.5</v>
      </c>
      <c r="S14" s="2">
        <f>F14*($T$6+2)+(1-F14)*($T$6+2)</f>
        <v>7.5</v>
      </c>
      <c r="T14" s="2">
        <f>G14*($T$6+2)+(1-G14)*($T$6+2)</f>
        <v>7.5</v>
      </c>
      <c r="U14" s="2">
        <f>H14*($T$6+2)+(1-H14)*($T$6+2)</f>
        <v>7.5</v>
      </c>
      <c r="V14" s="2">
        <f>I14*($T$6+2)+(1-I14)*($T$6+2)</f>
        <v>7.5</v>
      </c>
      <c r="W14" s="2">
        <f>J14*($T$6+2)+(1-J14)*($T$6+2)</f>
        <v>7.5</v>
      </c>
      <c r="X14" s="2">
        <f>K14*($T$6+2)+(1-K14)*($T$6+2)</f>
        <v>7.5</v>
      </c>
      <c r="Y14" s="2">
        <f t="shared" si="5"/>
        <v>7.0219603796595083</v>
      </c>
      <c r="AB14" s="4">
        <v>0.8</v>
      </c>
      <c r="AC14" s="2">
        <f t="shared" si="6"/>
        <v>7.0264168000549976</v>
      </c>
      <c r="AD14" s="2">
        <f>C14*($AH$6+2)+(1-C14)*(7)</f>
        <v>7.051178200352382</v>
      </c>
      <c r="AE14" s="2">
        <f>D14*($AH$6+2)+(1-D14)*(7)</f>
        <v>7.0945171653134764</v>
      </c>
      <c r="AF14" s="2">
        <f>E14*($AH$6+2)+(1-E14)*(7)</f>
        <v>7.1435943809245348</v>
      </c>
      <c r="AG14" s="2">
        <f>F14*($AH$6+2)+(1-F14)*(7)</f>
        <v>7.1852990486538575</v>
      </c>
      <c r="AH14" s="2">
        <f>G14*($AH$6+2)+(1-G14)*(7)</f>
        <v>7.2312568964043118</v>
      </c>
      <c r="AI14" s="2">
        <f>H14*($AH$6+2)+(1-H14)*(7)</f>
        <v>7.2785250348655435</v>
      </c>
      <c r="AJ14" s="2">
        <f>I14*($AH$6+2)+(1-I14)*(7)</f>
        <v>7.3238133695365413</v>
      </c>
      <c r="AK14" s="2">
        <f>J14*($AH$6+2)+(1-J14)*(7)</f>
        <v>7.3643511564478956</v>
      </c>
      <c r="AL14" s="2">
        <f>K14*($AH$6+2)+(1-K14)*(7)</f>
        <v>7.3984858435501337</v>
      </c>
      <c r="AM14" s="2">
        <f t="shared" si="7"/>
        <v>7.2097437896103669</v>
      </c>
      <c r="AP14" s="2">
        <f>(EXP(A14*Y14))/(EXP(A14*Y14)+EXP(A14*AM14))</f>
        <v>0.4625137907890049</v>
      </c>
    </row>
    <row r="15" spans="1:42" x14ac:dyDescent="0.25">
      <c r="A15" s="4">
        <v>0.9</v>
      </c>
      <c r="B15" s="2">
        <v>3.7176939746329303E-2</v>
      </c>
      <c r="C15" s="2">
        <v>7.92785728259741E-2</v>
      </c>
      <c r="D15" s="2">
        <v>0.16108215348815899</v>
      </c>
      <c r="E15" s="2">
        <v>0.26213319197209201</v>
      </c>
      <c r="F15" s="2">
        <v>0.35289761118296997</v>
      </c>
      <c r="G15" s="2">
        <v>0.45568097896905502</v>
      </c>
      <c r="H15" s="2">
        <v>0.56238360326357395</v>
      </c>
      <c r="I15" s="2">
        <v>0.66361045923074702</v>
      </c>
      <c r="J15" s="2">
        <v>0.75175783487308701</v>
      </c>
      <c r="K15" s="2">
        <v>0.822968977525112</v>
      </c>
      <c r="N15" s="4">
        <v>0.9</v>
      </c>
      <c r="O15" s="2">
        <f t="shared" si="1"/>
        <v>5.7669184915433922</v>
      </c>
      <c r="P15" s="2">
        <f t="shared" si="2"/>
        <v>5.8427014310867529</v>
      </c>
      <c r="Q15" s="2">
        <f t="shared" si="3"/>
        <v>5.9899478762786851</v>
      </c>
      <c r="R15" s="2">
        <f t="shared" si="4"/>
        <v>7.5</v>
      </c>
      <c r="S15" s="2">
        <f>F15*($T$6+2)+(1-F15)*($T$6+2)</f>
        <v>7.5</v>
      </c>
      <c r="T15" s="2">
        <f>G15*($T$6+2)+(1-G15)*($T$6+2)</f>
        <v>7.5</v>
      </c>
      <c r="U15" s="2">
        <f>H15*($T$6+2)+(1-H15)*($T$6+2)</f>
        <v>7.5</v>
      </c>
      <c r="V15" s="2">
        <f>I15*($T$6+2)+(1-I15)*($T$6+2)</f>
        <v>7.5</v>
      </c>
      <c r="W15" s="2">
        <f>J15*($T$6+2)+(1-J15)*($T$6+2)</f>
        <v>7.5</v>
      </c>
      <c r="X15" s="2">
        <f>K15*($T$6+2)+(1-K15)*($T$6+2)</f>
        <v>7.5</v>
      </c>
      <c r="Y15" s="2">
        <f t="shared" si="5"/>
        <v>7.0099567798908824</v>
      </c>
      <c r="AB15" s="4">
        <v>0.9</v>
      </c>
      <c r="AC15" s="2">
        <f t="shared" si="6"/>
        <v>7.0185884698731646</v>
      </c>
      <c r="AD15" s="2">
        <f>C15*($AH$6+2)+(1-C15)*(7)</f>
        <v>7.0396392864129869</v>
      </c>
      <c r="AE15" s="2">
        <f>D15*($AH$6+2)+(1-D15)*(7)</f>
        <v>7.0805410767440797</v>
      </c>
      <c r="AF15" s="2">
        <f>E15*($AH$6+2)+(1-E15)*(7)</f>
        <v>7.1310665959860469</v>
      </c>
      <c r="AG15" s="2">
        <f>F15*($AH$6+2)+(1-F15)*(7)</f>
        <v>7.1764488055914839</v>
      </c>
      <c r="AH15" s="2">
        <f>G15*($AH$6+2)+(1-G15)*(7)</f>
        <v>7.2278404894845281</v>
      </c>
      <c r="AI15" s="2">
        <f>H15*($AH$6+2)+(1-H15)*(7)</f>
        <v>7.2811918016317865</v>
      </c>
      <c r="AJ15" s="2">
        <f>I15*($AH$6+2)+(1-I15)*(7)</f>
        <v>7.331805229615374</v>
      </c>
      <c r="AK15" s="2">
        <f>J15*($AH$6+2)+(1-J15)*(7)</f>
        <v>7.3758789174365429</v>
      </c>
      <c r="AL15" s="2">
        <f>K15*($AH$6+2)+(1-K15)*(7)</f>
        <v>7.4114844887625555</v>
      </c>
      <c r="AM15" s="2">
        <f t="shared" si="7"/>
        <v>7.2074485161538551</v>
      </c>
      <c r="AP15" s="2">
        <f>(EXP(A15*Y15))/(EXP(A15*Y15)+EXP(A15*AM15))</f>
        <v>0.45568097671213931</v>
      </c>
    </row>
    <row r="16" spans="1:42" x14ac:dyDescent="0.25">
      <c r="A16" s="4">
        <v>1</v>
      </c>
      <c r="B16" s="2">
        <v>2.60367216975383E-2</v>
      </c>
      <c r="C16" s="2">
        <v>6.1058624254203601E-2</v>
      </c>
      <c r="D16" s="2">
        <v>0.13658226876702401</v>
      </c>
      <c r="E16" s="2">
        <v>0.238544412236286</v>
      </c>
      <c r="F16" s="2">
        <v>0.33558466962335498</v>
      </c>
      <c r="G16" s="2">
        <v>0.448832255794549</v>
      </c>
      <c r="H16" s="2">
        <v>0.56764598006021605</v>
      </c>
      <c r="I16" s="2">
        <v>0.67915612246389201</v>
      </c>
      <c r="J16" s="2">
        <v>0.77338765162622403</v>
      </c>
      <c r="K16" s="2">
        <v>0.84621042075313802</v>
      </c>
      <c r="N16" s="4">
        <v>1</v>
      </c>
      <c r="O16" s="2">
        <f t="shared" si="1"/>
        <v>5.746866099055568</v>
      </c>
      <c r="P16" s="2">
        <f t="shared" si="2"/>
        <v>5.8099055236575659</v>
      </c>
      <c r="Q16" s="2">
        <f t="shared" si="3"/>
        <v>5.9458480837806427</v>
      </c>
      <c r="R16" s="2">
        <f t="shared" si="4"/>
        <v>7.5</v>
      </c>
      <c r="S16" s="2">
        <f>F16*($T$6+2)+(1-F16)*($T$6+2)</f>
        <v>7.5</v>
      </c>
      <c r="T16" s="2">
        <f>G16*($T$6+2)+(1-G16)*($T$6+2)</f>
        <v>7.5</v>
      </c>
      <c r="U16" s="2">
        <f>H16*($T$6+2)+(1-H16)*($T$6+2)</f>
        <v>7.5</v>
      </c>
      <c r="V16" s="2">
        <f>I16*($T$6+2)+(1-I16)*($T$6+2)</f>
        <v>7.5</v>
      </c>
      <c r="W16" s="2">
        <f>J16*($T$6+2)+(1-J16)*($T$6+2)</f>
        <v>7.5</v>
      </c>
      <c r="X16" s="2">
        <f>K16*($T$6+2)+(1-K16)*($T$6+2)</f>
        <v>7.5</v>
      </c>
      <c r="Y16" s="2">
        <f t="shared" si="5"/>
        <v>7.0002619706493778</v>
      </c>
      <c r="AB16" s="4">
        <v>1</v>
      </c>
      <c r="AC16" s="2">
        <f t="shared" si="6"/>
        <v>7.0130183608487693</v>
      </c>
      <c r="AD16" s="2">
        <f>C16*($AH$6+2)+(1-C16)*(7)</f>
        <v>7.0305293121271024</v>
      </c>
      <c r="AE16" s="2">
        <f>D16*($AH$6+2)+(1-D16)*(7)</f>
        <v>7.0682911343835118</v>
      </c>
      <c r="AF16" s="2">
        <f>E16*($AH$6+2)+(1-E16)*(7)</f>
        <v>7.1192722061181435</v>
      </c>
      <c r="AG16" s="2">
        <f>F16*($AH$6+2)+(1-F16)*(7)</f>
        <v>7.1677923348116774</v>
      </c>
      <c r="AH16" s="2">
        <f>G16*($AH$6+2)+(1-G16)*(7)</f>
        <v>7.2244161278972747</v>
      </c>
      <c r="AI16" s="2">
        <f>H16*($AH$6+2)+(1-H16)*(7)</f>
        <v>7.2838229900301075</v>
      </c>
      <c r="AJ16" s="2">
        <f>I16*($AH$6+2)+(1-I16)*(7)</f>
        <v>7.3395780612319461</v>
      </c>
      <c r="AK16" s="2">
        <f>J16*($AH$6+2)+(1-J16)*(7)</f>
        <v>7.3866938258131114</v>
      </c>
      <c r="AL16" s="2">
        <f>K16*($AH$6+2)+(1-K16)*(7)</f>
        <v>7.4231052103765691</v>
      </c>
      <c r="AM16" s="2">
        <f t="shared" si="7"/>
        <v>7.2056519563638233</v>
      </c>
      <c r="AP16" s="2">
        <f>(EXP(A16*Y16))/(EXP(A16*Y16)+EXP(A16*AM16))</f>
        <v>0.4488322533766278</v>
      </c>
    </row>
    <row r="17" spans="1:43" x14ac:dyDescent="0.25">
      <c r="A17" s="4">
        <v>1.1000000000000001</v>
      </c>
      <c r="B17" s="2">
        <v>1.8177506734347301E-2</v>
      </c>
      <c r="C17" s="2">
        <v>4.6829050422169997E-2</v>
      </c>
      <c r="D17" s="2">
        <v>0.115336292364791</v>
      </c>
      <c r="E17" s="2">
        <v>0.216512668320156</v>
      </c>
      <c r="F17" s="2">
        <v>0.31874577495902501</v>
      </c>
      <c r="G17" s="2">
        <v>0.44201763464971799</v>
      </c>
      <c r="H17" s="2">
        <v>0.572873951361071</v>
      </c>
      <c r="I17" s="2">
        <v>0.69426832295608398</v>
      </c>
      <c r="J17" s="2">
        <v>0.79359201917469702</v>
      </c>
      <c r="K17" s="2">
        <v>0.86683722081009296</v>
      </c>
      <c r="N17" s="4">
        <v>1.1000000000000001</v>
      </c>
      <c r="O17" s="2">
        <f t="shared" si="1"/>
        <v>5.7327195121218244</v>
      </c>
      <c r="P17" s="2">
        <f t="shared" si="2"/>
        <v>5.7842922907599048</v>
      </c>
      <c r="Q17" s="2">
        <f t="shared" si="3"/>
        <v>5.9076053262566228</v>
      </c>
      <c r="R17" s="2">
        <f t="shared" si="4"/>
        <v>7.5</v>
      </c>
      <c r="S17" s="2">
        <f>F17*($T$6+2)+(1-F17)*($T$6+2)</f>
        <v>7.5</v>
      </c>
      <c r="T17" s="2">
        <f>G17*($T$6+2)+(1-G17)*($T$6+2)</f>
        <v>7.5</v>
      </c>
      <c r="U17" s="2">
        <f>H17*($T$6+2)+(1-H17)*($T$6+2)</f>
        <v>7.5</v>
      </c>
      <c r="V17" s="2">
        <f>I17*($T$6+2)+(1-I17)*($T$6+2)</f>
        <v>7.5</v>
      </c>
      <c r="W17" s="2">
        <f>J17*($T$6+2)+(1-J17)*($T$6+2)</f>
        <v>7.5</v>
      </c>
      <c r="X17" s="2">
        <f>K17*($T$6+2)+(1-K17)*($T$6+2)</f>
        <v>7.5</v>
      </c>
      <c r="Y17" s="2">
        <f t="shared" si="5"/>
        <v>6.9924617129138351</v>
      </c>
      <c r="AB17" s="4">
        <v>1.1000000000000001</v>
      </c>
      <c r="AC17" s="2">
        <f t="shared" si="6"/>
        <v>7.0090887533671742</v>
      </c>
      <c r="AD17" s="2">
        <f>C17*($AH$6+2)+(1-C17)*(7)</f>
        <v>7.0234145252110851</v>
      </c>
      <c r="AE17" s="2">
        <f>D17*($AH$6+2)+(1-D17)*(7)</f>
        <v>7.0576681461823956</v>
      </c>
      <c r="AF17" s="2">
        <f>E17*($AH$6+2)+(1-E17)*(7)</f>
        <v>7.1082563341600782</v>
      </c>
      <c r="AG17" s="2">
        <f>F17*($AH$6+2)+(1-F17)*(7)</f>
        <v>7.1593728874795124</v>
      </c>
      <c r="AH17" s="2">
        <f>G17*($AH$6+2)+(1-G17)*(7)</f>
        <v>7.2210088173248597</v>
      </c>
      <c r="AI17" s="2">
        <f>H17*($AH$6+2)+(1-H17)*(7)</f>
        <v>7.2864369756805356</v>
      </c>
      <c r="AJ17" s="2">
        <f>I17*($AH$6+2)+(1-I17)*(7)</f>
        <v>7.3471341614780421</v>
      </c>
      <c r="AK17" s="2">
        <f>J17*($AH$6+2)+(1-J17)*(7)</f>
        <v>7.396796009587348</v>
      </c>
      <c r="AL17" s="2">
        <f>K17*($AH$6+2)+(1-K17)*(7)</f>
        <v>7.433418610405047</v>
      </c>
      <c r="AM17" s="2">
        <f t="shared" si="7"/>
        <v>7.2042595220876064</v>
      </c>
      <c r="AP17" s="2">
        <f>(EXP(A17*Y17))/(EXP(A17*Y17)+EXP(A17*AM17))</f>
        <v>0.44201763213314432</v>
      </c>
    </row>
    <row r="18" spans="1:43" x14ac:dyDescent="0.25">
      <c r="A18" s="4">
        <v>1.2</v>
      </c>
      <c r="B18" s="2">
        <v>1.2664734837351499E-2</v>
      </c>
      <c r="C18" s="2">
        <v>3.5805123198991803E-2</v>
      </c>
      <c r="D18" s="2">
        <v>9.7069659622731203E-2</v>
      </c>
      <c r="E18" s="2">
        <v>0.19606742507088001</v>
      </c>
      <c r="F18" s="2">
        <v>0.30243629190135501</v>
      </c>
      <c r="G18" s="2">
        <v>0.43526793924159701</v>
      </c>
      <c r="H18" s="2">
        <v>0.57809157568174296</v>
      </c>
      <c r="I18" s="2">
        <v>0.70894745741640597</v>
      </c>
      <c r="J18" s="2">
        <v>0.81238939440844204</v>
      </c>
      <c r="K18" s="2">
        <v>0.88502943926202704</v>
      </c>
      <c r="N18" s="4">
        <v>1.2</v>
      </c>
      <c r="O18" s="2">
        <f t="shared" si="1"/>
        <v>5.722796522707231</v>
      </c>
      <c r="P18" s="2">
        <f t="shared" si="2"/>
        <v>5.7644492217581851</v>
      </c>
      <c r="Q18" s="2">
        <f t="shared" si="3"/>
        <v>5.8747253873209155</v>
      </c>
      <c r="R18" s="2">
        <f t="shared" si="4"/>
        <v>7.4999999999999991</v>
      </c>
      <c r="S18" s="2">
        <f>F18*($T$6+2)+(1-F18)*($T$6+2)</f>
        <v>7.5</v>
      </c>
      <c r="T18" s="2">
        <f>G18*($T$6+2)+(1-G18)*($T$6+2)</f>
        <v>7.5</v>
      </c>
      <c r="U18" s="2">
        <f>H18*($T$6+2)+(1-H18)*($T$6+2)</f>
        <v>7.5</v>
      </c>
      <c r="V18" s="2">
        <f>I18*($T$6+2)+(1-I18)*($T$6+2)</f>
        <v>7.5</v>
      </c>
      <c r="W18" s="2">
        <f>J18*($T$6+2)+(1-J18)*($T$6+2)</f>
        <v>7.5</v>
      </c>
      <c r="X18" s="2">
        <f>K18*($T$6+2)+(1-K18)*($T$6+2)</f>
        <v>7.5</v>
      </c>
      <c r="Y18" s="2">
        <f t="shared" si="5"/>
        <v>6.9861971131786333</v>
      </c>
      <c r="AB18" s="4">
        <v>1.2</v>
      </c>
      <c r="AC18" s="2">
        <f t="shared" si="6"/>
        <v>7.0063323674186755</v>
      </c>
      <c r="AD18" s="2">
        <f>C18*($AH$6+2)+(1-C18)*(7)</f>
        <v>7.017902561599497</v>
      </c>
      <c r="AE18" s="2">
        <f>D18*($AH$6+2)+(1-D18)*(7)</f>
        <v>7.0485348298113655</v>
      </c>
      <c r="AF18" s="2">
        <f>E18*($AH$6+2)+(1-E18)*(7)</f>
        <v>7.0980337125354396</v>
      </c>
      <c r="AG18" s="2">
        <f>F18*($AH$6+2)+(1-F18)*(7)</f>
        <v>7.1512181459506774</v>
      </c>
      <c r="AH18" s="2">
        <f>G18*($AH$6+2)+(1-G18)*(7)</f>
        <v>7.217633969620799</v>
      </c>
      <c r="AI18" s="2">
        <f>H18*($AH$6+2)+(1-H18)*(7)</f>
        <v>7.2890457878408714</v>
      </c>
      <c r="AJ18" s="2">
        <f>I18*($AH$6+2)+(1-I18)*(7)</f>
        <v>7.3544737287082036</v>
      </c>
      <c r="AK18" s="2">
        <f>J18*($AH$6+2)+(1-J18)*(7)</f>
        <v>7.4061946972042207</v>
      </c>
      <c r="AL18" s="2">
        <f>K18*($AH$6+2)+(1-K18)*(7)</f>
        <v>7.4425147196310135</v>
      </c>
      <c r="AM18" s="2">
        <f t="shared" si="7"/>
        <v>7.2031884520320775</v>
      </c>
      <c r="AP18" s="2">
        <f>(EXP(A18*Y18))/(EXP(A18*Y18)+EXP(A18*AM18))</f>
        <v>0.43526793667205699</v>
      </c>
    </row>
    <row r="19" spans="1:43" x14ac:dyDescent="0.25">
      <c r="A19" s="4">
        <v>1.3</v>
      </c>
      <c r="B19" s="2">
        <v>8.8124723176850901E-3</v>
      </c>
      <c r="C19" s="2">
        <v>2.73150994268903E-2</v>
      </c>
      <c r="D19" s="2">
        <v>8.1472571818139106E-2</v>
      </c>
      <c r="E19" s="2">
        <v>0.17719468198960101</v>
      </c>
      <c r="F19" s="2">
        <v>0.28668965541540697</v>
      </c>
      <c r="G19" s="2">
        <v>0.428600832666718</v>
      </c>
      <c r="H19" s="2">
        <v>0.58331390113899895</v>
      </c>
      <c r="I19" s="2">
        <v>0.72319119119853603</v>
      </c>
      <c r="J19" s="2">
        <v>0.82981276469566401</v>
      </c>
      <c r="K19" s="2">
        <v>0.90098838219878197</v>
      </c>
      <c r="N19" s="4">
        <v>1.3</v>
      </c>
      <c r="O19" s="2">
        <f t="shared" si="1"/>
        <v>5.7158624501718318</v>
      </c>
      <c r="P19" s="2">
        <f t="shared" si="2"/>
        <v>5.7491671789684018</v>
      </c>
      <c r="Q19" s="2">
        <f t="shared" si="3"/>
        <v>5.8466506292726503</v>
      </c>
      <c r="R19" s="2">
        <f t="shared" si="4"/>
        <v>7.5</v>
      </c>
      <c r="S19" s="2">
        <f>F19*($T$6+2)+(1-F19)*($T$6+2)</f>
        <v>7.4999999999999991</v>
      </c>
      <c r="T19" s="2">
        <f>G19*($T$6+2)+(1-G19)*($T$6+2)</f>
        <v>7.5</v>
      </c>
      <c r="U19" s="2">
        <f>H19*($T$6+2)+(1-H19)*($T$6+2)</f>
        <v>7.5</v>
      </c>
      <c r="V19" s="2">
        <f>I19*($T$6+2)+(1-I19)*($T$6+2)</f>
        <v>7.5</v>
      </c>
      <c r="W19" s="2">
        <f>J19*($T$6+2)+(1-J19)*($T$6+2)</f>
        <v>7.5</v>
      </c>
      <c r="X19" s="2">
        <f>K19*($T$6+2)+(1-K19)*($T$6+2)</f>
        <v>7.5</v>
      </c>
      <c r="Y19" s="2">
        <f t="shared" si="5"/>
        <v>6.9811680258412876</v>
      </c>
      <c r="AB19" s="4">
        <v>1.3</v>
      </c>
      <c r="AC19" s="2">
        <f t="shared" si="6"/>
        <v>7.0044062361588422</v>
      </c>
      <c r="AD19" s="2">
        <f>C19*($AH$6+2)+(1-C19)*(7)</f>
        <v>7.0136575497134457</v>
      </c>
      <c r="AE19" s="2">
        <f>D19*($AH$6+2)+(1-D19)*(7)</f>
        <v>7.0407362859090705</v>
      </c>
      <c r="AF19" s="2">
        <f>E19*($AH$6+2)+(1-E19)*(7)</f>
        <v>7.0885973409948004</v>
      </c>
      <c r="AG19" s="2">
        <f>F19*($AH$6+2)+(1-F19)*(7)</f>
        <v>7.1433448277077032</v>
      </c>
      <c r="AH19" s="2">
        <f>G19*($AH$6+2)+(1-G19)*(7)</f>
        <v>7.2143004163333586</v>
      </c>
      <c r="AI19" s="2">
        <f>H19*($AH$6+2)+(1-H19)*(7)</f>
        <v>7.2916569505695001</v>
      </c>
      <c r="AJ19" s="2">
        <f>I19*($AH$6+2)+(1-I19)*(7)</f>
        <v>7.361595595599268</v>
      </c>
      <c r="AK19" s="2">
        <f>J19*($AH$6+2)+(1-J19)*(7)</f>
        <v>7.4149063823478318</v>
      </c>
      <c r="AL19" s="2">
        <f>K19*($AH$6+2)+(1-K19)*(7)</f>
        <v>7.4504941910993905</v>
      </c>
      <c r="AM19" s="2">
        <f t="shared" si="7"/>
        <v>7.2023695776433216</v>
      </c>
      <c r="AP19" s="2">
        <f>(EXP(A19*Y19))/(EXP(A19*Y19)+EXP(A19*AM19))</f>
        <v>0.42860083007473909</v>
      </c>
    </row>
    <row r="20" spans="1:43" x14ac:dyDescent="0.25">
      <c r="A20" s="4">
        <v>1.4</v>
      </c>
      <c r="B20" s="2">
        <v>6.1271320675897597E-3</v>
      </c>
      <c r="C20" s="2">
        <v>2.08046716498935E-2</v>
      </c>
      <c r="D20" s="2">
        <v>6.8228540286909903E-2</v>
      </c>
      <c r="E20" s="2">
        <v>0.15985046487721399</v>
      </c>
      <c r="F20" s="2">
        <v>0.27152421090407802</v>
      </c>
      <c r="G20" s="2">
        <v>0.42202524627143001</v>
      </c>
      <c r="H20" s="2">
        <v>0.58854966085929294</v>
      </c>
      <c r="I20" s="2">
        <v>0.73699557054875897</v>
      </c>
      <c r="J20" s="2">
        <v>0.84590646933948199</v>
      </c>
      <c r="K20" s="2">
        <v>0.914923302416634</v>
      </c>
      <c r="N20" s="4">
        <v>1.4</v>
      </c>
      <c r="O20" s="2">
        <f t="shared" si="1"/>
        <v>5.7110288377216607</v>
      </c>
      <c r="P20" s="2">
        <f t="shared" si="2"/>
        <v>5.7374484089698079</v>
      </c>
      <c r="Q20" s="2">
        <f t="shared" si="3"/>
        <v>5.822811372516437</v>
      </c>
      <c r="R20" s="2">
        <f t="shared" si="4"/>
        <v>7.5</v>
      </c>
      <c r="S20" s="2">
        <f>F20*($T$6+2)+(1-F20)*($T$6+2)</f>
        <v>7.5</v>
      </c>
      <c r="T20" s="2">
        <f>G20*($T$6+2)+(1-G20)*($T$6+2)</f>
        <v>7.5</v>
      </c>
      <c r="U20" s="2">
        <f>H20*($T$6+2)+(1-H20)*($T$6+2)</f>
        <v>7.5</v>
      </c>
      <c r="V20" s="2">
        <f>I20*($T$6+2)+(1-I20)*($T$6+2)</f>
        <v>7.5</v>
      </c>
      <c r="W20" s="2">
        <f>J20*($T$6+2)+(1-J20)*($T$6+2)</f>
        <v>7.5</v>
      </c>
      <c r="X20" s="2">
        <f>K20*($T$6+2)+(1-K20)*($T$6+2)</f>
        <v>7.5</v>
      </c>
      <c r="Y20" s="2">
        <f t="shared" si="5"/>
        <v>6.9771288619207912</v>
      </c>
      <c r="AB20" s="4">
        <v>1.4</v>
      </c>
      <c r="AC20" s="2">
        <f t="shared" si="6"/>
        <v>7.003063566033795</v>
      </c>
      <c r="AD20" s="2">
        <f>C20*($AH$6+2)+(1-C20)*(7)</f>
        <v>7.0104023358249465</v>
      </c>
      <c r="AE20" s="2">
        <f>D20*($AH$6+2)+(1-D20)*(7)</f>
        <v>7.0341142701434549</v>
      </c>
      <c r="AF20" s="2">
        <f>E20*($AH$6+2)+(1-E20)*(7)</f>
        <v>7.0799252324386064</v>
      </c>
      <c r="AG20" s="2">
        <f>F20*($AH$6+2)+(1-F20)*(7)</f>
        <v>7.1357621054520379</v>
      </c>
      <c r="AH20" s="2">
        <f>G20*($AH$6+2)+(1-G20)*(7)</f>
        <v>7.2110126231357148</v>
      </c>
      <c r="AI20" s="2">
        <f>H20*($AH$6+2)+(1-H20)*(7)</f>
        <v>7.2942748304296465</v>
      </c>
      <c r="AJ20" s="2">
        <f>I20*($AH$6+2)+(1-I20)*(7)</f>
        <v>7.3684977852743794</v>
      </c>
      <c r="AK20" s="2">
        <f>J20*($AH$6+2)+(1-J20)*(7)</f>
        <v>7.4229532346697411</v>
      </c>
      <c r="AL20" s="2">
        <f>K20*($AH$6+2)+(1-K20)*(7)</f>
        <v>7.4574616512083169</v>
      </c>
      <c r="AM20" s="2">
        <f t="shared" si="7"/>
        <v>7.2017467634610641</v>
      </c>
      <c r="AP20" s="2">
        <f>(EXP(A20*Y20))/(EXP(A20*Y20)+EXP(A20*AM20))</f>
        <v>0.42202524367550259</v>
      </c>
    </row>
    <row r="21" spans="1:43" x14ac:dyDescent="0.25">
      <c r="A21" s="4">
        <v>1.5</v>
      </c>
      <c r="B21" s="2">
        <v>4.2581151448998098E-3</v>
      </c>
      <c r="C21" s="2">
        <v>1.5827777694314E-2</v>
      </c>
      <c r="D21" s="2">
        <v>5.7032672494809401E-2</v>
      </c>
      <c r="E21" s="2">
        <v>0.14397089533466401</v>
      </c>
      <c r="F21" s="2">
        <v>0.25694803999883398</v>
      </c>
      <c r="G21" s="2">
        <v>0.41554449288582501</v>
      </c>
      <c r="H21" s="2">
        <v>0.59380319488310995</v>
      </c>
      <c r="I21" s="2">
        <v>0.75035589237757006</v>
      </c>
      <c r="J21" s="2">
        <v>0.86072353089954201</v>
      </c>
      <c r="K21" s="2">
        <v>0.92704190460233304</v>
      </c>
      <c r="N21" s="4">
        <v>1.5</v>
      </c>
      <c r="O21" s="2">
        <f t="shared" si="1"/>
        <v>5.7076646072608188</v>
      </c>
      <c r="P21" s="2">
        <f t="shared" si="2"/>
        <v>5.7284899998497645</v>
      </c>
      <c r="Q21" s="2">
        <f t="shared" si="3"/>
        <v>5.802658810490656</v>
      </c>
      <c r="R21" s="2">
        <f t="shared" si="4"/>
        <v>7.5</v>
      </c>
      <c r="S21" s="2">
        <f>F21*($T$6+2)+(1-F21)*($T$6+2)</f>
        <v>7.5</v>
      </c>
      <c r="T21" s="2">
        <f>G21*($T$6+2)+(1-G21)*($T$6+2)</f>
        <v>7.5</v>
      </c>
      <c r="U21" s="2">
        <f>H21*($T$6+2)+(1-H21)*($T$6+2)</f>
        <v>7.5</v>
      </c>
      <c r="V21" s="2">
        <f>I21*($T$6+2)+(1-I21)*($T$6+2)</f>
        <v>7.5</v>
      </c>
      <c r="W21" s="2">
        <f>J21*($T$6+2)+(1-J21)*($T$6+2)</f>
        <v>7.5</v>
      </c>
      <c r="X21" s="2">
        <f>K21*($T$6+2)+(1-K21)*($T$6+2)</f>
        <v>7.5</v>
      </c>
      <c r="Y21" s="2">
        <f t="shared" si="5"/>
        <v>6.9738813417601238</v>
      </c>
      <c r="AB21" s="4">
        <v>1.5</v>
      </c>
      <c r="AC21" s="2">
        <f t="shared" si="6"/>
        <v>7.00212905757245</v>
      </c>
      <c r="AD21" s="2">
        <f>C21*($AH$6+2)+(1-C21)*(7)</f>
        <v>7.007913888847157</v>
      </c>
      <c r="AE21" s="2">
        <f>D21*($AH$6+2)+(1-D21)*(7)</f>
        <v>7.0285163362474048</v>
      </c>
      <c r="AF21" s="2">
        <f>E21*($AH$6+2)+(1-E21)*(7)</f>
        <v>7.0719854476673314</v>
      </c>
      <c r="AG21" s="2">
        <f>F21*($AH$6+2)+(1-F21)*(7)</f>
        <v>7.128474019999417</v>
      </c>
      <c r="AH21" s="2">
        <f>G21*($AH$6+2)+(1-G21)*(7)</f>
        <v>7.2077722464429126</v>
      </c>
      <c r="AI21" s="2">
        <f>H21*($AH$6+2)+(1-H21)*(7)</f>
        <v>7.296901597441555</v>
      </c>
      <c r="AJ21" s="2">
        <f>I21*($AH$6+2)+(1-I21)*(7)</f>
        <v>7.375177946188785</v>
      </c>
      <c r="AK21" s="2">
        <f>J21*($AH$6+2)+(1-J21)*(7)</f>
        <v>7.4303617654497716</v>
      </c>
      <c r="AL21" s="2">
        <f>K21*($AH$6+2)+(1-K21)*(7)</f>
        <v>7.4635209523011667</v>
      </c>
      <c r="AM21" s="2">
        <f t="shared" si="7"/>
        <v>7.2012753258157947</v>
      </c>
      <c r="AP21" s="2">
        <f>(EXP(A21*Y21))/(EXP(A21*Y21)+EXP(A21*AM21))</f>
        <v>0.41554449029564189</v>
      </c>
    </row>
    <row r="22" spans="1:43" x14ac:dyDescent="0.25">
      <c r="A22" s="4">
        <v>1.6</v>
      </c>
      <c r="B22" s="2">
        <v>2.9584889474195799E-3</v>
      </c>
      <c r="C22" s="2">
        <v>1.2031674119807999E-2</v>
      </c>
      <c r="D22" s="2">
        <v>4.7602279860171001E-2</v>
      </c>
      <c r="E22" s="2">
        <v>0.12947953713211299</v>
      </c>
      <c r="F22" s="2">
        <v>0.242962254180974</v>
      </c>
      <c r="G22" s="2">
        <v>0.40915839392630099</v>
      </c>
      <c r="H22" s="2">
        <v>0.59907580611685096</v>
      </c>
      <c r="I22" s="2">
        <v>0.76326739640191299</v>
      </c>
      <c r="J22" s="2">
        <v>0.87432341990345996</v>
      </c>
      <c r="K22" s="2">
        <v>0.93754391703505102</v>
      </c>
      <c r="N22" s="4">
        <v>1.6</v>
      </c>
      <c r="O22" s="2">
        <f t="shared" si="1"/>
        <v>5.7053252801053551</v>
      </c>
      <c r="P22" s="2">
        <f t="shared" si="2"/>
        <v>5.7216570134156539</v>
      </c>
      <c r="Q22" s="2">
        <f t="shared" si="3"/>
        <v>5.7856841037483075</v>
      </c>
      <c r="R22" s="2">
        <f t="shared" si="4"/>
        <v>7.5</v>
      </c>
      <c r="S22" s="2">
        <f t="shared" si="4"/>
        <v>7.5</v>
      </c>
      <c r="T22" s="2">
        <f t="shared" si="4"/>
        <v>7.5</v>
      </c>
      <c r="U22" s="2">
        <f t="shared" si="4"/>
        <v>7.5</v>
      </c>
      <c r="V22" s="2">
        <f t="shared" si="4"/>
        <v>7.5</v>
      </c>
      <c r="W22" s="2">
        <f t="shared" si="4"/>
        <v>7.5</v>
      </c>
      <c r="X22" s="2">
        <f t="shared" si="4"/>
        <v>7.5</v>
      </c>
      <c r="Y22" s="2">
        <f t="shared" si="5"/>
        <v>6.9712666397269318</v>
      </c>
      <c r="AB22" s="4">
        <v>1.6</v>
      </c>
      <c r="AC22" s="2">
        <f t="shared" si="6"/>
        <v>7.0014792444737104</v>
      </c>
      <c r="AD22" s="2">
        <f>C22*($AH$6+2)+(1-C22)*(7)</f>
        <v>7.0060158370599046</v>
      </c>
      <c r="AE22" s="2">
        <f>D22*($AH$6+2)+(1-D22)*(7)</f>
        <v>7.0238011399300859</v>
      </c>
      <c r="AF22" s="2">
        <f>E22*($AH$6+2)+(1-E22)*(7)</f>
        <v>7.0647397685660565</v>
      </c>
      <c r="AG22" s="2">
        <f>F22*($AH$6+2)+(1-F22)*(7)</f>
        <v>7.1214811270904868</v>
      </c>
      <c r="AH22" s="2">
        <f>G22*($AH$6+2)+(1-G22)*(7)</f>
        <v>7.2045791969631505</v>
      </c>
      <c r="AI22" s="2">
        <f>H22*($AH$6+2)+(1-H22)*(7)</f>
        <v>7.2995379030584253</v>
      </c>
      <c r="AJ22" s="2">
        <f>I22*($AH$6+2)+(1-I22)*(7)</f>
        <v>7.3816336982009565</v>
      </c>
      <c r="AK22" s="2">
        <f>J22*($AH$6+2)+(1-J22)*(7)</f>
        <v>7.43716170995173</v>
      </c>
      <c r="AL22" s="2">
        <f>K22*($AH$6+2)+(1-K22)*(7)</f>
        <v>7.4687719585175261</v>
      </c>
      <c r="AM22" s="2">
        <f t="shared" si="7"/>
        <v>7.2009201583812033</v>
      </c>
      <c r="AP22" s="2">
        <f>(EXP(A22*Y22))/(EXP(A22*Y22)+EXP(A22*AM22))</f>
        <v>0.40915839134551402</v>
      </c>
    </row>
    <row r="23" spans="1:43" x14ac:dyDescent="0.25">
      <c r="A23" s="4">
        <v>1.7</v>
      </c>
      <c r="B23" s="2">
        <v>2.0552859201800901E-3</v>
      </c>
      <c r="C23" s="2">
        <v>9.1408106681523504E-3</v>
      </c>
      <c r="D23" s="2">
        <v>3.9682118901317197E-2</v>
      </c>
      <c r="E23" s="2">
        <v>0.116292696697725</v>
      </c>
      <c r="F23" s="2">
        <v>0.22956319421910601</v>
      </c>
      <c r="G23" s="2">
        <v>0.40286470426853499</v>
      </c>
      <c r="H23" s="2">
        <v>0.60436671601459502</v>
      </c>
      <c r="I23" s="2">
        <v>0.77572581530641305</v>
      </c>
      <c r="J23" s="2">
        <v>0.88677016481897497</v>
      </c>
      <c r="K23" s="2">
        <v>0.94661701319736902</v>
      </c>
      <c r="N23" s="4">
        <v>1.7</v>
      </c>
      <c r="O23" s="2">
        <f t="shared" si="1"/>
        <v>5.7036995146563232</v>
      </c>
      <c r="P23" s="2">
        <f t="shared" si="2"/>
        <v>5.7164534592026737</v>
      </c>
      <c r="Q23" s="2">
        <f t="shared" si="3"/>
        <v>5.7714278140223696</v>
      </c>
      <c r="R23" s="2">
        <f t="shared" si="4"/>
        <v>7.5</v>
      </c>
      <c r="S23" s="2">
        <f t="shared" si="4"/>
        <v>7.5</v>
      </c>
      <c r="T23" s="2">
        <f t="shared" si="4"/>
        <v>7.5</v>
      </c>
      <c r="U23" s="2">
        <f t="shared" si="4"/>
        <v>7.5</v>
      </c>
      <c r="V23" s="2">
        <f t="shared" si="4"/>
        <v>7.5</v>
      </c>
      <c r="W23" s="2">
        <f t="shared" si="4"/>
        <v>7.5</v>
      </c>
      <c r="X23" s="2">
        <f t="shared" si="4"/>
        <v>7.5</v>
      </c>
      <c r="Y23" s="2">
        <f t="shared" si="5"/>
        <v>6.9691580787881362</v>
      </c>
      <c r="AB23" s="4">
        <v>1.7</v>
      </c>
      <c r="AC23" s="2">
        <f t="shared" si="6"/>
        <v>7.0010276429600902</v>
      </c>
      <c r="AD23" s="2">
        <f>C23*($AH$6+2)+(1-C23)*(7)</f>
        <v>7.0045704053340767</v>
      </c>
      <c r="AE23" s="2">
        <f>D23*($AH$6+2)+(1-D23)*(7)</f>
        <v>7.0198410594506582</v>
      </c>
      <c r="AF23" s="2">
        <f>E23*($AH$6+2)+(1-E23)*(7)</f>
        <v>7.0581463483488625</v>
      </c>
      <c r="AG23" s="2">
        <f>F23*($AH$6+2)+(1-F23)*(7)</f>
        <v>7.1147815971095536</v>
      </c>
      <c r="AH23" s="2">
        <f>G23*($AH$6+2)+(1-G23)*(7)</f>
        <v>7.201432352134268</v>
      </c>
      <c r="AI23" s="2">
        <f>H23*($AH$6+2)+(1-H23)*(7)</f>
        <v>7.302183358007297</v>
      </c>
      <c r="AJ23" s="2">
        <f>I23*($AH$6+2)+(1-I23)*(7)</f>
        <v>7.387862907653207</v>
      </c>
      <c r="AK23" s="2">
        <f>J23*($AH$6+2)+(1-J23)*(7)</f>
        <v>7.4433850824094874</v>
      </c>
      <c r="AL23" s="2">
        <f>K23*($AH$6+2)+(1-K23)*(7)</f>
        <v>7.4733085065986851</v>
      </c>
      <c r="AM23" s="2">
        <f t="shared" si="7"/>
        <v>7.2006539260006193</v>
      </c>
      <c r="AP23" s="2">
        <f>(EXP(A23*Y23))/(EXP(A23*Y23)+EXP(A23*AM23))</f>
        <v>0.40286470169685801</v>
      </c>
    </row>
    <row r="24" spans="1:43" x14ac:dyDescent="0.25">
      <c r="A24" s="4">
        <v>1.8</v>
      </c>
      <c r="B24" s="2">
        <v>1.4277721952115901E-3</v>
      </c>
      <c r="C24" s="2">
        <v>6.9417908680623596E-3</v>
      </c>
      <c r="D24" s="2">
        <v>3.3046088897682097E-2</v>
      </c>
      <c r="E24" s="2">
        <v>0.10432322811149</v>
      </c>
      <c r="F24" s="2">
        <v>0.21674387883628701</v>
      </c>
      <c r="G24" s="2">
        <v>0.39666005160631601</v>
      </c>
      <c r="H24" s="2">
        <v>0.60967374106327898</v>
      </c>
      <c r="I24" s="2">
        <v>0.78772780310411905</v>
      </c>
      <c r="J24" s="2">
        <v>0.89813073747959404</v>
      </c>
      <c r="K24" s="2">
        <v>0.95443447449046304</v>
      </c>
      <c r="N24" s="4">
        <v>1.8</v>
      </c>
      <c r="O24" s="2">
        <f t="shared" si="1"/>
        <v>5.70256998995138</v>
      </c>
      <c r="P24" s="2">
        <f t="shared" si="2"/>
        <v>5.7124952235625113</v>
      </c>
      <c r="Q24" s="2">
        <f t="shared" si="3"/>
        <v>5.759482960015827</v>
      </c>
      <c r="R24" s="2">
        <f t="shared" ref="R24:X28" si="8">E24*($T$6+2)+(1-E24)*($T$6+2)</f>
        <v>7.5</v>
      </c>
      <c r="S24" s="2">
        <f t="shared" si="8"/>
        <v>7.5</v>
      </c>
      <c r="T24" s="2">
        <f t="shared" si="8"/>
        <v>7.5</v>
      </c>
      <c r="U24" s="2">
        <f t="shared" si="8"/>
        <v>7.5</v>
      </c>
      <c r="V24" s="2">
        <f t="shared" si="8"/>
        <v>7.5</v>
      </c>
      <c r="W24" s="2">
        <f t="shared" si="8"/>
        <v>7.5</v>
      </c>
      <c r="X24" s="2">
        <f t="shared" si="8"/>
        <v>7.5</v>
      </c>
      <c r="Y24" s="2">
        <f t="shared" si="5"/>
        <v>6.9674548173529711</v>
      </c>
      <c r="AB24" s="4">
        <v>1.8</v>
      </c>
      <c r="AC24" s="2">
        <f t="shared" si="6"/>
        <v>7.0007138860976053</v>
      </c>
      <c r="AD24" s="2">
        <f>C24*($AH$6+2)+(1-C24)*(7)</f>
        <v>7.003470895434031</v>
      </c>
      <c r="AE24" s="2">
        <f>D24*($AH$6+2)+(1-D24)*(7)</f>
        <v>7.0165230444488405</v>
      </c>
      <c r="AF24" s="2">
        <f>E24*($AH$6+2)+(1-E24)*(7)</f>
        <v>7.0521616140557448</v>
      </c>
      <c r="AG24" s="2">
        <f>F24*($AH$6+2)+(1-F24)*(7)</f>
        <v>7.1083719394181433</v>
      </c>
      <c r="AH24" s="2">
        <f>G24*($AH$6+2)+(1-G24)*(7)</f>
        <v>7.1983300258031582</v>
      </c>
      <c r="AI24" s="2">
        <f>H24*($AH$6+2)+(1-H24)*(7)</f>
        <v>7.3048368705316395</v>
      </c>
      <c r="AJ24" s="2">
        <f>I24*($AH$6+2)+(1-I24)*(7)</f>
        <v>7.3938639015520593</v>
      </c>
      <c r="AK24" s="2">
        <f>J24*($AH$6+2)+(1-J24)*(7)</f>
        <v>7.449065368739797</v>
      </c>
      <c r="AL24" s="2">
        <f>K24*($AH$6+2)+(1-K24)*(7)</f>
        <v>7.477217237245231</v>
      </c>
      <c r="AM24" s="2">
        <f t="shared" si="7"/>
        <v>7.200455478332624</v>
      </c>
      <c r="AP24" s="2">
        <f>(EXP(A24*Y24))/(EXP(A24*Y24)+EXP(A24*AM24))</f>
        <v>0.39666004904104307</v>
      </c>
    </row>
    <row r="25" spans="1:43" x14ac:dyDescent="0.25">
      <c r="A25" s="4">
        <v>1.9</v>
      </c>
      <c r="B25" s="2">
        <v>9.9185870108765102E-4</v>
      </c>
      <c r="C25" s="2">
        <v>5.2703603387548202E-3</v>
      </c>
      <c r="D25" s="2">
        <v>2.7496722412427298E-2</v>
      </c>
      <c r="E25" s="2">
        <v>9.3483255440311094E-2</v>
      </c>
      <c r="F25" s="2">
        <v>0.20449495262303999</v>
      </c>
      <c r="G25" s="2">
        <v>0.39054054590486098</v>
      </c>
      <c r="H25" s="2">
        <v>0.61499377476026795</v>
      </c>
      <c r="I25" s="2">
        <v>0.79927125501384</v>
      </c>
      <c r="J25" s="2">
        <v>0.90847366714598299</v>
      </c>
      <c r="K25" s="2">
        <v>0.96115410868489703</v>
      </c>
      <c r="N25" s="4">
        <v>1.9</v>
      </c>
      <c r="O25" s="2">
        <f t="shared" si="1"/>
        <v>5.7017853456619569</v>
      </c>
      <c r="P25" s="2">
        <f t="shared" si="2"/>
        <v>5.709486648609758</v>
      </c>
      <c r="Q25" s="2">
        <f t="shared" si="3"/>
        <v>5.7494941003423685</v>
      </c>
      <c r="R25" s="2">
        <f t="shared" si="8"/>
        <v>7.5</v>
      </c>
      <c r="S25" s="2">
        <f t="shared" si="8"/>
        <v>7.5</v>
      </c>
      <c r="T25" s="2">
        <f t="shared" si="8"/>
        <v>7.5</v>
      </c>
      <c r="U25" s="2">
        <f t="shared" si="8"/>
        <v>7.5</v>
      </c>
      <c r="V25" s="2">
        <f t="shared" si="8"/>
        <v>7.5</v>
      </c>
      <c r="W25" s="2">
        <f t="shared" si="8"/>
        <v>7.5</v>
      </c>
      <c r="X25" s="2">
        <f t="shared" si="8"/>
        <v>7.5</v>
      </c>
      <c r="Y25" s="2">
        <f t="shared" si="5"/>
        <v>6.9660766094614077</v>
      </c>
      <c r="AB25" s="4">
        <v>1.9</v>
      </c>
      <c r="AC25" s="2">
        <f t="shared" si="6"/>
        <v>7.000495929350544</v>
      </c>
      <c r="AD25" s="2">
        <f>C25*($AH$6+2)+(1-C25)*(7)</f>
        <v>7.0026351801693769</v>
      </c>
      <c r="AE25" s="2">
        <f>D25*($AH$6+2)+(1-D25)*(7)</f>
        <v>7.013748361206213</v>
      </c>
      <c r="AF25" s="2">
        <f>E25*($AH$6+2)+(1-E25)*(7)</f>
        <v>7.0467416277201558</v>
      </c>
      <c r="AG25" s="2">
        <f>F25*($AH$6+2)+(1-F25)*(7)</f>
        <v>7.1022474763115202</v>
      </c>
      <c r="AH25" s="2">
        <f>G25*($AH$6+2)+(1-G25)*(7)</f>
        <v>7.1952702729524303</v>
      </c>
      <c r="AI25" s="2">
        <f>H25*($AH$6+2)+(1-H25)*(7)</f>
        <v>7.3074968873801343</v>
      </c>
      <c r="AJ25" s="2">
        <f>I25*($AH$6+2)+(1-I25)*(7)</f>
        <v>7.3996356275069193</v>
      </c>
      <c r="AK25" s="2">
        <f>J25*($AH$6+2)+(1-J25)*(7)</f>
        <v>7.4542368335729909</v>
      </c>
      <c r="AL25" s="2">
        <f>K25*($AH$6+2)+(1-K25)*(7)</f>
        <v>7.480577054342449</v>
      </c>
      <c r="AM25" s="2">
        <f t="shared" si="7"/>
        <v>7.2003085250512724</v>
      </c>
      <c r="AP25" s="2">
        <f>(EXP(A25*Y25))/(EXP(A25*Y25)+EXP(A25*AM25))</f>
        <v>0.39054054334190158</v>
      </c>
    </row>
    <row r="26" spans="1:43" x14ac:dyDescent="0.25">
      <c r="A26" s="4">
        <v>2</v>
      </c>
      <c r="B26" s="2">
        <v>6.8905724099339904E-4</v>
      </c>
      <c r="C26" s="2">
        <v>4.00063618217517E-3</v>
      </c>
      <c r="D26" s="2">
        <v>2.2863400230460702E-2</v>
      </c>
      <c r="E26" s="2">
        <v>8.3686110097679497E-2</v>
      </c>
      <c r="F26" s="2">
        <v>0.19280530746656899</v>
      </c>
      <c r="G26" s="2">
        <v>0.38450216701571199</v>
      </c>
      <c r="H26" s="2">
        <v>0.62032313315745902</v>
      </c>
      <c r="I26" s="2">
        <v>0.81035552992043203</v>
      </c>
      <c r="J26" s="2">
        <v>0.91786785447529895</v>
      </c>
      <c r="K26" s="2">
        <v>0.96691804993168695</v>
      </c>
      <c r="N26" s="4">
        <v>2</v>
      </c>
      <c r="O26" s="2">
        <f t="shared" si="1"/>
        <v>5.7012403030337877</v>
      </c>
      <c r="P26" s="2">
        <f t="shared" si="2"/>
        <v>5.7072011451279145</v>
      </c>
      <c r="Q26" s="2">
        <f t="shared" si="3"/>
        <v>5.7411541204148282</v>
      </c>
      <c r="R26" s="2">
        <f t="shared" si="8"/>
        <v>7.5</v>
      </c>
      <c r="S26" s="2">
        <f t="shared" si="8"/>
        <v>7.5</v>
      </c>
      <c r="T26" s="2">
        <f t="shared" si="8"/>
        <v>7.5</v>
      </c>
      <c r="U26" s="2">
        <f t="shared" si="8"/>
        <v>7.5</v>
      </c>
      <c r="V26" s="2">
        <f t="shared" si="8"/>
        <v>7.5</v>
      </c>
      <c r="W26" s="2">
        <f t="shared" si="8"/>
        <v>7.5</v>
      </c>
      <c r="X26" s="2">
        <f t="shared" si="8"/>
        <v>7.5</v>
      </c>
      <c r="Y26" s="2">
        <f t="shared" si="5"/>
        <v>6.9649595568576528</v>
      </c>
      <c r="AB26" s="4">
        <v>2</v>
      </c>
      <c r="AC26" s="2">
        <f t="shared" si="6"/>
        <v>7.0003445286204968</v>
      </c>
      <c r="AD26" s="2">
        <f>C26*($AH$6+2)+(1-C26)*(7)</f>
        <v>7.0020003180910875</v>
      </c>
      <c r="AE26" s="2">
        <f>D26*($AH$6+2)+(1-D26)*(7)</f>
        <v>7.0114317001152298</v>
      </c>
      <c r="AF26" s="2">
        <f>E26*($AH$6+2)+(1-E26)*(7)</f>
        <v>7.0418430550488402</v>
      </c>
      <c r="AG26" s="2">
        <f>F26*($AH$6+2)+(1-F26)*(7)</f>
        <v>7.0964026537332847</v>
      </c>
      <c r="AH26" s="2">
        <f>G26*($AH$6+2)+(1-G26)*(7)</f>
        <v>7.1922510835078555</v>
      </c>
      <c r="AI26" s="2">
        <f>H26*($AH$6+2)+(1-H26)*(7)</f>
        <v>7.3101615665787296</v>
      </c>
      <c r="AJ26" s="2">
        <f>I26*($AH$6+2)+(1-I26)*(7)</f>
        <v>7.4051777649602162</v>
      </c>
      <c r="AK26" s="2">
        <f>J26*($AH$6+2)+(1-J26)*(7)</f>
        <v>7.4589339272376494</v>
      </c>
      <c r="AL26" s="2">
        <f>K26*($AH$6+2)+(1-K26)*(7)</f>
        <v>7.4834590249658435</v>
      </c>
      <c r="AM26" s="2">
        <f t="shared" si="7"/>
        <v>7.2002005622859215</v>
      </c>
      <c r="AP26" s="2">
        <f>(EXP(A26*Y26))/(EXP(A26*Y26)+EXP(A26*AM26))</f>
        <v>0.38450216445029878</v>
      </c>
    </row>
    <row r="27" spans="1:43" x14ac:dyDescent="0.25">
      <c r="A27" s="4">
        <v>2.1</v>
      </c>
      <c r="B27" s="2">
        <v>4.7871817236006599E-4</v>
      </c>
      <c r="C27" s="2">
        <v>3.0364376582949098E-3</v>
      </c>
      <c r="D27" s="2">
        <v>1.8999914359042899E-2</v>
      </c>
      <c r="E27" s="2">
        <v>7.4847694337505905E-2</v>
      </c>
      <c r="F27" s="2">
        <v>0.18166249551600999</v>
      </c>
      <c r="G27" s="2">
        <v>0.378541004146631</v>
      </c>
      <c r="H27" s="2">
        <v>0.62565780359845902</v>
      </c>
      <c r="I27" s="2">
        <v>0.820981586302165</v>
      </c>
      <c r="J27" s="2">
        <v>0.92638156788083303</v>
      </c>
      <c r="K27" s="2">
        <v>0.97185315756900603</v>
      </c>
      <c r="AQ27" s="9"/>
    </row>
    <row r="28" spans="1:43" x14ac:dyDescent="0.25">
      <c r="A28" s="4">
        <v>2.2000000000000002</v>
      </c>
      <c r="B28" s="2">
        <v>3.3260182946577999E-4</v>
      </c>
      <c r="C28" s="2">
        <v>2.30443611877254E-3</v>
      </c>
      <c r="D28" s="2">
        <v>1.5781780741404201E-2</v>
      </c>
      <c r="E28" s="2">
        <v>6.6887420378590606E-2</v>
      </c>
      <c r="F28" s="2">
        <v>0.17105301185927499</v>
      </c>
      <c r="G28" s="2">
        <v>0.37265339696719701</v>
      </c>
      <c r="H28" s="2">
        <v>0.63099362382789903</v>
      </c>
      <c r="I28" s="2">
        <v>0.83115204296214995</v>
      </c>
      <c r="J28" s="2">
        <v>0.93408161015953595</v>
      </c>
      <c r="K28" s="2">
        <v>0.97607180308416197</v>
      </c>
      <c r="AQ28" s="9"/>
    </row>
    <row r="29" spans="1:43" x14ac:dyDescent="0.25">
      <c r="A29" s="4">
        <v>2.2999999999999998</v>
      </c>
      <c r="B29" s="2">
        <v>2.3109388350465201E-4</v>
      </c>
      <c r="C29" s="2">
        <v>1.7488098736167699E-3</v>
      </c>
      <c r="D29" s="2">
        <v>1.31035491202782E-2</v>
      </c>
      <c r="E29" s="2">
        <v>5.9728832036937303E-2</v>
      </c>
      <c r="F29" s="2">
        <v>0.160962497650534</v>
      </c>
      <c r="G29" s="2">
        <v>0.36683601183569298</v>
      </c>
      <c r="H29" s="2">
        <v>0.63632641034260595</v>
      </c>
      <c r="I29" s="2">
        <v>0.84087117627430696</v>
      </c>
      <c r="J29" s="2">
        <v>0.94103264473574699</v>
      </c>
      <c r="K29" s="2">
        <v>0.97967289041306205</v>
      </c>
      <c r="AQ29" s="9"/>
    </row>
    <row r="30" spans="1:43" x14ac:dyDescent="0.25">
      <c r="A30" s="4">
        <v>2.4</v>
      </c>
      <c r="B30" s="2">
        <v>1.60571822164206E-4</v>
      </c>
      <c r="C30" s="2">
        <v>1.32710919760817E-3</v>
      </c>
      <c r="D30" s="2">
        <v>1.0876253489244E-2</v>
      </c>
      <c r="E30" s="2">
        <v>5.3299986597337201E-2</v>
      </c>
      <c r="F30" s="2">
        <v>0.15137589589092099</v>
      </c>
      <c r="G30" s="2">
        <v>0.36108587564259698</v>
      </c>
      <c r="H30" s="2">
        <v>0.64165204930536301</v>
      </c>
      <c r="I30" s="2">
        <v>0.85014486565825398</v>
      </c>
      <c r="J30" s="2">
        <v>0.94729667018391595</v>
      </c>
      <c r="K30" s="2">
        <v>0.98274299754817995</v>
      </c>
      <c r="AQ30" s="9"/>
    </row>
    <row r="31" spans="1:43" x14ac:dyDescent="0.25">
      <c r="A31" s="4">
        <v>2.5</v>
      </c>
      <c r="B31" s="2">
        <v>1.11574474277916E-4</v>
      </c>
      <c r="C31" s="2">
        <v>1.00707660462353E-3</v>
      </c>
      <c r="D31" s="2">
        <v>9.0250783262053099E-3</v>
      </c>
      <c r="E31" s="2">
        <v>4.7533654685503302E-2</v>
      </c>
      <c r="F31" s="2">
        <v>0.142277579730893</v>
      </c>
      <c r="G31" s="2">
        <v>0.35540038238362198</v>
      </c>
      <c r="H31" s="2">
        <v>0.64696655960323901</v>
      </c>
      <c r="I31" s="2">
        <v>0.858980498572815</v>
      </c>
      <c r="J31" s="2">
        <v>0.95293263017787</v>
      </c>
      <c r="K31" s="2">
        <v>0.98535756001477104</v>
      </c>
      <c r="AQ31" s="9"/>
    </row>
    <row r="32" spans="1:43" x14ac:dyDescent="0.25">
      <c r="A32" s="4">
        <v>2.6</v>
      </c>
      <c r="B32" s="2">
        <v>7.7530487159104206E-5</v>
      </c>
      <c r="C32" s="2">
        <v>7.6421189239533698E-4</v>
      </c>
      <c r="D32" s="2">
        <v>7.4872723173012102E-3</v>
      </c>
      <c r="E32" s="2">
        <v>4.2367382031277302E-2</v>
      </c>
      <c r="F32" s="2">
        <v>0.13365146507874001</v>
      </c>
      <c r="G32" s="2">
        <v>0.34977728261686902</v>
      </c>
      <c r="H32" s="2">
        <v>0.65226613507418496</v>
      </c>
      <c r="I32" s="2">
        <v>0.86738684552023604</v>
      </c>
      <c r="J32" s="2">
        <v>0.95799614452162696</v>
      </c>
      <c r="K32" s="2">
        <v>0.98758204143296202</v>
      </c>
      <c r="AQ32" s="9"/>
    </row>
    <row r="33" spans="1:43" x14ac:dyDescent="0.25">
      <c r="A33" s="4">
        <v>2.7</v>
      </c>
      <c r="B33" s="2">
        <v>5.38753401045904E-5</v>
      </c>
      <c r="C33" s="2">
        <v>5.7991293761953098E-4</v>
      </c>
      <c r="D33" s="2">
        <v>6.21031455948747E-3</v>
      </c>
      <c r="E33" s="2">
        <v>3.7743447149066599E-2</v>
      </c>
      <c r="F33" s="2">
        <v>0.12548111409662799</v>
      </c>
      <c r="G33" s="2">
        <v>0.34421466262103201</v>
      </c>
      <c r="H33" s="2">
        <v>0.65754717113908001</v>
      </c>
      <c r="I33" s="2">
        <v>0.87537391448387203</v>
      </c>
      <c r="J33" s="2">
        <v>0.96253934590577594</v>
      </c>
      <c r="K33" s="2">
        <v>0.98947305488159398</v>
      </c>
      <c r="AQ33" s="9"/>
    </row>
    <row r="34" spans="1:43" x14ac:dyDescent="0.25">
      <c r="A34" s="4">
        <v>2.8</v>
      </c>
      <c r="B34" s="2">
        <v>3.7438236109405603E-5</v>
      </c>
      <c r="C34" s="2">
        <v>4.4005897946484198E-4</v>
      </c>
      <c r="D34" s="2">
        <v>5.1503226391960803E-3</v>
      </c>
      <c r="E34" s="2">
        <v>3.3608741727987897E-2</v>
      </c>
      <c r="F34" s="2">
        <v>0.117749832898249</v>
      </c>
      <c r="G34" s="2">
        <v>0.338710917816966</v>
      </c>
      <c r="H34" s="2">
        <v>0.66280627979972695</v>
      </c>
      <c r="I34" s="2">
        <v>0.88295279299114404</v>
      </c>
      <c r="J34" s="2">
        <v>0.96661080667876098</v>
      </c>
      <c r="K34" s="2">
        <v>0.99107941249674503</v>
      </c>
      <c r="O34" s="5" t="s">
        <v>6</v>
      </c>
      <c r="P34" s="5"/>
      <c r="Q34" s="5"/>
      <c r="R34" s="5"/>
      <c r="S34" s="5"/>
      <c r="T34" s="5"/>
      <c r="U34" s="5"/>
      <c r="V34" s="5"/>
      <c r="W34" s="5"/>
      <c r="X34" s="5"/>
      <c r="Y34" s="8"/>
      <c r="AC34" s="5" t="s">
        <v>6</v>
      </c>
      <c r="AD34" s="5"/>
      <c r="AE34" s="5"/>
      <c r="AF34" s="5"/>
      <c r="AG34" s="5"/>
      <c r="AH34" s="5"/>
      <c r="AI34" s="5"/>
      <c r="AJ34" s="5"/>
      <c r="AK34" s="5"/>
      <c r="AL34" s="5"/>
      <c r="AM34" s="8"/>
      <c r="AQ34" s="9"/>
    </row>
    <row r="35" spans="1:43" x14ac:dyDescent="0.25">
      <c r="A35" s="4">
        <v>2.9</v>
      </c>
      <c r="B35" s="2">
        <v>2.60163836253449E-5</v>
      </c>
      <c r="C35" s="2">
        <v>3.3393259514057701E-4</v>
      </c>
      <c r="D35" s="2">
        <v>4.2706836310264099E-3</v>
      </c>
      <c r="E35" s="2">
        <v>2.9914595039380602E-2</v>
      </c>
      <c r="F35" s="2">
        <v>0.11044076478371399</v>
      </c>
      <c r="G35" s="2">
        <v>0.33326472348595199</v>
      </c>
      <c r="H35" s="2">
        <v>0.66804029602902304</v>
      </c>
      <c r="I35" s="2">
        <v>0.89013548469956205</v>
      </c>
      <c r="J35" s="2">
        <v>0.97025554021785199</v>
      </c>
      <c r="K35" s="2">
        <v>0.99244309075278403</v>
      </c>
      <c r="N35" s="6" t="s">
        <v>0</v>
      </c>
      <c r="O35" s="7">
        <v>0.5</v>
      </c>
      <c r="P35" s="7">
        <v>1.5</v>
      </c>
      <c r="Q35" s="7">
        <v>2.5</v>
      </c>
      <c r="R35" s="7">
        <v>3.5</v>
      </c>
      <c r="S35" s="7">
        <v>4.5</v>
      </c>
      <c r="T35" s="7">
        <v>5.5</v>
      </c>
      <c r="U35" s="7">
        <v>6.5</v>
      </c>
      <c r="V35" s="7">
        <v>7.5</v>
      </c>
      <c r="W35" s="7">
        <v>8.5</v>
      </c>
      <c r="X35" s="7">
        <v>9.5</v>
      </c>
      <c r="Y35" s="11" t="s">
        <v>35</v>
      </c>
      <c r="AB35" s="6" t="s">
        <v>0</v>
      </c>
      <c r="AC35" s="7">
        <v>0.5</v>
      </c>
      <c r="AD35" s="7">
        <v>1.5</v>
      </c>
      <c r="AE35" s="7">
        <v>2.5</v>
      </c>
      <c r="AF35" s="7">
        <v>3.5</v>
      </c>
      <c r="AG35" s="7">
        <v>4.5</v>
      </c>
      <c r="AH35" s="7">
        <v>5.5</v>
      </c>
      <c r="AI35" s="7">
        <v>6.5</v>
      </c>
      <c r="AJ35" s="7">
        <v>7.5</v>
      </c>
      <c r="AK35" s="7">
        <v>8.5</v>
      </c>
      <c r="AL35" s="7">
        <v>9.5</v>
      </c>
      <c r="AM35" s="11" t="s">
        <v>28</v>
      </c>
      <c r="AP35" s="11" t="s">
        <v>36</v>
      </c>
      <c r="AQ35" s="9"/>
    </row>
    <row r="36" spans="1:43" x14ac:dyDescent="0.25">
      <c r="A36" s="4">
        <v>3</v>
      </c>
      <c r="B36" s="2">
        <v>1.8079375192351099E-5</v>
      </c>
      <c r="C36" s="2">
        <v>2.53400189009743E-4</v>
      </c>
      <c r="D36" s="2">
        <v>3.54088530225491E-3</v>
      </c>
      <c r="E36" s="2">
        <v>2.66165593779761E-2</v>
      </c>
      <c r="F36" s="2">
        <v>0.103536979216895</v>
      </c>
      <c r="G36" s="2">
        <v>0.32787500477732501</v>
      </c>
      <c r="H36" s="2">
        <v>0.67324627788059999</v>
      </c>
      <c r="I36" s="2">
        <v>0.89693474612608404</v>
      </c>
      <c r="J36" s="2">
        <v>0.97351506232429497</v>
      </c>
      <c r="K36" s="2">
        <v>0.99360010603743298</v>
      </c>
      <c r="M36" s="2" t="s">
        <v>33</v>
      </c>
      <c r="N36" s="4">
        <v>0.1</v>
      </c>
      <c r="O36" s="2">
        <f>B7*($U$35+2)+(1-B7)*(2.4 + 0.6*$U$35)</f>
        <v>7.2099504687853253</v>
      </c>
      <c r="P36" s="2">
        <f t="shared" ref="P36:Q36" si="9">C7*($U$35+2)+(1-C7)*(2.4 + 0.6*$U$35)</f>
        <v>7.2600678898518876</v>
      </c>
      <c r="Q36" s="2">
        <f t="shared" si="9"/>
        <v>7.3107828584122956</v>
      </c>
      <c r="R36" s="2">
        <f>E7*($U$35+2)+(1-E7)*($U$35+2)</f>
        <v>8.5</v>
      </c>
      <c r="S36" s="2">
        <f>F7*($U$35+2)+(1-F7)*($U$35+2)</f>
        <v>8.5</v>
      </c>
      <c r="T36" s="2">
        <f>G7*($U$35+2)+(1-G7)*($U$35+2)</f>
        <v>8.5</v>
      </c>
      <c r="U36" s="2">
        <f>H7*($U$35+2)+(1-H7)*($U$35+2)</f>
        <v>8.5</v>
      </c>
      <c r="V36" s="2">
        <f>I7*($U$35+2)+(1-I7)*($U$35+2)</f>
        <v>8.5</v>
      </c>
      <c r="W36" s="2">
        <f>J7*($U$35+2)+(1-J7)*($U$35+2)</f>
        <v>8.5</v>
      </c>
      <c r="X36" s="2">
        <f>K7*($U$35+2)+(1-K7)*($U$35+2)</f>
        <v>8.5</v>
      </c>
      <c r="Y36" s="2">
        <f>SUM(O36:X36)/10</f>
        <v>8.1280801217049508</v>
      </c>
      <c r="AA36" s="2" t="s">
        <v>34</v>
      </c>
      <c r="AB36" s="4">
        <v>0.1</v>
      </c>
      <c r="AC36" s="2">
        <f>B7*($AI$35+2)+(1-B7)*(7)</f>
        <v>7.620420774171814</v>
      </c>
      <c r="AD36" s="2">
        <f>C7*($AI$35+2)+(1-C7)*(7)</f>
        <v>7.6545917430808323</v>
      </c>
      <c r="AE36" s="2">
        <f>D7*($AI$35+2)+(1-D7)*(7)</f>
        <v>7.6891701307356568</v>
      </c>
      <c r="AF36" s="2">
        <f>E7*($AI$35+2)+(1-E7)*(7)</f>
        <v>7.7148786202615902</v>
      </c>
      <c r="AG36" s="2">
        <f>F7*($AI$35+2)+(1-F7)*(7)</f>
        <v>7.7315258635414432</v>
      </c>
      <c r="AH36" s="2">
        <f>G7*($AI$35+2)+(1-G7)*(7)</f>
        <v>7.7481913413828201</v>
      </c>
      <c r="AI36" s="2">
        <f>H7*($AI$35+2)+(1-H7)*(7)</f>
        <v>7.7648586055008026</v>
      </c>
      <c r="AJ36" s="2">
        <f>I7*($AI$35+2)+(1-I7)*(7)</f>
        <v>7.7815112005590343</v>
      </c>
      <c r="AK36" s="2">
        <f>J7*($AI$35+2)+(1-J7)*(7)</f>
        <v>7.7981327290946805</v>
      </c>
      <c r="AL36" s="2">
        <f>K7*($AI$35+2)+(1-K7)*(7)</f>
        <v>7.8147069159588565</v>
      </c>
      <c r="AM36" s="2">
        <f>SUM(AC36:AL36)/10</f>
        <v>7.7317987924287523</v>
      </c>
      <c r="AP36" s="2">
        <f>(EXP(A7*Y36))/(EXP(A7*Y36)+EXP(A7*AM36))</f>
        <v>0.5099057369442046</v>
      </c>
      <c r="AQ36" s="9"/>
    </row>
    <row r="37" spans="1:43" x14ac:dyDescent="0.25">
      <c r="A37" s="4">
        <v>3.1</v>
      </c>
      <c r="B37" s="2">
        <v>1.25638867480431E-5</v>
      </c>
      <c r="C37" s="2">
        <v>1.9228941245357799E-4</v>
      </c>
      <c r="D37" s="2">
        <v>2.93552387904047E-3</v>
      </c>
      <c r="E37" s="2">
        <v>2.36741701084262E-2</v>
      </c>
      <c r="F37" s="2">
        <v>9.7021556168650699E-2</v>
      </c>
      <c r="G37" s="2">
        <v>0.32254090728785501</v>
      </c>
      <c r="H37" s="2">
        <v>0.67842150211226504</v>
      </c>
      <c r="I37" s="2">
        <v>0.90336392793715004</v>
      </c>
      <c r="J37" s="2">
        <v>0.97642749930402695</v>
      </c>
      <c r="K37" s="2">
        <v>0.99458130011800905</v>
      </c>
      <c r="N37" s="4">
        <v>0.2</v>
      </c>
      <c r="O37" s="2">
        <f t="shared" ref="O37:O55" si="10">B8*($U$35+2)+(1-B8)*(2.4 + 0.6*$U$35)</f>
        <v>7.0288161101758195</v>
      </c>
      <c r="P37" s="2">
        <f t="shared" ref="P37:P55" si="11">C8*($U$35+2)+(1-C8)*(2.4 + 0.6*$U$35)</f>
        <v>7.1216014439789976</v>
      </c>
      <c r="Q37" s="2">
        <f t="shared" ref="Q37:Q55" si="12">D8*($U$35+2)+(1-D8)*(2.4 + 0.6*$U$35)</f>
        <v>7.2188218184717394</v>
      </c>
      <c r="R37" s="2">
        <f>E8*($U$35+2)+(1-E8)*($U$35+2)</f>
        <v>8.5</v>
      </c>
      <c r="S37" s="2">
        <f>F8*($U$35+2)+(1-F8)*($U$35+2)</f>
        <v>8.5</v>
      </c>
      <c r="T37" s="2">
        <f>G8*($U$35+2)+(1-G8)*($U$35+2)</f>
        <v>8.5</v>
      </c>
      <c r="U37" s="2">
        <f>H8*($U$35+2)+(1-H8)*($U$35+2)</f>
        <v>8.5</v>
      </c>
      <c r="V37" s="2">
        <f>I8*($U$35+2)+(1-I8)*($U$35+2)</f>
        <v>8.5</v>
      </c>
      <c r="W37" s="2">
        <f>J8*($U$35+2)+(1-J8)*($U$35+2)</f>
        <v>8.5</v>
      </c>
      <c r="X37" s="2">
        <f>K8*($U$35+2)+(1-K8)*($U$35+2)</f>
        <v>8.5</v>
      </c>
      <c r="Y37" s="2">
        <f t="shared" ref="Y37:Y55" si="13">SUM(O37:X37)/10</f>
        <v>8.0869239372626556</v>
      </c>
      <c r="AB37" s="4">
        <v>0.2</v>
      </c>
      <c r="AC37" s="2">
        <f>B8*($AI$35+2)+(1-B8)*(7)</f>
        <v>7.4969200751198777</v>
      </c>
      <c r="AD37" s="2">
        <f>C8*($AI$35+2)+(1-C8)*(7)</f>
        <v>7.5601828027129532</v>
      </c>
      <c r="AE37" s="2">
        <f>D8*($AI$35+2)+(1-D8)*(7)</f>
        <v>7.6264694216852771</v>
      </c>
      <c r="AF37" s="2">
        <f>E8*($AI$35+2)+(1-E8)*(7)</f>
        <v>7.6771109707646499</v>
      </c>
      <c r="AG37" s="2">
        <f>F8*($AI$35+2)+(1-F8)*(7)</f>
        <v>7.7106419704741258</v>
      </c>
      <c r="AH37" s="2">
        <f>G8*($AI$35+2)+(1-G8)*(7)</f>
        <v>7.744331488617421</v>
      </c>
      <c r="AI37" s="2">
        <f>H8*($AI$35+2)+(1-H8)*(7)</f>
        <v>7.7780438988756302</v>
      </c>
      <c r="AJ37" s="2">
        <f>I8*($AI$35+2)+(1-I8)*(7)</f>
        <v>7.8116432062608263</v>
      </c>
      <c r="AK37" s="2">
        <f>J8*($AI$35+2)+(1-J8)*(7)</f>
        <v>7.8449952336239104</v>
      </c>
      <c r="AL37" s="2">
        <f>K8*($AI$35+2)+(1-K8)*(7)</f>
        <v>7.8779697464061265</v>
      </c>
      <c r="AM37" s="2">
        <f t="shared" ref="AM37:AM55" si="14">SUM(AC37:AL37)/10</f>
        <v>7.7128308814540789</v>
      </c>
      <c r="AP37" s="2">
        <f>(EXP(A8*Y37))/(EXP(A8*Y37)+EXP(A8*AM37))</f>
        <v>0.51869593222492594</v>
      </c>
      <c r="AQ37" s="9"/>
    </row>
    <row r="38" spans="1:43" x14ac:dyDescent="0.25">
      <c r="A38" s="4">
        <v>3.2</v>
      </c>
      <c r="B38" s="2">
        <v>8.7310873249293496E-6</v>
      </c>
      <c r="C38" s="2">
        <v>1.4591640029658999E-4</v>
      </c>
      <c r="D38" s="2">
        <v>2.4334654641841001E-3</v>
      </c>
      <c r="E38" s="2">
        <v>2.10506910740434E-2</v>
      </c>
      <c r="F38" s="2">
        <v>9.0877665213335498E-2</v>
      </c>
      <c r="G38" s="2">
        <v>0.31726176901011799</v>
      </c>
      <c r="H38" s="2">
        <v>0.68356345670527796</v>
      </c>
      <c r="I38" s="2">
        <v>0.90943682412638405</v>
      </c>
      <c r="J38" s="2">
        <v>0.97902773087829698</v>
      </c>
      <c r="K38" s="2">
        <v>0.99541303843690299</v>
      </c>
      <c r="N38" s="4">
        <v>0.3</v>
      </c>
      <c r="O38" s="2">
        <f t="shared" si="10"/>
        <v>6.8660884912308688</v>
      </c>
      <c r="P38" s="2">
        <f t="shared" si="11"/>
        <v>6.9893104540072404</v>
      </c>
      <c r="Q38" s="2">
        <f t="shared" si="12"/>
        <v>7.1257982829094004</v>
      </c>
      <c r="R38" s="2">
        <f>E9*($U$35+2)+(1-E9)*($U$35+2)</f>
        <v>8.5</v>
      </c>
      <c r="S38" s="2">
        <f>F9*($U$35+2)+(1-F9)*($U$35+2)</f>
        <v>8.5</v>
      </c>
      <c r="T38" s="2">
        <f>G9*($U$35+2)+(1-G9)*($U$35+2)</f>
        <v>8.5</v>
      </c>
      <c r="U38" s="2">
        <f>H9*($U$35+2)+(1-H9)*($U$35+2)</f>
        <v>8.5</v>
      </c>
      <c r="V38" s="2">
        <f>I9*($U$35+2)+(1-I9)*($U$35+2)</f>
        <v>8.5</v>
      </c>
      <c r="W38" s="2">
        <f>J9*($U$35+2)+(1-J9)*($U$35+2)</f>
        <v>8.5</v>
      </c>
      <c r="X38" s="2">
        <f>K9*($U$35+2)+(1-K9)*($U$35+2)</f>
        <v>8.5</v>
      </c>
      <c r="Y38" s="2">
        <f t="shared" si="13"/>
        <v>8.0481197228147501</v>
      </c>
      <c r="AB38" s="4">
        <v>0.3</v>
      </c>
      <c r="AC38" s="2">
        <f>B9*($AI$35+2)+(1-B9)*(7)</f>
        <v>7.385969425839229</v>
      </c>
      <c r="AD38" s="2">
        <f>C9*($AI$35+2)+(1-C9)*(7)</f>
        <v>7.4699844004594826</v>
      </c>
      <c r="AE38" s="2">
        <f>D9*($AI$35+2)+(1-D9)*(7)</f>
        <v>7.5630442838018634</v>
      </c>
      <c r="AF38" s="2">
        <f>E9*($AI$35+2)+(1-E9)*(7)</f>
        <v>7.6371083777515585</v>
      </c>
      <c r="AG38" s="2">
        <f>F9*($AI$35+2)+(1-F9)*(7)</f>
        <v>7.687578058713342</v>
      </c>
      <c r="AH38" s="2">
        <f>G9*($AI$35+2)+(1-G9)*(7)</f>
        <v>7.7386235126135885</v>
      </c>
      <c r="AI38" s="2">
        <f>H9*($AI$35+2)+(1-H9)*(7)</f>
        <v>7.789774606320325</v>
      </c>
      <c r="AJ38" s="2">
        <f>I9*($AI$35+2)+(1-I9)*(7)</f>
        <v>7.8405573104980331</v>
      </c>
      <c r="AK38" s="2">
        <f>J9*($AI$35+2)+(1-J9)*(7)</f>
        <v>7.8905111308575222</v>
      </c>
      <c r="AL38" s="2">
        <f>K9*($AI$35+2)+(1-K9)*(7)</f>
        <v>7.9392054951898672</v>
      </c>
      <c r="AM38" s="2">
        <f t="shared" si="14"/>
        <v>7.6942356602044812</v>
      </c>
      <c r="AP38" s="2">
        <f>(EXP(A9*Y38))/(EXP(A9*Y38)+EXP(A9*AM38))</f>
        <v>0.52651640372225261</v>
      </c>
      <c r="AQ38" s="9"/>
    </row>
    <row r="39" spans="1:43" x14ac:dyDescent="0.25">
      <c r="A39" s="4">
        <v>3.3</v>
      </c>
      <c r="B39" s="2">
        <v>6.0675938271569E-6</v>
      </c>
      <c r="C39" s="2">
        <v>1.10726876740996E-4</v>
      </c>
      <c r="D39" s="2">
        <v>2.01713983954234E-3</v>
      </c>
      <c r="E39" s="2">
        <v>1.8712853800875E-2</v>
      </c>
      <c r="F39" s="2">
        <v>8.5088638739545697E-2</v>
      </c>
      <c r="G39" s="2">
        <v>0.312037094116007</v>
      </c>
      <c r="H39" s="2">
        <v>0.68866983133900705</v>
      </c>
      <c r="I39" s="2">
        <v>0.91516753145048302</v>
      </c>
      <c r="J39" s="2">
        <v>0.98134755766363602</v>
      </c>
      <c r="K39" s="2">
        <v>0.99611782629044798</v>
      </c>
      <c r="N39" s="4">
        <v>0.4</v>
      </c>
      <c r="O39" s="2">
        <f t="shared" si="10"/>
        <v>6.7278300538969997</v>
      </c>
      <c r="P39" s="2">
        <f t="shared" si="11"/>
        <v>6.8674869093998598</v>
      </c>
      <c r="Q39" s="2">
        <f t="shared" si="12"/>
        <v>7.0338539808413572</v>
      </c>
      <c r="R39" s="2">
        <f>E10*($U$35+2)+(1-E10)*($U$35+2)</f>
        <v>8.5</v>
      </c>
      <c r="S39" s="2">
        <f>F10*($U$35+2)+(1-F10)*($U$35+2)</f>
        <v>8.5</v>
      </c>
      <c r="T39" s="2">
        <f>G10*($U$35+2)+(1-G10)*($U$35+2)</f>
        <v>8.5</v>
      </c>
      <c r="U39" s="2">
        <f>H10*($U$35+2)+(1-H10)*($U$35+2)</f>
        <v>8.5</v>
      </c>
      <c r="V39" s="2">
        <f>I10*($U$35+2)+(1-I10)*($U$35+2)</f>
        <v>8.5</v>
      </c>
      <c r="W39" s="2">
        <f>J10*($U$35+2)+(1-J10)*($U$35+2)</f>
        <v>8.5</v>
      </c>
      <c r="X39" s="2">
        <f>K10*($U$35+2)+(1-K10)*($U$35+2)</f>
        <v>8.5</v>
      </c>
      <c r="Y39" s="2">
        <f t="shared" si="13"/>
        <v>8.0129170944138224</v>
      </c>
      <c r="AB39" s="4">
        <v>0.4</v>
      </c>
      <c r="AC39" s="2">
        <f>B10*($AI$35+2)+(1-B10)*(7)</f>
        <v>7.2917023094752276</v>
      </c>
      <c r="AD39" s="2">
        <f>C10*($AI$35+2)+(1-C10)*(7)</f>
        <v>7.3869228927726329</v>
      </c>
      <c r="AE39" s="2">
        <f>D10*($AI$35+2)+(1-D10)*(7)</f>
        <v>7.500354986937289</v>
      </c>
      <c r="AF39" s="2">
        <f>E10*($AI$35+2)+(1-E10)*(7)</f>
        <v>7.5955757049646362</v>
      </c>
      <c r="AG39" s="2">
        <f>F10*($AI$35+2)+(1-F10)*(7)</f>
        <v>7.6627513361726454</v>
      </c>
      <c r="AH39" s="2">
        <f>G10*($AI$35+2)+(1-G10)*(7)</f>
        <v>7.7313766734476577</v>
      </c>
      <c r="AI39" s="2">
        <f>H10*($AI$35+2)+(1-H10)*(7)</f>
        <v>7.8003154697491848</v>
      </c>
      <c r="AJ39" s="2">
        <f>I10*($AI$35+2)+(1-I10)*(7)</f>
        <v>7.8684106437012051</v>
      </c>
      <c r="AK39" s="2">
        <f>J10*($AI$35+2)+(1-J10)*(7)</f>
        <v>7.9345608676009398</v>
      </c>
      <c r="AL39" s="2">
        <f>K10*($AI$35+2)+(1-K10)*(7)</f>
        <v>7.997789488534468</v>
      </c>
      <c r="AM39" s="2">
        <f t="shared" si="14"/>
        <v>7.6769760373355878</v>
      </c>
      <c r="AP39" s="2">
        <f>(EXP(A10*Y39))/(EXP(A10*Y39)+EXP(A10*AM39))</f>
        <v>0.53354364602603999</v>
      </c>
      <c r="AQ39" s="9"/>
    </row>
    <row r="40" spans="1:43" x14ac:dyDescent="0.25">
      <c r="A40" s="4">
        <v>3.4</v>
      </c>
      <c r="B40" s="2">
        <v>4.2166664579664498E-6</v>
      </c>
      <c r="C40" s="2">
        <v>8.4023755339392302E-5</v>
      </c>
      <c r="D40" s="2">
        <v>1.6719474594769899E-3</v>
      </c>
      <c r="E40" s="2">
        <v>1.66305970051932E-2</v>
      </c>
      <c r="F40" s="2">
        <v>7.9638038728103197E-2</v>
      </c>
      <c r="G40" s="2">
        <v>0.30686652881680598</v>
      </c>
      <c r="H40" s="2">
        <v>0.69373850662691405</v>
      </c>
      <c r="I40" s="2">
        <v>0.92057032067912303</v>
      </c>
      <c r="J40" s="2">
        <v>0.98341588456065399</v>
      </c>
      <c r="K40" s="2">
        <v>0.99671484916531705</v>
      </c>
      <c r="N40" s="4">
        <v>0.5</v>
      </c>
      <c r="O40" s="2">
        <f t="shared" si="10"/>
        <v>6.616022067966858</v>
      </c>
      <c r="P40" s="2">
        <f t="shared" si="11"/>
        <v>6.7592724099332617</v>
      </c>
      <c r="Q40" s="2">
        <f t="shared" si="12"/>
        <v>6.9452185439782568</v>
      </c>
      <c r="R40" s="2">
        <f>E11*($U$35+2)+(1-E11)*($U$35+2)</f>
        <v>8.5</v>
      </c>
      <c r="S40" s="2">
        <f>F11*($U$35+2)+(1-F11)*($U$35+2)</f>
        <v>8.5</v>
      </c>
      <c r="T40" s="2">
        <f>G11*($U$35+2)+(1-G11)*($U$35+2)</f>
        <v>8.5</v>
      </c>
      <c r="U40" s="2">
        <f>H11*($U$35+2)+(1-H11)*($U$35+2)</f>
        <v>8.5</v>
      </c>
      <c r="V40" s="2">
        <f>I11*($U$35+2)+(1-I11)*($U$35+2)</f>
        <v>8.5</v>
      </c>
      <c r="W40" s="2">
        <f>J11*($U$35+2)+(1-J11)*($U$35+2)</f>
        <v>8.5</v>
      </c>
      <c r="X40" s="2">
        <f>K11*($U$35+2)+(1-K11)*($U$35+2)</f>
        <v>8.5</v>
      </c>
      <c r="Y40" s="2">
        <f t="shared" si="13"/>
        <v>7.9820513021878385</v>
      </c>
      <c r="AB40" s="4">
        <v>0.5</v>
      </c>
      <c r="AC40" s="2">
        <f>B11*($AI$35+2)+(1-B11)*(7)</f>
        <v>7.2154695917955856</v>
      </c>
      <c r="AD40" s="2">
        <f>C11*($AI$35+2)+(1-C11)*(7)</f>
        <v>7.3131402794999509</v>
      </c>
      <c r="AE40" s="2">
        <f>D11*($AI$35+2)+(1-D11)*(7)</f>
        <v>7.4399217345306301</v>
      </c>
      <c r="AF40" s="2">
        <f>E11*($AI$35+2)+(1-E11)*(7)</f>
        <v>7.5533741840061026</v>
      </c>
      <c r="AG40" s="2">
        <f>F11*($AI$35+2)+(1-F11)*(7)</f>
        <v>7.6366794290782209</v>
      </c>
      <c r="AH40" s="2">
        <f>G11*($AI$35+2)+(1-G11)*(7)</f>
        <v>7.7229479391235518</v>
      </c>
      <c r="AI40" s="2">
        <f>H11*($AI$35+2)+(1-H11)*(7)</f>
        <v>7.8099392210377747</v>
      </c>
      <c r="AJ40" s="2">
        <f>I11*($AI$35+2)+(1-I11)*(7)</f>
        <v>7.8953371053478083</v>
      </c>
      <c r="AK40" s="2">
        <f>J11*($AI$35+2)+(1-J11)*(7)</f>
        <v>7.9769910331644525</v>
      </c>
      <c r="AL40" s="2">
        <f>K11*($AI$35+2)+(1-K11)*(7)</f>
        <v>8.0531219355310348</v>
      </c>
      <c r="AM40" s="2">
        <f t="shared" si="14"/>
        <v>7.6616922453115111</v>
      </c>
      <c r="AP40" s="2">
        <f>(EXP(A11*Y40))/(EXP(A11*Y40)+EXP(A11*AM40))</f>
        <v>0.53995948032106966</v>
      </c>
      <c r="AQ40" s="9"/>
    </row>
    <row r="41" spans="1:43" x14ac:dyDescent="0.25">
      <c r="A41" s="4">
        <v>3.5</v>
      </c>
      <c r="B41" s="2">
        <v>2.93040779617952E-6</v>
      </c>
      <c r="C41" s="2">
        <v>6.3760411907576596E-5</v>
      </c>
      <c r="D41" s="2">
        <v>1.3857626489563E-3</v>
      </c>
      <c r="E41" s="2">
        <v>1.4776811320607E-2</v>
      </c>
      <c r="F41" s="2">
        <v>7.4509716701341502E-2</v>
      </c>
      <c r="G41" s="2">
        <v>0.30174983939001898</v>
      </c>
      <c r="H41" s="2">
        <v>0.69876754271974695</v>
      </c>
      <c r="I41" s="2">
        <v>0.92565952053988698</v>
      </c>
      <c r="J41" s="2">
        <v>0.98525891291797996</v>
      </c>
      <c r="K41" s="2">
        <v>0.997220444084848</v>
      </c>
      <c r="N41" s="4">
        <v>0.6</v>
      </c>
      <c r="O41" s="2">
        <f t="shared" si="10"/>
        <v>6.5292461260008485</v>
      </c>
      <c r="P41" s="2">
        <f t="shared" si="11"/>
        <v>6.6662660458120229</v>
      </c>
      <c r="Q41" s="2">
        <f t="shared" si="12"/>
        <v>6.8618349063022794</v>
      </c>
      <c r="R41" s="2">
        <f>E12*($U$35+2)+(1-E12)*($U$35+2)</f>
        <v>8.5</v>
      </c>
      <c r="S41" s="2">
        <f>F12*($U$35+2)+(1-F12)*($U$35+2)</f>
        <v>8.5</v>
      </c>
      <c r="T41" s="2">
        <f>G12*($U$35+2)+(1-G12)*($U$35+2)</f>
        <v>8.5</v>
      </c>
      <c r="U41" s="2">
        <f>H12*($U$35+2)+(1-H12)*($U$35+2)</f>
        <v>8.5</v>
      </c>
      <c r="V41" s="2">
        <f>I12*($U$35+2)+(1-I12)*($U$35+2)</f>
        <v>8.5</v>
      </c>
      <c r="W41" s="2">
        <f>J12*($U$35+2)+(1-J12)*($U$35+2)</f>
        <v>8.5</v>
      </c>
      <c r="X41" s="2">
        <f>K12*($U$35+2)+(1-K12)*($U$35+2)</f>
        <v>8.5</v>
      </c>
      <c r="Y41" s="2">
        <f t="shared" si="13"/>
        <v>7.9557347078115157</v>
      </c>
      <c r="AB41" s="4">
        <v>0.6</v>
      </c>
      <c r="AC41" s="2">
        <f>B12*($AI$35+2)+(1-B12)*(7)</f>
        <v>7.1563041768187601</v>
      </c>
      <c r="AD41" s="2">
        <f>C12*($AI$35+2)+(1-C12)*(7)</f>
        <v>7.2497268494172884</v>
      </c>
      <c r="AE41" s="2">
        <f>D12*($AI$35+2)+(1-D12)*(7)</f>
        <v>7.3830692542970091</v>
      </c>
      <c r="AF41" s="2">
        <f>E12*($AI$35+2)+(1-E12)*(7)</f>
        <v>7.5113679621273528</v>
      </c>
      <c r="AG41" s="2">
        <f>F12*($AI$35+2)+(1-F12)*(7)</f>
        <v>7.6098865460651863</v>
      </c>
      <c r="AH41" s="2">
        <f>G12*($AI$35+2)+(1-G12)*(7)</f>
        <v>7.7136837350692415</v>
      </c>
      <c r="AI41" s="2">
        <f>H12*($AI$35+2)+(1-H12)*(7)</f>
        <v>7.8188943506984669</v>
      </c>
      <c r="AJ41" s="2">
        <f>I12*($AI$35+2)+(1-I12)*(7)</f>
        <v>7.9214396631032562</v>
      </c>
      <c r="AK41" s="2">
        <f>J12*($AI$35+2)+(1-J12)*(7)</f>
        <v>8.017640161771233</v>
      </c>
      <c r="AL41" s="2">
        <f>K12*($AI$35+2)+(1-K12)*(7)</f>
        <v>8.1047069783735051</v>
      </c>
      <c r="AM41" s="2">
        <f t="shared" si="14"/>
        <v>7.6486719677741277</v>
      </c>
      <c r="AP41" s="2">
        <f>(EXP(A12*Y41))/(EXP(A12*Y41)+EXP(A12*AM41))</f>
        <v>0.54592956688649052</v>
      </c>
      <c r="AQ41" s="9"/>
    </row>
    <row r="42" spans="1:43" x14ac:dyDescent="0.25">
      <c r="A42" s="4">
        <v>3.6</v>
      </c>
      <c r="B42" s="2">
        <v>2.03655155400652E-6</v>
      </c>
      <c r="C42" s="2">
        <v>4.8383808100568497E-5</v>
      </c>
      <c r="D42" s="2">
        <v>1.14851818533442E-3</v>
      </c>
      <c r="E42" s="2">
        <v>1.3127092852166801E-2</v>
      </c>
      <c r="F42" s="2">
        <v>6.96878666195756E-2</v>
      </c>
      <c r="G42" s="2">
        <v>0.296686892363203</v>
      </c>
      <c r="H42" s="2">
        <v>0.70375516772420399</v>
      </c>
      <c r="I42" s="2">
        <v>0.93044941469587905</v>
      </c>
      <c r="J42" s="2">
        <v>0.98690033573944502</v>
      </c>
      <c r="K42" s="2">
        <v>0.99764850894880497</v>
      </c>
      <c r="N42" s="4">
        <v>0.7</v>
      </c>
      <c r="O42" s="2">
        <f t="shared" si="10"/>
        <v>6.4640447900194804</v>
      </c>
      <c r="P42" s="2">
        <f t="shared" si="11"/>
        <v>6.5885758165943704</v>
      </c>
      <c r="Q42" s="2">
        <f t="shared" si="12"/>
        <v>6.7851165585349182</v>
      </c>
      <c r="R42" s="2">
        <f>E13*($U$35+2)+(1-E13)*($U$35+2)</f>
        <v>8.5</v>
      </c>
      <c r="S42" s="2">
        <f>F13*($U$35+2)+(1-F13)*($U$35+2)</f>
        <v>8.5</v>
      </c>
      <c r="T42" s="2">
        <f>G13*($U$35+2)+(1-G13)*($U$35+2)</f>
        <v>8.5</v>
      </c>
      <c r="U42" s="2">
        <f>H13*($U$35+2)+(1-H13)*($U$35+2)</f>
        <v>8.5</v>
      </c>
      <c r="V42" s="2">
        <f>I13*($U$35+2)+(1-I13)*($U$35+2)</f>
        <v>8.5</v>
      </c>
      <c r="W42" s="2">
        <f>J13*($U$35+2)+(1-J13)*($U$35+2)</f>
        <v>8.5</v>
      </c>
      <c r="X42" s="2">
        <f>K13*($U$35+2)+(1-K13)*($U$35+2)</f>
        <v>8.5</v>
      </c>
      <c r="Y42" s="2">
        <f t="shared" si="13"/>
        <v>7.9337737165148763</v>
      </c>
      <c r="AB42" s="4">
        <v>0.7</v>
      </c>
      <c r="AC42" s="2">
        <f>B13*($AI$35+2)+(1-B13)*(7)</f>
        <v>7.1118487204678278</v>
      </c>
      <c r="AD42" s="2">
        <f>C13*($AI$35+2)+(1-C13)*(7)</f>
        <v>7.1967562385870716</v>
      </c>
      <c r="AE42" s="2">
        <f>D13*($AI$35+2)+(1-D13)*(7)</f>
        <v>7.3307612899101713</v>
      </c>
      <c r="AF42" s="2">
        <f>E13*($AI$35+2)+(1-E13)*(7)</f>
        <v>7.4703093586498337</v>
      </c>
      <c r="AG42" s="2">
        <f>F13*($AI$35+2)+(1-F13)*(7)</f>
        <v>7.5828356536310624</v>
      </c>
      <c r="AH42" s="2">
        <f>G13*($AI$35+2)+(1-G13)*(7)</f>
        <v>7.7038808154883558</v>
      </c>
      <c r="AI42" s="2">
        <f>H13*($AI$35+2)+(1-H13)*(7)</f>
        <v>7.8273867394067143</v>
      </c>
      <c r="AJ42" s="2">
        <f>I13*($AI$35+2)+(1-I13)*(7)</f>
        <v>7.9467912723927432</v>
      </c>
      <c r="AK42" s="2">
        <f>J13*($AI$35+2)+(1-J13)*(7)</f>
        <v>8.056364361983313</v>
      </c>
      <c r="AL42" s="2">
        <f>K13*($AI$35+2)+(1-K13)*(7)</f>
        <v>8.1522068363192552</v>
      </c>
      <c r="AM42" s="2">
        <f t="shared" si="14"/>
        <v>7.6379141286836347</v>
      </c>
      <c r="AP42" s="2">
        <f>(EXP(A13*Y42))/(EXP(A13*Y42)+EXP(A13*AM42))</f>
        <v>0.55159115934239655</v>
      </c>
      <c r="AQ42" s="9"/>
    </row>
    <row r="43" spans="1:43" x14ac:dyDescent="0.25">
      <c r="A43" s="4">
        <v>3.7</v>
      </c>
      <c r="B43" s="2">
        <v>1.4153866810974199E-6</v>
      </c>
      <c r="C43" s="2">
        <v>3.6715449014481998E-5</v>
      </c>
      <c r="D43" s="2">
        <v>9.5185846861280197E-4</v>
      </c>
      <c r="E43" s="2">
        <v>1.16595080981711E-2</v>
      </c>
      <c r="F43" s="2">
        <v>6.5157070669702694E-2</v>
      </c>
      <c r="G43" s="2">
        <v>0.29167763678060199</v>
      </c>
      <c r="H43" s="2">
        <v>0.70869976626146403</v>
      </c>
      <c r="I43" s="2">
        <v>0.93495415166917994</v>
      </c>
      <c r="J43" s="2">
        <v>0.98836153145038297</v>
      </c>
      <c r="K43" s="2">
        <v>0.99801085668078904</v>
      </c>
      <c r="N43" s="4">
        <v>0.8</v>
      </c>
      <c r="O43" s="2">
        <f t="shared" si="10"/>
        <v>6.4162339202419876</v>
      </c>
      <c r="P43" s="2">
        <f t="shared" si="11"/>
        <v>6.5251840815504822</v>
      </c>
      <c r="Q43" s="2">
        <f t="shared" si="12"/>
        <v>6.7158755273792963</v>
      </c>
      <c r="R43" s="2">
        <f>E14*($U$35+2)+(1-E14)*($U$35+2)</f>
        <v>8.5</v>
      </c>
      <c r="S43" s="2">
        <f>F14*($U$35+2)+(1-F14)*($U$35+2)</f>
        <v>8.5</v>
      </c>
      <c r="T43" s="2">
        <f>G14*($U$35+2)+(1-G14)*($U$35+2)</f>
        <v>8.5</v>
      </c>
      <c r="U43" s="2">
        <f>H14*($U$35+2)+(1-H14)*($U$35+2)</f>
        <v>8.5</v>
      </c>
      <c r="V43" s="2">
        <f>I14*($U$35+2)+(1-I14)*($U$35+2)</f>
        <v>8.5</v>
      </c>
      <c r="W43" s="2">
        <f>J14*($U$35+2)+(1-J14)*($U$35+2)</f>
        <v>8.5</v>
      </c>
      <c r="X43" s="2">
        <f>K14*($U$35+2)+(1-K14)*($U$35+2)</f>
        <v>8.5</v>
      </c>
      <c r="Y43" s="2">
        <f t="shared" si="13"/>
        <v>7.9157293529171771</v>
      </c>
      <c r="AB43" s="4">
        <v>0.8</v>
      </c>
      <c r="AC43" s="2">
        <f>B14*($AI$35+2)+(1-B14)*(7)</f>
        <v>7.0792504001649919</v>
      </c>
      <c r="AD43" s="2">
        <f>C14*($AI$35+2)+(1-C14)*(7)</f>
        <v>7.1535346010571468</v>
      </c>
      <c r="AE43" s="2">
        <f>D14*($AI$35+2)+(1-D14)*(7)</f>
        <v>7.2835514959404293</v>
      </c>
      <c r="AF43" s="2">
        <f>E14*($AI$35+2)+(1-E14)*(7)</f>
        <v>7.4307831427736044</v>
      </c>
      <c r="AG43" s="2">
        <f>F14*($AI$35+2)+(1-F14)*(7)</f>
        <v>7.5558971459615725</v>
      </c>
      <c r="AH43" s="2">
        <f>G14*($AI$35+2)+(1-G14)*(7)</f>
        <v>7.6937706892129354</v>
      </c>
      <c r="AI43" s="2">
        <f>H14*($AI$35+2)+(1-H14)*(7)</f>
        <v>7.8355751045966304</v>
      </c>
      <c r="AJ43" s="2">
        <f>I14*($AI$35+2)+(1-I14)*(7)</f>
        <v>7.9714401086096238</v>
      </c>
      <c r="AK43" s="2">
        <f>J14*($AI$35+2)+(1-J14)*(7)</f>
        <v>8.0930534693436869</v>
      </c>
      <c r="AL43" s="2">
        <f>K14*($AI$35+2)+(1-K14)*(7)</f>
        <v>8.1954575306504012</v>
      </c>
      <c r="AM43" s="2">
        <f t="shared" si="14"/>
        <v>7.6292313688311024</v>
      </c>
      <c r="AP43" s="2">
        <f>(EXP(A14*Y43))/(EXP(A14*Y43)+EXP(A14*AM43))</f>
        <v>0.55705006948879832</v>
      </c>
      <c r="AQ43" s="9"/>
    </row>
    <row r="44" spans="1:43" x14ac:dyDescent="0.25">
      <c r="A44" s="4">
        <v>3.8</v>
      </c>
      <c r="B44" s="2">
        <v>9.83722996513573E-7</v>
      </c>
      <c r="C44" s="2">
        <v>2.78610519232353E-5</v>
      </c>
      <c r="D44" s="2">
        <v>7.8885032293422299E-4</v>
      </c>
      <c r="E44" s="2">
        <v>1.03543719208114E-2</v>
      </c>
      <c r="F44" s="2">
        <v>6.0902338043635103E-2</v>
      </c>
      <c r="G44" s="2">
        <v>0.28672208843886898</v>
      </c>
      <c r="H44" s="2">
        <v>0.713599868393334</v>
      </c>
      <c r="I44" s="2">
        <v>0.93918766730306502</v>
      </c>
      <c r="J44" s="2">
        <v>0.98966175282038205</v>
      </c>
      <c r="K44" s="2">
        <v>0.99831752063656198</v>
      </c>
      <c r="N44" s="4">
        <v>0.9</v>
      </c>
      <c r="O44" s="2">
        <f t="shared" si="10"/>
        <v>6.3817892674419241</v>
      </c>
      <c r="P44" s="2">
        <f t="shared" si="11"/>
        <v>6.4744128602171438</v>
      </c>
      <c r="Q44" s="2">
        <f t="shared" si="12"/>
        <v>6.6543807376739501</v>
      </c>
      <c r="R44" s="2">
        <f>E15*($U$35+2)+(1-E15)*($U$35+2)</f>
        <v>8.5</v>
      </c>
      <c r="S44" s="2">
        <f>F15*($U$35+2)+(1-F15)*($U$35+2)</f>
        <v>8.5</v>
      </c>
      <c r="T44" s="2">
        <f>G15*($U$35+2)+(1-G15)*($U$35+2)</f>
        <v>8.5</v>
      </c>
      <c r="U44" s="2">
        <f>H15*($U$35+2)+(1-H15)*($U$35+2)</f>
        <v>8.5</v>
      </c>
      <c r="V44" s="2">
        <f>I15*($U$35+2)+(1-I15)*($U$35+2)</f>
        <v>8.5</v>
      </c>
      <c r="W44" s="2">
        <f>J15*($U$35+2)+(1-J15)*($U$35+2)</f>
        <v>8.5</v>
      </c>
      <c r="X44" s="2">
        <f>K15*($U$35+2)+(1-K15)*($U$35+2)</f>
        <v>8.5</v>
      </c>
      <c r="Y44" s="2">
        <f t="shared" si="13"/>
        <v>7.9010582865333019</v>
      </c>
      <c r="AB44" s="4">
        <v>0.9</v>
      </c>
      <c r="AC44" s="2">
        <f>B15*($AI$35+2)+(1-B15)*(7)</f>
        <v>7.0557654096194939</v>
      </c>
      <c r="AD44" s="2">
        <f>C15*($AI$35+2)+(1-C15)*(7)</f>
        <v>7.1189178592389615</v>
      </c>
      <c r="AE44" s="2">
        <f>D15*($AI$35+2)+(1-D15)*(7)</f>
        <v>7.2416232302322392</v>
      </c>
      <c r="AF44" s="2">
        <f>E15*($AI$35+2)+(1-E15)*(7)</f>
        <v>7.3931997879581388</v>
      </c>
      <c r="AG44" s="2">
        <f>F15*($AI$35+2)+(1-F15)*(7)</f>
        <v>7.5293464167744535</v>
      </c>
      <c r="AH44" s="2">
        <f>G15*($AI$35+2)+(1-G15)*(7)</f>
        <v>7.6835214684535824</v>
      </c>
      <c r="AI44" s="2">
        <f>H15*($AI$35+2)+(1-H15)*(7)</f>
        <v>7.8435754048953612</v>
      </c>
      <c r="AJ44" s="2">
        <f>I15*($AI$35+2)+(1-I15)*(7)</f>
        <v>7.9954156888461201</v>
      </c>
      <c r="AK44" s="2">
        <f>J15*($AI$35+2)+(1-J15)*(7)</f>
        <v>8.1276367523096305</v>
      </c>
      <c r="AL44" s="2">
        <f>K15*($AI$35+2)+(1-K15)*(7)</f>
        <v>8.2344534662876683</v>
      </c>
      <c r="AM44" s="2">
        <f t="shared" si="14"/>
        <v>7.6223455484615643</v>
      </c>
      <c r="AP44" s="2">
        <f>(EXP(A15*Y44))/(EXP(A15*Y44)+EXP(A15*AM44))</f>
        <v>0.56238360307305046</v>
      </c>
      <c r="AQ44" s="9"/>
    </row>
    <row r="45" spans="1:43" x14ac:dyDescent="0.25">
      <c r="A45" s="4">
        <v>3.9</v>
      </c>
      <c r="B45" s="2">
        <v>6.8374925141921805E-7</v>
      </c>
      <c r="C45" s="2">
        <v>2.11420018256794E-5</v>
      </c>
      <c r="D45" s="2">
        <v>6.53742104790745E-4</v>
      </c>
      <c r="E45" s="2">
        <v>9.1940395634292002E-3</v>
      </c>
      <c r="F45" s="2">
        <v>5.6909136933758202E-2</v>
      </c>
      <c r="G45" s="2">
        <v>0.28182031595572798</v>
      </c>
      <c r="H45" s="2">
        <v>0.71845413906882505</v>
      </c>
      <c r="I45" s="2">
        <v>0.94316361912466695</v>
      </c>
      <c r="J45" s="2">
        <v>0.99081830855582698</v>
      </c>
      <c r="K45" s="2">
        <v>0.99857701725337</v>
      </c>
      <c r="N45" s="4">
        <v>1</v>
      </c>
      <c r="O45" s="2">
        <f t="shared" si="10"/>
        <v>6.3572807877345836</v>
      </c>
      <c r="P45" s="2">
        <f t="shared" si="11"/>
        <v>6.4343289733592473</v>
      </c>
      <c r="Q45" s="2">
        <f t="shared" si="12"/>
        <v>6.6004809912874531</v>
      </c>
      <c r="R45" s="2">
        <f>E16*($U$35+2)+(1-E16)*($U$35+2)</f>
        <v>8.5</v>
      </c>
      <c r="S45" s="2">
        <f>F16*($U$35+2)+(1-F16)*($U$35+2)</f>
        <v>8.5</v>
      </c>
      <c r="T45" s="2">
        <f>G16*($U$35+2)+(1-G16)*($U$35+2)</f>
        <v>8.5</v>
      </c>
      <c r="U45" s="2">
        <f>H16*($U$35+2)+(1-H16)*($U$35+2)</f>
        <v>8.5</v>
      </c>
      <c r="V45" s="2">
        <f>I16*($U$35+2)+(1-I16)*($U$35+2)</f>
        <v>8.5</v>
      </c>
      <c r="W45" s="2">
        <f>J16*($U$35+2)+(1-J16)*($U$35+2)</f>
        <v>8.5</v>
      </c>
      <c r="X45" s="2">
        <f>K16*($U$35+2)+(1-K16)*($U$35+2)</f>
        <v>8.5</v>
      </c>
      <c r="Y45" s="2">
        <f t="shared" si="13"/>
        <v>7.8892090752381279</v>
      </c>
      <c r="AB45" s="4">
        <v>1</v>
      </c>
      <c r="AC45" s="2">
        <f>B16*($AI$35+2)+(1-B16)*(7)</f>
        <v>7.039055082546307</v>
      </c>
      <c r="AD45" s="2">
        <f>C16*($AI$35+2)+(1-C16)*(7)</f>
        <v>7.0915879363813055</v>
      </c>
      <c r="AE45" s="2">
        <f>D16*($AI$35+2)+(1-D16)*(7)</f>
        <v>7.2048734031505361</v>
      </c>
      <c r="AF45" s="2">
        <f>E16*($AI$35+2)+(1-E16)*(7)</f>
        <v>7.3578166183544287</v>
      </c>
      <c r="AG45" s="2">
        <f>F16*($AI$35+2)+(1-F16)*(7)</f>
        <v>7.5033770044350323</v>
      </c>
      <c r="AH45" s="2">
        <f>G16*($AI$35+2)+(1-G16)*(7)</f>
        <v>7.6732483836918242</v>
      </c>
      <c r="AI45" s="2">
        <f>H16*($AI$35+2)+(1-H16)*(7)</f>
        <v>7.8514689700903242</v>
      </c>
      <c r="AJ45" s="2">
        <f>I16*($AI$35+2)+(1-I16)*(7)</f>
        <v>8.0187341836958375</v>
      </c>
      <c r="AK45" s="2">
        <f>J16*($AI$35+2)+(1-J16)*(7)</f>
        <v>8.160081477439336</v>
      </c>
      <c r="AL45" s="2">
        <f>K16*($AI$35+2)+(1-K16)*(7)</f>
        <v>8.2693156311297074</v>
      </c>
      <c r="AM45" s="2">
        <f t="shared" si="14"/>
        <v>7.6169558690914645</v>
      </c>
      <c r="AP45" s="2">
        <f>(EXP(A16*Y45))/(EXP(A16*Y45)+EXP(A16*AM45))</f>
        <v>0.56764597994488686</v>
      </c>
      <c r="AQ45" s="9"/>
    </row>
    <row r="46" spans="1:43" x14ac:dyDescent="0.25">
      <c r="A46" s="4">
        <v>4</v>
      </c>
      <c r="B46" s="2">
        <v>4.7529062353203098E-7</v>
      </c>
      <c r="C46" s="2">
        <v>1.6043338976189398E-5</v>
      </c>
      <c r="D46" s="2">
        <v>5.4176322201759898E-4</v>
      </c>
      <c r="E46" s="2">
        <v>8.1627131775209392E-3</v>
      </c>
      <c r="F46" s="2">
        <v>5.3163420076283698E-2</v>
      </c>
      <c r="G46" s="2">
        <v>0.27697242852494203</v>
      </c>
      <c r="H46" s="2">
        <v>0.72326136818654296</v>
      </c>
      <c r="I46" s="2">
        <v>0.94689533181264796</v>
      </c>
      <c r="J46" s="2">
        <v>0.99184673583494798</v>
      </c>
      <c r="K46" s="2">
        <v>0.99879657139129696</v>
      </c>
      <c r="N46" s="4">
        <v>1.1000000000000001</v>
      </c>
      <c r="O46" s="2">
        <f t="shared" si="10"/>
        <v>6.3399905148155646</v>
      </c>
      <c r="P46" s="2">
        <f t="shared" si="11"/>
        <v>6.4030239109287743</v>
      </c>
      <c r="Q46" s="2">
        <f t="shared" si="12"/>
        <v>6.5537398432025391</v>
      </c>
      <c r="R46" s="2">
        <f>E17*($U$35+2)+(1-E17)*($U$35+2)</f>
        <v>8.5</v>
      </c>
      <c r="S46" s="2">
        <f>F17*($U$35+2)+(1-F17)*($U$35+2)</f>
        <v>8.5</v>
      </c>
      <c r="T46" s="2">
        <f>G17*($U$35+2)+(1-G17)*($U$35+2)</f>
        <v>8.5</v>
      </c>
      <c r="U46" s="2">
        <f>H17*($U$35+2)+(1-H17)*($U$35+2)</f>
        <v>8.5</v>
      </c>
      <c r="V46" s="2">
        <f>I17*($U$35+2)+(1-I17)*($U$35+2)</f>
        <v>8.5</v>
      </c>
      <c r="W46" s="2">
        <f>J17*($U$35+2)+(1-J17)*($U$35+2)</f>
        <v>8.5</v>
      </c>
      <c r="X46" s="2">
        <f>K17*($U$35+2)+(1-K17)*($U$35+2)</f>
        <v>8.5</v>
      </c>
      <c r="Y46" s="2">
        <f t="shared" si="13"/>
        <v>7.8796754268946874</v>
      </c>
      <c r="AB46" s="4">
        <v>1.1000000000000001</v>
      </c>
      <c r="AC46" s="2">
        <f>B17*($AI$35+2)+(1-B17)*(7)</f>
        <v>7.0272662601015217</v>
      </c>
      <c r="AD46" s="2">
        <f>C17*($AI$35+2)+(1-C17)*(7)</f>
        <v>7.0702435756332553</v>
      </c>
      <c r="AE46" s="2">
        <f>D17*($AI$35+2)+(1-D17)*(7)</f>
        <v>7.1730044385471867</v>
      </c>
      <c r="AF46" s="2">
        <f>E17*($AI$35+2)+(1-E17)*(7)</f>
        <v>7.3247690024802345</v>
      </c>
      <c r="AG46" s="2">
        <f>F17*($AI$35+2)+(1-F17)*(7)</f>
        <v>7.4781186624385372</v>
      </c>
      <c r="AH46" s="2">
        <f>G17*($AI$35+2)+(1-G17)*(7)</f>
        <v>7.6630264519745772</v>
      </c>
      <c r="AI46" s="2">
        <f>H17*($AI$35+2)+(1-H17)*(7)</f>
        <v>7.8593109270416068</v>
      </c>
      <c r="AJ46" s="2">
        <f>I17*($AI$35+2)+(1-I17)*(7)</f>
        <v>8.0414024844341263</v>
      </c>
      <c r="AK46" s="2">
        <f>J17*($AI$35+2)+(1-J17)*(7)</f>
        <v>8.1903880287620456</v>
      </c>
      <c r="AL46" s="2">
        <f>K17*($AI$35+2)+(1-K17)*(7)</f>
        <v>8.3002558312151393</v>
      </c>
      <c r="AM46" s="2">
        <f t="shared" si="14"/>
        <v>7.6127785662628229</v>
      </c>
      <c r="AP46" s="2">
        <f>(EXP(A17*Y46))/(EXP(A17*Y46)+EXP(A17*AM46))</f>
        <v>0.5728739513353186</v>
      </c>
    </row>
    <row r="47" spans="1:43" x14ac:dyDescent="0.25">
      <c r="A47" s="4">
        <v>4.0999999999999996</v>
      </c>
      <c r="B47" s="2">
        <v>3.3042835830379498E-7</v>
      </c>
      <c r="C47" s="2">
        <v>1.21742908796321E-5</v>
      </c>
      <c r="D47" s="2">
        <v>4.4895740361799801E-4</v>
      </c>
      <c r="E47" s="2">
        <v>7.24626291227334E-3</v>
      </c>
      <c r="F47" s="2">
        <v>4.9651644251418298E-2</v>
      </c>
      <c r="G47" s="2">
        <v>0.27217856520845601</v>
      </c>
      <c r="H47" s="2">
        <v>0.728020461324838</v>
      </c>
      <c r="I47" s="2">
        <v>0.95039575287770905</v>
      </c>
      <c r="J47" s="2">
        <v>0.99276096267498604</v>
      </c>
      <c r="K47" s="2">
        <v>0.99898230927211895</v>
      </c>
      <c r="N47" s="4">
        <v>1.2</v>
      </c>
      <c r="O47" s="2">
        <f t="shared" si="10"/>
        <v>6.3278624166421729</v>
      </c>
      <c r="P47" s="2">
        <f t="shared" si="11"/>
        <v>6.378771271037782</v>
      </c>
      <c r="Q47" s="2">
        <f t="shared" si="12"/>
        <v>6.5135532511700083</v>
      </c>
      <c r="R47" s="2">
        <f>E18*($U$35+2)+(1-E18)*($U$35+2)</f>
        <v>8.5</v>
      </c>
      <c r="S47" s="2">
        <f>F18*($U$35+2)+(1-F18)*($U$35+2)</f>
        <v>8.5</v>
      </c>
      <c r="T47" s="2">
        <f>G18*($U$35+2)+(1-G18)*($U$35+2)</f>
        <v>8.5</v>
      </c>
      <c r="U47" s="2">
        <f>H18*($U$35+2)+(1-H18)*($U$35+2)</f>
        <v>8.5</v>
      </c>
      <c r="V47" s="2">
        <f>I18*($U$35+2)+(1-I18)*($U$35+2)</f>
        <v>8.5</v>
      </c>
      <c r="W47" s="2">
        <f>J18*($U$35+2)+(1-J18)*($U$35+2)</f>
        <v>8.5</v>
      </c>
      <c r="X47" s="2">
        <f>K18*($U$35+2)+(1-K18)*($U$35+2)</f>
        <v>8.5</v>
      </c>
      <c r="Y47" s="2">
        <f t="shared" si="13"/>
        <v>7.8720186938849963</v>
      </c>
      <c r="AB47" s="4">
        <v>1.2</v>
      </c>
      <c r="AC47" s="2">
        <f>B18*($AI$35+2)+(1-B18)*(7)</f>
        <v>7.0189971022560274</v>
      </c>
      <c r="AD47" s="2">
        <f>C18*($AI$35+2)+(1-C18)*(7)</f>
        <v>7.0537076847984883</v>
      </c>
      <c r="AE47" s="2">
        <f>D18*($AI$35+2)+(1-D18)*(7)</f>
        <v>7.1456044894340964</v>
      </c>
      <c r="AF47" s="2">
        <f>E18*($AI$35+2)+(1-E18)*(7)</f>
        <v>7.2941011376063196</v>
      </c>
      <c r="AG47" s="2">
        <f>F18*($AI$35+2)+(1-F18)*(7)</f>
        <v>7.4536544378520322</v>
      </c>
      <c r="AH47" s="2">
        <f>G18*($AI$35+2)+(1-G18)*(7)</f>
        <v>7.6529019088623951</v>
      </c>
      <c r="AI47" s="2">
        <f>H18*($AI$35+2)+(1-H18)*(7)</f>
        <v>7.8671373635226143</v>
      </c>
      <c r="AJ47" s="2">
        <f>I18*($AI$35+2)+(1-I18)*(7)</f>
        <v>8.063421186124609</v>
      </c>
      <c r="AK47" s="2">
        <f>J18*($AI$35+2)+(1-J18)*(7)</f>
        <v>8.2185840916126622</v>
      </c>
      <c r="AL47" s="2">
        <f>K18*($AI$35+2)+(1-K18)*(7)</f>
        <v>8.3275441588930406</v>
      </c>
      <c r="AM47" s="2">
        <f t="shared" si="14"/>
        <v>7.6095653560962289</v>
      </c>
      <c r="AP47" s="2">
        <f>(EXP(A18*Y47))/(EXP(A18*Y47)+EXP(A18*AM47))</f>
        <v>0.57809157575253212</v>
      </c>
    </row>
    <row r="48" spans="1:43" x14ac:dyDescent="0.25">
      <c r="A48" s="4">
        <v>4.2</v>
      </c>
      <c r="B48" s="2">
        <v>2.2976083886342201E-7</v>
      </c>
      <c r="C48" s="2">
        <v>9.2383230335144498E-6</v>
      </c>
      <c r="D48" s="2">
        <v>3.7204412067084802E-4</v>
      </c>
      <c r="E48" s="2">
        <v>6.4320623118032704E-3</v>
      </c>
      <c r="F48" s="2">
        <v>4.6360784203522701E-2</v>
      </c>
      <c r="G48" s="2">
        <v>0.26743888561943202</v>
      </c>
      <c r="H48" s="2">
        <v>0.73273043115927905</v>
      </c>
      <c r="I48" s="2">
        <v>0.95367741761493396</v>
      </c>
      <c r="J48" s="2">
        <v>0.99357345951207299</v>
      </c>
      <c r="K48" s="2">
        <v>0.999139423385215</v>
      </c>
      <c r="N48" s="4">
        <v>1.3</v>
      </c>
      <c r="O48" s="2">
        <f t="shared" si="10"/>
        <v>6.3193874390989064</v>
      </c>
      <c r="P48" s="2">
        <f t="shared" si="11"/>
        <v>6.3600932187391592</v>
      </c>
      <c r="Q48" s="2">
        <f t="shared" si="12"/>
        <v>6.4792396579999059</v>
      </c>
      <c r="R48" s="2">
        <f>E19*($U$35+2)+(1-E19)*($U$35+2)</f>
        <v>8.5</v>
      </c>
      <c r="S48" s="2">
        <f>F19*($U$35+2)+(1-F19)*($U$35+2)</f>
        <v>8.5</v>
      </c>
      <c r="T48" s="2">
        <f>G19*($U$35+2)+(1-G19)*($U$35+2)</f>
        <v>8.5</v>
      </c>
      <c r="U48" s="2">
        <f>H19*($U$35+2)+(1-H19)*($U$35+2)</f>
        <v>8.5</v>
      </c>
      <c r="V48" s="2">
        <f>I19*($U$35+2)+(1-I19)*($U$35+2)</f>
        <v>8.5</v>
      </c>
      <c r="W48" s="2">
        <f>J19*($U$35+2)+(1-J19)*($U$35+2)</f>
        <v>8.5</v>
      </c>
      <c r="X48" s="2">
        <f>K19*($U$35+2)+(1-K19)*($U$35+2)</f>
        <v>8.5</v>
      </c>
      <c r="Y48" s="2">
        <f t="shared" si="13"/>
        <v>7.8658720315837964</v>
      </c>
      <c r="AB48" s="4">
        <v>1.3</v>
      </c>
      <c r="AC48" s="2">
        <f>B19*($AI$35+2)+(1-B19)*(7)</f>
        <v>7.0132187084765274</v>
      </c>
      <c r="AD48" s="2">
        <f>C19*($AI$35+2)+(1-C19)*(7)</f>
        <v>7.0409726491403362</v>
      </c>
      <c r="AE48" s="2">
        <f>D19*($AI$35+2)+(1-D19)*(7)</f>
        <v>7.1222088577272089</v>
      </c>
      <c r="AF48" s="2">
        <f>E19*($AI$35+2)+(1-E19)*(7)</f>
        <v>7.2657920229844013</v>
      </c>
      <c r="AG48" s="2">
        <f>F19*($AI$35+2)+(1-F19)*(7)</f>
        <v>7.4300344831231104</v>
      </c>
      <c r="AH48" s="2">
        <f>G19*($AI$35+2)+(1-G19)*(7)</f>
        <v>7.6429012490000776</v>
      </c>
      <c r="AI48" s="2">
        <f>H19*($AI$35+2)+(1-H19)*(7)</f>
        <v>7.8749708517084986</v>
      </c>
      <c r="AJ48" s="2">
        <f>I19*($AI$35+2)+(1-I19)*(7)</f>
        <v>8.0847867867978032</v>
      </c>
      <c r="AK48" s="2">
        <f>J19*($AI$35+2)+(1-J19)*(7)</f>
        <v>8.2447191470434955</v>
      </c>
      <c r="AL48" s="2">
        <f>K19*($AI$35+2)+(1-K19)*(7)</f>
        <v>8.3514825732981741</v>
      </c>
      <c r="AM48" s="2">
        <f t="shared" si="14"/>
        <v>7.6071087329299631</v>
      </c>
      <c r="AP48" s="2">
        <f>(EXP(A19*Y48))/(EXP(A19*Y48)+EXP(A19*AM48))</f>
        <v>0.58331390130809557</v>
      </c>
    </row>
    <row r="49" spans="1:42" x14ac:dyDescent="0.25">
      <c r="A49" s="4">
        <v>4.3</v>
      </c>
      <c r="B49" s="2">
        <v>1.59805294990784E-7</v>
      </c>
      <c r="C49" s="2">
        <v>7.0104125517995696E-6</v>
      </c>
      <c r="D49" s="2">
        <v>3.0830346199993799E-4</v>
      </c>
      <c r="E49" s="2">
        <v>5.7088375415796297E-3</v>
      </c>
      <c r="F49" s="2">
        <v>4.3278341477647801E-2</v>
      </c>
      <c r="G49" s="2">
        <v>0.26275356185624699</v>
      </c>
      <c r="H49" s="2">
        <v>0.73739038956346303</v>
      </c>
      <c r="I49" s="2">
        <v>0.95675242237535896</v>
      </c>
      <c r="J49" s="2">
        <v>0.99429537975693905</v>
      </c>
      <c r="K49" s="2">
        <v>0.99927231322064003</v>
      </c>
      <c r="N49" s="4">
        <v>1.4</v>
      </c>
      <c r="O49" s="2">
        <f t="shared" si="10"/>
        <v>6.3134796905486974</v>
      </c>
      <c r="P49" s="2">
        <f t="shared" si="11"/>
        <v>6.3457702776297653</v>
      </c>
      <c r="Q49" s="2">
        <f t="shared" si="12"/>
        <v>6.4501027886312015</v>
      </c>
      <c r="R49" s="2">
        <f>E20*($U$35+2)+(1-E20)*($U$35+2)</f>
        <v>8.5</v>
      </c>
      <c r="S49" s="2">
        <f>F20*($U$35+2)+(1-F20)*($U$35+2)</f>
        <v>8.5</v>
      </c>
      <c r="T49" s="2">
        <f>G20*($U$35+2)+(1-G20)*($U$35+2)</f>
        <v>8.5</v>
      </c>
      <c r="U49" s="2">
        <f>H20*($U$35+2)+(1-H20)*($U$35+2)</f>
        <v>8.5</v>
      </c>
      <c r="V49" s="2">
        <f>I20*($U$35+2)+(1-I20)*($U$35+2)</f>
        <v>8.5</v>
      </c>
      <c r="W49" s="2">
        <f>J20*($U$35+2)+(1-J20)*($U$35+2)</f>
        <v>8.5</v>
      </c>
      <c r="X49" s="2">
        <f>K20*($U$35+2)+(1-K20)*($U$35+2)</f>
        <v>8.5</v>
      </c>
      <c r="Y49" s="2">
        <f t="shared" si="13"/>
        <v>7.8609352756809674</v>
      </c>
      <c r="AB49" s="4">
        <v>1.4</v>
      </c>
      <c r="AC49" s="2">
        <f>B20*($AI$35+2)+(1-B20)*(7)</f>
        <v>7.009190698101385</v>
      </c>
      <c r="AD49" s="2">
        <f>C20*($AI$35+2)+(1-C20)*(7)</f>
        <v>7.0312070074748396</v>
      </c>
      <c r="AE49" s="2">
        <f>D20*($AI$35+2)+(1-D20)*(7)</f>
        <v>7.1023428104303648</v>
      </c>
      <c r="AF49" s="2">
        <f>E20*($AI$35+2)+(1-E20)*(7)</f>
        <v>7.2397756973158209</v>
      </c>
      <c r="AG49" s="2">
        <f>F20*($AI$35+2)+(1-F20)*(7)</f>
        <v>7.4072863163561156</v>
      </c>
      <c r="AH49" s="2">
        <f>G20*($AI$35+2)+(1-G20)*(7)</f>
        <v>7.6330378694071443</v>
      </c>
      <c r="AI49" s="2">
        <f>H20*($AI$35+2)+(1-H20)*(7)</f>
        <v>7.8828244912889396</v>
      </c>
      <c r="AJ49" s="2">
        <f>I20*($AI$35+2)+(1-I20)*(7)</f>
        <v>8.105493355823139</v>
      </c>
      <c r="AK49" s="2">
        <f>J20*($AI$35+2)+(1-J20)*(7)</f>
        <v>8.2688597040092233</v>
      </c>
      <c r="AL49" s="2">
        <f>K20*($AI$35+2)+(1-K20)*(7)</f>
        <v>8.3723849536249517</v>
      </c>
      <c r="AM49" s="2">
        <f t="shared" si="14"/>
        <v>7.6052402903831933</v>
      </c>
      <c r="AP49" s="2">
        <f>(EXP(A20*Y49))/(EXP(A20*Y49)+EXP(A20*AM49))</f>
        <v>0.58854966112524654</v>
      </c>
    </row>
    <row r="50" spans="1:42" x14ac:dyDescent="0.25">
      <c r="A50" s="4">
        <v>4.4000000000000004</v>
      </c>
      <c r="B50" s="2">
        <v>1.1119216390817E-7</v>
      </c>
      <c r="C50" s="2">
        <v>5.3198026067925101E-6</v>
      </c>
      <c r="D50" s="2">
        <v>2.5548053411549899E-4</v>
      </c>
      <c r="E50" s="2">
        <v>5.0665298095063996E-3</v>
      </c>
      <c r="F50" s="2">
        <v>4.0392348684128603E-2</v>
      </c>
      <c r="G50" s="2">
        <v>0.25812277155586399</v>
      </c>
      <c r="H50" s="2">
        <v>0.74199954037250404</v>
      </c>
      <c r="I50" s="2">
        <v>0.95963240522037796</v>
      </c>
      <c r="J50" s="2">
        <v>0.99493668938038304</v>
      </c>
      <c r="K50" s="2">
        <v>0.99938470521634004</v>
      </c>
      <c r="N50" s="4">
        <v>1.5</v>
      </c>
      <c r="O50" s="2">
        <f t="shared" si="10"/>
        <v>6.3093678533187791</v>
      </c>
      <c r="P50" s="2">
        <f t="shared" si="11"/>
        <v>6.334821110927491</v>
      </c>
      <c r="Q50" s="2">
        <f t="shared" si="12"/>
        <v>6.4254718794885806</v>
      </c>
      <c r="R50" s="2">
        <f>E21*($U$35+2)+(1-E21)*($U$35+2)</f>
        <v>8.5</v>
      </c>
      <c r="S50" s="2">
        <f>F21*($U$35+2)+(1-F21)*($U$35+2)</f>
        <v>8.5</v>
      </c>
      <c r="T50" s="2">
        <f>G21*($U$35+2)+(1-G21)*($U$35+2)</f>
        <v>8.5</v>
      </c>
      <c r="U50" s="2">
        <f>H21*($U$35+2)+(1-H21)*($U$35+2)</f>
        <v>8.5</v>
      </c>
      <c r="V50" s="2">
        <f>I21*($U$35+2)+(1-I21)*($U$35+2)</f>
        <v>8.5</v>
      </c>
      <c r="W50" s="2">
        <f>J21*($U$35+2)+(1-J21)*($U$35+2)</f>
        <v>8.5</v>
      </c>
      <c r="X50" s="2">
        <f>K21*($U$35+2)+(1-K21)*($U$35+2)</f>
        <v>8.5</v>
      </c>
      <c r="Y50" s="2">
        <f t="shared" si="13"/>
        <v>7.856966084373485</v>
      </c>
      <c r="AB50" s="4">
        <v>1.5</v>
      </c>
      <c r="AC50" s="2">
        <f>B21*($AI$35+2)+(1-B21)*(7)</f>
        <v>7.0063871727173499</v>
      </c>
      <c r="AD50" s="2">
        <f>C21*($AI$35+2)+(1-C21)*(7)</f>
        <v>7.0237416665414711</v>
      </c>
      <c r="AE50" s="2">
        <f>D21*($AI$35+2)+(1-D21)*(7)</f>
        <v>7.0855490087422144</v>
      </c>
      <c r="AF50" s="2">
        <f>E21*($AI$35+2)+(1-E21)*(7)</f>
        <v>7.215956343001996</v>
      </c>
      <c r="AG50" s="2">
        <f>F21*($AI$35+2)+(1-F21)*(7)</f>
        <v>7.385422059998251</v>
      </c>
      <c r="AH50" s="2">
        <f>G21*($AI$35+2)+(1-G21)*(7)</f>
        <v>7.6233167393287378</v>
      </c>
      <c r="AI50" s="2">
        <f>H21*($AI$35+2)+(1-H21)*(7)</f>
        <v>7.8907047923246649</v>
      </c>
      <c r="AJ50" s="2">
        <f>I21*($AI$35+2)+(1-I21)*(7)</f>
        <v>8.1255338385663549</v>
      </c>
      <c r="AK50" s="2">
        <f>J21*($AI$35+2)+(1-J21)*(7)</f>
        <v>8.291085296349312</v>
      </c>
      <c r="AL50" s="2">
        <f>K21*($AI$35+2)+(1-K21)*(7)</f>
        <v>8.3905628569035002</v>
      </c>
      <c r="AM50" s="2">
        <f t="shared" si="14"/>
        <v>7.603825977447384</v>
      </c>
      <c r="AP50" s="2">
        <f>(EXP(A21*Y50))/(EXP(A21*Y50)+EXP(A21*AM50))</f>
        <v>0.59380319524272862</v>
      </c>
    </row>
    <row r="51" spans="1:42" x14ac:dyDescent="0.25">
      <c r="A51" s="4">
        <v>4.5</v>
      </c>
      <c r="B51" s="2">
        <v>7.74102870666783E-8</v>
      </c>
      <c r="C51" s="2">
        <v>4.0369158307905599E-6</v>
      </c>
      <c r="D51" s="2">
        <v>2.11706101454857E-4</v>
      </c>
      <c r="E51" s="2">
        <v>4.49617024501204E-3</v>
      </c>
      <c r="F51" s="2">
        <v>3.7691369703475801E-2</v>
      </c>
      <c r="G51" s="2">
        <v>0.25354669194458102</v>
      </c>
      <c r="H51" s="2">
        <v>0.74655717277717704</v>
      </c>
      <c r="I51" s="2">
        <v>0.96232853305920896</v>
      </c>
      <c r="J51" s="2">
        <v>0.99550628579747202</v>
      </c>
      <c r="K51" s="2">
        <v>0.99947975487467899</v>
      </c>
      <c r="N51" s="4">
        <v>1.6</v>
      </c>
      <c r="O51" s="2">
        <f t="shared" si="10"/>
        <v>6.3065086756843227</v>
      </c>
      <c r="P51" s="2">
        <f t="shared" si="11"/>
        <v>6.3264696830635767</v>
      </c>
      <c r="Q51" s="2">
        <f t="shared" si="12"/>
        <v>6.4047250156923763</v>
      </c>
      <c r="R51" s="2">
        <f t="shared" ref="R51:X55" si="15">E22*($U$35+2)+(1-E22)*($U$35+2)</f>
        <v>8.5</v>
      </c>
      <c r="S51" s="2">
        <f t="shared" si="15"/>
        <v>8.5</v>
      </c>
      <c r="T51" s="2">
        <f t="shared" si="15"/>
        <v>8.5</v>
      </c>
      <c r="U51" s="2">
        <f t="shared" si="15"/>
        <v>8.5</v>
      </c>
      <c r="V51" s="2">
        <f t="shared" si="15"/>
        <v>8.5</v>
      </c>
      <c r="W51" s="2">
        <f t="shared" si="15"/>
        <v>8.5</v>
      </c>
      <c r="X51" s="2">
        <f t="shared" si="15"/>
        <v>8.5</v>
      </c>
      <c r="Y51" s="2">
        <f t="shared" si="13"/>
        <v>7.8537703374440273</v>
      </c>
      <c r="AB51" s="4">
        <v>1.6</v>
      </c>
      <c r="AC51" s="2">
        <f>B22*($AI$35+2)+(1-B22)*(7)</f>
        <v>7.0044377334211294</v>
      </c>
      <c r="AD51" s="2">
        <f>C22*($AI$35+2)+(1-C22)*(7)</f>
        <v>7.018047511179712</v>
      </c>
      <c r="AE51" s="2">
        <f>D22*($AI$35+2)+(1-D22)*(7)</f>
        <v>7.0714034197902569</v>
      </c>
      <c r="AF51" s="2">
        <f>E22*($AI$35+2)+(1-E22)*(7)</f>
        <v>7.1942193056981694</v>
      </c>
      <c r="AG51" s="2">
        <f>F22*($AI$35+2)+(1-F22)*(7)</f>
        <v>7.3644433812714611</v>
      </c>
      <c r="AH51" s="2">
        <f>G22*($AI$35+2)+(1-G22)*(7)</f>
        <v>7.6137375908894516</v>
      </c>
      <c r="AI51" s="2">
        <f>H22*($AI$35+2)+(1-H22)*(7)</f>
        <v>7.8986137091752759</v>
      </c>
      <c r="AJ51" s="2">
        <f>I22*($AI$35+2)+(1-I22)*(7)</f>
        <v>8.1449010946028686</v>
      </c>
      <c r="AK51" s="2">
        <f>J22*($AI$35+2)+(1-J22)*(7)</f>
        <v>8.3114851298551891</v>
      </c>
      <c r="AL51" s="2">
        <f>K22*($AI$35+2)+(1-K22)*(7)</f>
        <v>8.4063158755525755</v>
      </c>
      <c r="AM51" s="2">
        <f t="shared" si="14"/>
        <v>7.6027604751436089</v>
      </c>
      <c r="AP51" s="2">
        <f>(EXP(A22*Y51))/(EXP(A22*Y51)+EXP(A22*AM51))</f>
        <v>0.59907580656616854</v>
      </c>
    </row>
    <row r="52" spans="1:42" x14ac:dyDescent="0.25">
      <c r="A52" s="4">
        <v>4.5999999999999996</v>
      </c>
      <c r="B52" s="2">
        <v>5.3934901571329802E-8</v>
      </c>
      <c r="C52" s="2">
        <v>3.0634236541096999E-6</v>
      </c>
      <c r="D52" s="2">
        <v>1.7543072693137099E-4</v>
      </c>
      <c r="E52" s="2">
        <v>3.9897664395943302E-3</v>
      </c>
      <c r="F52" s="2">
        <v>3.5164496332647899E-2</v>
      </c>
      <c r="G52" s="2">
        <v>0.24902549477413799</v>
      </c>
      <c r="H52" s="2">
        <v>0.75106265530953698</v>
      </c>
      <c r="I52" s="2">
        <v>0.96485149442013196</v>
      </c>
      <c r="J52" s="2">
        <v>0.99601210647251703</v>
      </c>
      <c r="K52" s="2">
        <v>0.99956013361463403</v>
      </c>
      <c r="N52" s="4">
        <v>1.7</v>
      </c>
      <c r="O52" s="2">
        <f t="shared" si="10"/>
        <v>6.3045216290243964</v>
      </c>
      <c r="P52" s="2">
        <f t="shared" si="11"/>
        <v>6.3201097834699356</v>
      </c>
      <c r="Q52" s="2">
        <f t="shared" si="12"/>
        <v>6.3873006615828976</v>
      </c>
      <c r="R52" s="2">
        <f t="shared" si="15"/>
        <v>8.5</v>
      </c>
      <c r="S52" s="2">
        <f t="shared" si="15"/>
        <v>8.5</v>
      </c>
      <c r="T52" s="2">
        <f t="shared" si="15"/>
        <v>8.5</v>
      </c>
      <c r="U52" s="2">
        <f t="shared" si="15"/>
        <v>8.5</v>
      </c>
      <c r="V52" s="2">
        <f t="shared" si="15"/>
        <v>8.5</v>
      </c>
      <c r="W52" s="2">
        <f t="shared" si="15"/>
        <v>8.5</v>
      </c>
      <c r="X52" s="2">
        <f t="shared" si="15"/>
        <v>8.5</v>
      </c>
      <c r="Y52" s="2">
        <f t="shared" si="13"/>
        <v>7.8511932074077233</v>
      </c>
      <c r="AB52" s="4">
        <v>1.7</v>
      </c>
      <c r="AC52" s="2">
        <f>B23*($AI$35+2)+(1-B23)*(7)</f>
        <v>7.0030829288802705</v>
      </c>
      <c r="AD52" s="2">
        <f>C23*($AI$35+2)+(1-C23)*(7)</f>
        <v>7.0137112160022292</v>
      </c>
      <c r="AE52" s="2">
        <f>D23*($AI$35+2)+(1-D23)*(7)</f>
        <v>7.0595231783519754</v>
      </c>
      <c r="AF52" s="2">
        <f>E23*($AI$35+2)+(1-E23)*(7)</f>
        <v>7.1744390450465874</v>
      </c>
      <c r="AG52" s="2">
        <f>F23*($AI$35+2)+(1-F23)*(7)</f>
        <v>7.344344791328659</v>
      </c>
      <c r="AH52" s="2">
        <f>G23*($AI$35+2)+(1-G23)*(7)</f>
        <v>7.6042970564028032</v>
      </c>
      <c r="AI52" s="2">
        <f>H23*($AI$35+2)+(1-H23)*(7)</f>
        <v>7.9065500740218928</v>
      </c>
      <c r="AJ52" s="2">
        <f>I23*($AI$35+2)+(1-I23)*(7)</f>
        <v>8.16358872295962</v>
      </c>
      <c r="AK52" s="2">
        <f>J23*($AI$35+2)+(1-J23)*(7)</f>
        <v>8.330155247228463</v>
      </c>
      <c r="AL52" s="2">
        <f>K23*($AI$35+2)+(1-K23)*(7)</f>
        <v>8.4199255197960525</v>
      </c>
      <c r="AM52" s="2">
        <f t="shared" si="14"/>
        <v>7.6019617780018551</v>
      </c>
      <c r="AP52" s="2">
        <f>(EXP(A23*Y52))/(EXP(A23*Y52)+EXP(A23*AM52))</f>
        <v>0.60436671654945373</v>
      </c>
    </row>
    <row r="53" spans="1:42" x14ac:dyDescent="0.25">
      <c r="A53" s="4">
        <v>4.7</v>
      </c>
      <c r="B53" s="2">
        <v>3.7621649921166298E-8</v>
      </c>
      <c r="C53" s="2">
        <v>2.3247104770597499E-6</v>
      </c>
      <c r="D53" s="2">
        <v>1.45370129288739E-4</v>
      </c>
      <c r="E53" s="2">
        <v>3.5401998249369199E-3</v>
      </c>
      <c r="F53" s="2">
        <v>3.2801341853709802E-2</v>
      </c>
      <c r="G53" s="2">
        <v>0.24455934204118701</v>
      </c>
      <c r="H53" s="2">
        <v>0.75551543037668101</v>
      </c>
      <c r="I53" s="2">
        <v>0.96721149706572795</v>
      </c>
      <c r="J53" s="2">
        <v>0.99646122777051205</v>
      </c>
      <c r="K53" s="2">
        <v>0.99962810257956103</v>
      </c>
      <c r="N53" s="4">
        <v>1.8</v>
      </c>
      <c r="O53" s="2">
        <f t="shared" si="10"/>
        <v>6.3031410988294647</v>
      </c>
      <c r="P53" s="2">
        <f t="shared" si="11"/>
        <v>6.3152719399097368</v>
      </c>
      <c r="Q53" s="2">
        <f t="shared" si="12"/>
        <v>6.3727013955749001</v>
      </c>
      <c r="R53" s="2">
        <f t="shared" si="15"/>
        <v>8.5</v>
      </c>
      <c r="S53" s="2">
        <f t="shared" si="15"/>
        <v>8.5</v>
      </c>
      <c r="T53" s="2">
        <f t="shared" si="15"/>
        <v>8.5</v>
      </c>
      <c r="U53" s="2">
        <f t="shared" si="15"/>
        <v>8.5</v>
      </c>
      <c r="V53" s="2">
        <f t="shared" si="15"/>
        <v>8.5</v>
      </c>
      <c r="W53" s="2">
        <f t="shared" si="15"/>
        <v>8.5</v>
      </c>
      <c r="X53" s="2">
        <f t="shared" si="15"/>
        <v>8.5</v>
      </c>
      <c r="Y53" s="2">
        <f t="shared" si="13"/>
        <v>7.8491114434314095</v>
      </c>
      <c r="AB53" s="4">
        <v>1.8</v>
      </c>
      <c r="AC53" s="2">
        <f>B24*($AI$35+2)+(1-B24)*(7)</f>
        <v>7.0021416582928167</v>
      </c>
      <c r="AD53" s="2">
        <f>C24*($AI$35+2)+(1-C24)*(7)</f>
        <v>7.010412686302093</v>
      </c>
      <c r="AE53" s="2">
        <f>D24*($AI$35+2)+(1-D24)*(7)</f>
        <v>7.0495691333465222</v>
      </c>
      <c r="AF53" s="2">
        <f>E24*($AI$35+2)+(1-E24)*(7)</f>
        <v>7.1564848421672345</v>
      </c>
      <c r="AG53" s="2">
        <f>F24*($AI$35+2)+(1-F24)*(7)</f>
        <v>7.3251158182544298</v>
      </c>
      <c r="AH53" s="2">
        <f>G24*($AI$35+2)+(1-G24)*(7)</f>
        <v>7.5949900774094745</v>
      </c>
      <c r="AI53" s="2">
        <f>H24*($AI$35+2)+(1-H24)*(7)</f>
        <v>7.9145106115949186</v>
      </c>
      <c r="AJ53" s="2">
        <f>I24*($AI$35+2)+(1-I24)*(7)</f>
        <v>8.1815917046561779</v>
      </c>
      <c r="AK53" s="2">
        <f>J24*($AI$35+2)+(1-J24)*(7)</f>
        <v>8.3471961062193909</v>
      </c>
      <c r="AL53" s="2">
        <f>K24*($AI$35+2)+(1-K24)*(7)</f>
        <v>8.4316517117356948</v>
      </c>
      <c r="AM53" s="2">
        <f t="shared" si="14"/>
        <v>7.6013664349978756</v>
      </c>
      <c r="AP53" s="2">
        <f>(EXP(A24*Y53))/(EXP(A24*Y53)+EXP(A24*AM53))</f>
        <v>0.60967374167964161</v>
      </c>
    </row>
    <row r="54" spans="1:42" x14ac:dyDescent="0.25">
      <c r="A54" s="4">
        <v>4.8</v>
      </c>
      <c r="B54" s="2">
        <v>2.6285456243815499E-8</v>
      </c>
      <c r="C54" s="2">
        <v>1.7641551373968E-6</v>
      </c>
      <c r="D54" s="2">
        <v>1.20459855991489E-4</v>
      </c>
      <c r="E54" s="2">
        <v>3.14113306200226E-3</v>
      </c>
      <c r="F54" s="2">
        <v>3.0592031979279899E-2</v>
      </c>
      <c r="G54" s="2">
        <v>0.24014838239792299</v>
      </c>
      <c r="H54" s="2">
        <v>0.75991500929759803</v>
      </c>
      <c r="I54" s="2">
        <v>0.96941826972684297</v>
      </c>
      <c r="J54" s="2">
        <v>0.99685995464525601</v>
      </c>
      <c r="K54" s="2">
        <v>0.99968557531438995</v>
      </c>
      <c r="N54" s="4">
        <v>1.9</v>
      </c>
      <c r="O54" s="2">
        <f t="shared" si="10"/>
        <v>6.3021820891423932</v>
      </c>
      <c r="P54" s="2">
        <f t="shared" si="11"/>
        <v>6.31159479274526</v>
      </c>
      <c r="Q54" s="2">
        <f t="shared" si="12"/>
        <v>6.3604927893073402</v>
      </c>
      <c r="R54" s="2">
        <f t="shared" si="15"/>
        <v>8.5</v>
      </c>
      <c r="S54" s="2">
        <f t="shared" si="15"/>
        <v>8.5</v>
      </c>
      <c r="T54" s="2">
        <f t="shared" si="15"/>
        <v>8.5</v>
      </c>
      <c r="U54" s="2">
        <f t="shared" si="15"/>
        <v>8.5</v>
      </c>
      <c r="V54" s="2">
        <f t="shared" si="15"/>
        <v>8.5</v>
      </c>
      <c r="W54" s="2">
        <f t="shared" si="15"/>
        <v>8.5</v>
      </c>
      <c r="X54" s="2">
        <f t="shared" si="15"/>
        <v>8.5</v>
      </c>
      <c r="Y54" s="2">
        <f t="shared" si="13"/>
        <v>7.8474269671194987</v>
      </c>
      <c r="AB54" s="4">
        <v>1.9</v>
      </c>
      <c r="AC54" s="2">
        <f>B25*($AI$35+2)+(1-B25)*(7)</f>
        <v>7.001487788051632</v>
      </c>
      <c r="AD54" s="2">
        <f>C25*($AI$35+2)+(1-C25)*(7)</f>
        <v>7.0079055405081316</v>
      </c>
      <c r="AE54" s="2">
        <f>D25*($AI$35+2)+(1-D25)*(7)</f>
        <v>7.0412450836186409</v>
      </c>
      <c r="AF54" s="2">
        <f>E25*($AI$35+2)+(1-E25)*(7)</f>
        <v>7.1402248831604673</v>
      </c>
      <c r="AG54" s="2">
        <f>F25*($AI$35+2)+(1-F25)*(7)</f>
        <v>7.3067424289345606</v>
      </c>
      <c r="AH54" s="2">
        <f>G25*($AI$35+2)+(1-G25)*(7)</f>
        <v>7.5858108188572908</v>
      </c>
      <c r="AI54" s="2">
        <f>H25*($AI$35+2)+(1-H25)*(7)</f>
        <v>7.9224906621404028</v>
      </c>
      <c r="AJ54" s="2">
        <f>I25*($AI$35+2)+(1-I25)*(7)</f>
        <v>8.1989068825207596</v>
      </c>
      <c r="AK54" s="2">
        <f>J25*($AI$35+2)+(1-J25)*(7)</f>
        <v>8.3627105007189755</v>
      </c>
      <c r="AL54" s="2">
        <f>K25*($AI$35+2)+(1-K25)*(7)</f>
        <v>8.4417311630273453</v>
      </c>
      <c r="AM54" s="2">
        <f t="shared" si="14"/>
        <v>7.6009255751538207</v>
      </c>
      <c r="AP54" s="2">
        <f>(EXP(A25*Y54))/(EXP(A25*Y54)+EXP(A25*AM54))</f>
        <v>0.61499377545436384</v>
      </c>
    </row>
    <row r="55" spans="1:42" x14ac:dyDescent="0.25">
      <c r="A55" s="4">
        <v>4.9000000000000004</v>
      </c>
      <c r="B55" s="2">
        <v>1.8407873485609899E-8</v>
      </c>
      <c r="C55" s="2">
        <v>1.3387914212468799E-6</v>
      </c>
      <c r="D55" s="2">
        <v>9.9817689873211396E-5</v>
      </c>
      <c r="E55" s="2">
        <v>2.7869266299586099E-3</v>
      </c>
      <c r="F55" s="2">
        <v>2.8527193598128799E-2</v>
      </c>
      <c r="G55" s="2">
        <v>0.23579274817089199</v>
      </c>
      <c r="H55" s="2">
        <v>0.764260967798011</v>
      </c>
      <c r="I55" s="2">
        <v>0.97148106729649897</v>
      </c>
      <c r="J55" s="2">
        <v>0.99721390178873204</v>
      </c>
      <c r="K55" s="2">
        <v>0.99973417095763495</v>
      </c>
      <c r="N55" s="4">
        <v>2</v>
      </c>
      <c r="O55" s="2">
        <f t="shared" si="10"/>
        <v>6.3015159259301843</v>
      </c>
      <c r="P55" s="2">
        <f t="shared" si="11"/>
        <v>6.3088013996007852</v>
      </c>
      <c r="Q55" s="2">
        <f t="shared" si="12"/>
        <v>6.3502994805070125</v>
      </c>
      <c r="R55" s="2">
        <f t="shared" si="15"/>
        <v>8.5</v>
      </c>
      <c r="S55" s="2">
        <f t="shared" si="15"/>
        <v>8.5</v>
      </c>
      <c r="T55" s="2">
        <f t="shared" si="15"/>
        <v>8.5</v>
      </c>
      <c r="U55" s="2">
        <f t="shared" si="15"/>
        <v>8.5</v>
      </c>
      <c r="V55" s="2">
        <f t="shared" si="15"/>
        <v>8.5</v>
      </c>
      <c r="W55" s="2">
        <f t="shared" si="15"/>
        <v>8.5</v>
      </c>
      <c r="X55" s="2">
        <f t="shared" si="15"/>
        <v>8.5</v>
      </c>
      <c r="Y55" s="2">
        <f t="shared" si="13"/>
        <v>7.8460616806037988</v>
      </c>
      <c r="AB55" s="4">
        <v>2</v>
      </c>
      <c r="AC55" s="2">
        <f>B26*($AI$35+2)+(1-B26)*(7)</f>
        <v>7.0010335858614896</v>
      </c>
      <c r="AD55" s="2">
        <f>C26*($AI$35+2)+(1-C26)*(7)</f>
        <v>7.0060009542732624</v>
      </c>
      <c r="AE55" s="2">
        <f>D26*($AI$35+2)+(1-D26)*(7)</f>
        <v>7.0342951003456902</v>
      </c>
      <c r="AF55" s="2">
        <f>E26*($AI$35+2)+(1-E26)*(7)</f>
        <v>7.1255291651465198</v>
      </c>
      <c r="AG55" s="2">
        <f>F26*($AI$35+2)+(1-F26)*(7)</f>
        <v>7.2892079611998541</v>
      </c>
      <c r="AH55" s="2">
        <f>G26*($AI$35+2)+(1-G26)*(7)</f>
        <v>7.5767532505235673</v>
      </c>
      <c r="AI55" s="2">
        <f>H26*($AI$35+2)+(1-H26)*(7)</f>
        <v>7.9304846997361889</v>
      </c>
      <c r="AJ55" s="2">
        <f>I26*($AI$35+2)+(1-I26)*(7)</f>
        <v>8.2155332948806485</v>
      </c>
      <c r="AK55" s="2">
        <f>J26*($AI$35+2)+(1-J26)*(7)</f>
        <v>8.376801781712949</v>
      </c>
      <c r="AL55" s="2">
        <f>K26*($AI$35+2)+(1-K26)*(7)</f>
        <v>8.4503770748975295</v>
      </c>
      <c r="AM55" s="2">
        <f t="shared" si="14"/>
        <v>7.6006016868577699</v>
      </c>
      <c r="AP55" s="2">
        <f>(EXP(A26*Y55))/(EXP(A26*Y55)+EXP(A26*AM55))</f>
        <v>0.62032313392582317</v>
      </c>
    </row>
    <row r="56" spans="1:42" x14ac:dyDescent="0.25">
      <c r="A56" s="4">
        <v>5</v>
      </c>
      <c r="B56" s="2">
        <v>1.29337099722989E-8</v>
      </c>
      <c r="C56" s="2">
        <v>1.01601505651991E-6</v>
      </c>
      <c r="D56" s="2">
        <v>8.27124744222378E-5</v>
      </c>
      <c r="E56" s="2">
        <v>2.4725638322434401E-3</v>
      </c>
      <c r="F56" s="2">
        <v>2.65979417105618E-2</v>
      </c>
      <c r="G56" s="2">
        <v>0.231492552913731</v>
      </c>
      <c r="H56" s="2">
        <v>0.76855294191925405</v>
      </c>
      <c r="I56" s="2">
        <v>0.97340867889110205</v>
      </c>
      <c r="J56" s="2">
        <v>0.99752806687774598</v>
      </c>
      <c r="K56" s="2">
        <v>0.99977525935931799</v>
      </c>
    </row>
    <row r="57" spans="1:42" x14ac:dyDescent="0.25">
      <c r="A57" s="4">
        <v>5.0999999999999996</v>
      </c>
      <c r="B57" s="2">
        <v>9.1296994607742697E-9</v>
      </c>
      <c r="C57" s="2">
        <v>7.7108482784715802E-7</v>
      </c>
      <c r="D57" s="2">
        <v>6.8538264880157196E-5</v>
      </c>
      <c r="E57" s="2">
        <v>2.19358347439297E-3</v>
      </c>
      <c r="F57" s="2">
        <v>2.47958649081782E-2</v>
      </c>
      <c r="G57" s="2">
        <v>0.22724788942756999</v>
      </c>
      <c r="H57" s="2">
        <v>0.77279062429925705</v>
      </c>
      <c r="I57" s="2">
        <v>0.97520943825057405</v>
      </c>
      <c r="J57" s="2">
        <v>0.99780689654814803</v>
      </c>
      <c r="K57" s="2">
        <v>0.99980999933264303</v>
      </c>
      <c r="R57" s="12" t="s">
        <v>37</v>
      </c>
      <c r="S57" s="13"/>
    </row>
    <row r="58" spans="1:42" x14ac:dyDescent="0.25">
      <c r="A58" s="4">
        <v>5.2</v>
      </c>
      <c r="B58" s="2">
        <v>6.4862873380633304E-9</v>
      </c>
      <c r="C58" s="2">
        <v>5.8522630998250301E-7</v>
      </c>
      <c r="D58" s="2">
        <v>5.6792897458737101E-5</v>
      </c>
      <c r="E58" s="2">
        <v>1.9460195112688901E-3</v>
      </c>
      <c r="F58" s="2">
        <v>2.3113009717387702E-2</v>
      </c>
      <c r="G58" s="2">
        <v>0.22305882819022299</v>
      </c>
      <c r="H58" s="2">
        <v>0.77697376078625602</v>
      </c>
      <c r="I58" s="2">
        <v>0.97689123601014205</v>
      </c>
      <c r="J58" s="2">
        <v>0.99805434570915197</v>
      </c>
      <c r="K58" s="2">
        <v>0.99983937107131304</v>
      </c>
      <c r="Q58" s="11" t="s">
        <v>0</v>
      </c>
      <c r="R58" s="2" t="s">
        <v>38</v>
      </c>
      <c r="S58" s="2" t="s">
        <v>39</v>
      </c>
    </row>
    <row r="59" spans="1:42" x14ac:dyDescent="0.25">
      <c r="A59" s="4">
        <v>5.3</v>
      </c>
      <c r="B59" s="2">
        <v>4.6493795979085303E-9</v>
      </c>
      <c r="C59" s="2">
        <v>4.4419289775571002E-7</v>
      </c>
      <c r="D59" s="2">
        <v>4.7060223032743898E-5</v>
      </c>
      <c r="E59" s="2">
        <v>1.7263470075105599E-3</v>
      </c>
      <c r="F59" s="2">
        <v>2.15418640915312E-2</v>
      </c>
      <c r="G59" s="2">
        <v>0.21892541614195801</v>
      </c>
      <c r="H59" s="2">
        <v>0.78110214734871297</v>
      </c>
      <c r="I59" s="2">
        <v>0.97846153343376596</v>
      </c>
      <c r="J59" s="2">
        <v>0.99827393078382698</v>
      </c>
      <c r="K59" s="2">
        <v>0.99986420361290096</v>
      </c>
      <c r="Q59" s="4">
        <v>0.1</v>
      </c>
      <c r="R59" s="2">
        <f>Y7-AM7</f>
        <v>-4.8231013050987315E-2</v>
      </c>
      <c r="S59" s="2">
        <f>AM36-Y36</f>
        <v>-0.39628132927619841</v>
      </c>
    </row>
    <row r="60" spans="1:42" x14ac:dyDescent="0.25">
      <c r="A60" s="4">
        <v>5.4</v>
      </c>
      <c r="B60" s="2">
        <v>3.37291381910341E-9</v>
      </c>
      <c r="C60" s="2">
        <v>3.3717385489433201E-7</v>
      </c>
      <c r="D60" s="2">
        <v>3.8995379769772503E-5</v>
      </c>
      <c r="E60" s="2">
        <v>1.53143380255649E-3</v>
      </c>
      <c r="F60" s="2">
        <v>2.0075340303229099E-2</v>
      </c>
      <c r="G60" s="2">
        <v>0.21484767578164901</v>
      </c>
      <c r="H60" s="2">
        <v>0.78517562724796996</v>
      </c>
      <c r="I60" s="2">
        <v>0.97992737725222301</v>
      </c>
      <c r="J60" s="2">
        <v>0.99846877742991802</v>
      </c>
      <c r="K60" s="2">
        <v>0.99988519809835397</v>
      </c>
      <c r="Q60" s="4">
        <v>0.2</v>
      </c>
      <c r="R60" s="2">
        <f>Y8-AM8</f>
        <v>-7.5581617875854157E-2</v>
      </c>
      <c r="S60" s="2">
        <f t="shared" ref="S60:S71" si="16">AM37-Y37</f>
        <v>-0.37409305580857666</v>
      </c>
    </row>
    <row r="61" spans="1:42" x14ac:dyDescent="0.25">
      <c r="A61" s="4">
        <v>5.5</v>
      </c>
      <c r="B61" s="2">
        <v>2.4858998969552502E-9</v>
      </c>
      <c r="C61" s="2">
        <v>2.5596569727561302E-7</v>
      </c>
      <c r="D61" s="2">
        <v>3.2312585623863603E-5</v>
      </c>
      <c r="E61" s="2">
        <v>1.3584973190150899E-3</v>
      </c>
      <c r="F61" s="2">
        <v>1.8706757457145E-2</v>
      </c>
      <c r="G61" s="2">
        <v>0.210825604532559</v>
      </c>
      <c r="H61" s="2">
        <v>0.78919408844318095</v>
      </c>
      <c r="I61" s="2">
        <v>0.98129541529729103</v>
      </c>
      <c r="J61" s="2">
        <v>0.99864166325992598</v>
      </c>
      <c r="K61" s="2">
        <v>0.99990294746605801</v>
      </c>
      <c r="Q61" s="4">
        <v>0.3</v>
      </c>
      <c r="R61" s="2">
        <f>Y9-AM9</f>
        <v>-0.10113211352275808</v>
      </c>
      <c r="S61" s="2">
        <f t="shared" si="16"/>
        <v>-0.35388406261026883</v>
      </c>
    </row>
    <row r="62" spans="1:42" x14ac:dyDescent="0.25">
      <c r="A62" s="4">
        <v>5.6</v>
      </c>
      <c r="B62" s="2">
        <v>1.8695161434732902E-9</v>
      </c>
      <c r="C62" s="2">
        <v>1.94343406498245E-7</v>
      </c>
      <c r="D62" s="2">
        <v>2.6775020060394701E-5</v>
      </c>
      <c r="E62" s="2">
        <v>1.2050659995104199E-3</v>
      </c>
      <c r="F62" s="2">
        <v>1.7429823813968799E-2</v>
      </c>
      <c r="G62" s="2">
        <v>0.20685917434183099</v>
      </c>
      <c r="H62" s="2">
        <v>0.79315746120111397</v>
      </c>
      <c r="I62" s="2">
        <v>0.98257191266746802</v>
      </c>
      <c r="J62" s="2">
        <v>0.99879505604253804</v>
      </c>
      <c r="K62" s="2">
        <v>0.99991795312330101</v>
      </c>
      <c r="Q62" s="4">
        <v>0.4</v>
      </c>
      <c r="R62" s="2">
        <f>Y10-AM10</f>
        <v>-0.12418105640964416</v>
      </c>
      <c r="S62" s="2">
        <f t="shared" si="16"/>
        <v>-0.33594105707823463</v>
      </c>
    </row>
    <row r="63" spans="1:42" x14ac:dyDescent="0.25">
      <c r="A63" s="4">
        <v>5.7</v>
      </c>
      <c r="B63" s="2">
        <v>1.4411930699367499E-9</v>
      </c>
      <c r="C63" s="2">
        <v>1.4758328358744001E-7</v>
      </c>
      <c r="D63" s="2">
        <v>2.2186437818249602E-5</v>
      </c>
      <c r="E63" s="2">
        <v>1.06894490167353E-3</v>
      </c>
      <c r="F63" s="2">
        <v>1.62386190893146E-2</v>
      </c>
      <c r="G63" s="2">
        <v>0.20294833148206901</v>
      </c>
      <c r="H63" s="2">
        <v>0.79706571588622899</v>
      </c>
      <c r="I63" s="2">
        <v>0.98376276820014597</v>
      </c>
      <c r="J63" s="2">
        <v>0.99893114783041204</v>
      </c>
      <c r="K63" s="2">
        <v>0.99993063905631996</v>
      </c>
      <c r="Q63" s="4">
        <v>0.5</v>
      </c>
      <c r="R63" s="2">
        <f>Y11-AM11</f>
        <v>-0.14434028907136387</v>
      </c>
      <c r="S63" s="2">
        <f t="shared" si="16"/>
        <v>-0.32035905687632749</v>
      </c>
    </row>
    <row r="64" spans="1:42" x14ac:dyDescent="0.25">
      <c r="A64" s="4">
        <v>5.8</v>
      </c>
      <c r="B64" s="2">
        <v>1.14355303503005E-9</v>
      </c>
      <c r="C64" s="2">
        <v>1.12100873694592E-7</v>
      </c>
      <c r="D64" s="2">
        <v>1.8384218476174799E-5</v>
      </c>
      <c r="E64" s="2">
        <v>9.4818502322269703E-4</v>
      </c>
      <c r="F64" s="2">
        <v>1.5127576866437901E-2</v>
      </c>
      <c r="G64" s="2">
        <v>0.199092996527204</v>
      </c>
      <c r="H64" s="2">
        <v>0.80091886090921105</v>
      </c>
      <c r="I64" s="2">
        <v>0.98487353106047004</v>
      </c>
      <c r="J64" s="2">
        <v>0.99905188542280099</v>
      </c>
      <c r="K64" s="2">
        <v>0.99994136377051301</v>
      </c>
      <c r="Q64" s="4">
        <v>0.6</v>
      </c>
      <c r="R64" s="2">
        <f>Y12-AM12</f>
        <v>-0.16153195559407862</v>
      </c>
      <c r="S64" s="2">
        <f t="shared" si="16"/>
        <v>-0.30706274003738798</v>
      </c>
    </row>
    <row r="65" spans="1:19" x14ac:dyDescent="0.25">
      <c r="A65" s="4">
        <v>5.9</v>
      </c>
      <c r="B65" s="2">
        <v>9.3672430867111099E-10</v>
      </c>
      <c r="C65" s="2">
        <v>8.51762113457734E-8</v>
      </c>
      <c r="D65" s="2">
        <v>1.5233606179598601E-5</v>
      </c>
      <c r="E65" s="2">
        <v>8.4105596878381202E-4</v>
      </c>
      <c r="F65" s="2">
        <v>1.40914672392322E-2</v>
      </c>
      <c r="G65" s="2">
        <v>0.19529306447827099</v>
      </c>
      <c r="H65" s="2">
        <v>0.80471694081461997</v>
      </c>
      <c r="I65" s="2">
        <v>0.98590941728830905</v>
      </c>
      <c r="J65" s="2">
        <v>0.99915899753626702</v>
      </c>
      <c r="K65" s="2">
        <v>0.999950430393031</v>
      </c>
      <c r="Q65" s="4">
        <v>0.7</v>
      </c>
      <c r="R65" s="2">
        <f>Y13-AM13</f>
        <v>-0.17591409301873639</v>
      </c>
      <c r="S65" s="2">
        <f t="shared" si="16"/>
        <v>-0.29585958783124156</v>
      </c>
    </row>
    <row r="66" spans="1:19" x14ac:dyDescent="0.25">
      <c r="A66" s="4">
        <v>6</v>
      </c>
      <c r="B66" s="2">
        <v>7.9300006125639099E-10</v>
      </c>
      <c r="C66" s="2">
        <v>6.4745327898111598E-8</v>
      </c>
      <c r="D66" s="2">
        <v>1.2622935856762699E-5</v>
      </c>
      <c r="E66" s="2">
        <v>7.4602160709486595E-4</v>
      </c>
      <c r="F66" s="2">
        <v>1.31253797818159E-2</v>
      </c>
      <c r="G66" s="2">
        <v>0.191548405017643</v>
      </c>
      <c r="H66" s="2">
        <v>0.80846003449065695</v>
      </c>
      <c r="I66" s="2">
        <v>0.98687532617240203</v>
      </c>
      <c r="J66" s="2">
        <v>0.99925401902325495</v>
      </c>
      <c r="K66" s="2">
        <v>0.99995809521953005</v>
      </c>
      <c r="Q66" s="4">
        <v>0.8</v>
      </c>
      <c r="R66" s="2">
        <f>Y14-AM14</f>
        <v>-0.18778340995085863</v>
      </c>
      <c r="S66" s="2">
        <f t="shared" si="16"/>
        <v>-0.28649798408607463</v>
      </c>
    </row>
    <row r="67" spans="1:19" x14ac:dyDescent="0.25">
      <c r="A67" s="4">
        <v>6.1</v>
      </c>
      <c r="B67" s="2">
        <v>6.9312686697037002E-10</v>
      </c>
      <c r="C67" s="2">
        <v>4.92420411889998E-8</v>
      </c>
      <c r="D67" s="2">
        <v>1.04596770696968E-5</v>
      </c>
      <c r="E67" s="2">
        <v>6.6171840146551702E-4</v>
      </c>
      <c r="F67" s="2">
        <v>1.2224706923056E-2</v>
      </c>
      <c r="G67" s="2">
        <v>0.18785886287296399</v>
      </c>
      <c r="H67" s="2">
        <v>0.81214825348618502</v>
      </c>
      <c r="I67" s="2">
        <v>0.98777585634476395</v>
      </c>
      <c r="J67" s="2">
        <v>0.99933831244669502</v>
      </c>
      <c r="K67" s="2">
        <v>0.999964574943915</v>
      </c>
      <c r="Q67" s="4">
        <v>0.9</v>
      </c>
      <c r="R67" s="2">
        <f>Y15-AM15</f>
        <v>-0.19749173626297267</v>
      </c>
      <c r="S67" s="2">
        <f t="shared" si="16"/>
        <v>-0.27871273807173758</v>
      </c>
    </row>
    <row r="68" spans="1:19" x14ac:dyDescent="0.25">
      <c r="A68" s="4">
        <v>6.2</v>
      </c>
      <c r="B68" s="2">
        <v>6.2372557075843104E-10</v>
      </c>
      <c r="C68" s="2">
        <v>3.74779010587847E-8</v>
      </c>
      <c r="D68" s="2">
        <v>8.6671555216028203E-6</v>
      </c>
      <c r="E68" s="2">
        <v>5.8693612785099198E-4</v>
      </c>
      <c r="F68" s="2">
        <v>1.1385127788504999E-2</v>
      </c>
      <c r="G68" s="2">
        <v>0.18422425827428299</v>
      </c>
      <c r="H68" s="2">
        <v>0.81578174042206497</v>
      </c>
      <c r="I68" s="2">
        <v>0.98861532150952502</v>
      </c>
      <c r="J68" s="2">
        <v>0.99941308728941103</v>
      </c>
      <c r="K68" s="2">
        <v>0.99997005277346296</v>
      </c>
      <c r="Q68" s="4">
        <v>1</v>
      </c>
      <c r="R68" s="2">
        <f>Y16-AM16</f>
        <v>-0.20538998571444544</v>
      </c>
      <c r="S68" s="2">
        <f t="shared" si="16"/>
        <v>-0.27225320614666337</v>
      </c>
    </row>
    <row r="69" spans="1:19" x14ac:dyDescent="0.25">
      <c r="A69" s="4">
        <v>6.3</v>
      </c>
      <c r="B69" s="2">
        <v>5.7549904266591098E-10</v>
      </c>
      <c r="C69" s="2">
        <v>2.8551088803062299E-8</v>
      </c>
      <c r="D69" s="2">
        <v>7.1818361879089304E-6</v>
      </c>
      <c r="E69" s="2">
        <v>5.2060072372894404E-4</v>
      </c>
      <c r="F69" s="2">
        <v>1.06025925582868E-2</v>
      </c>
      <c r="G69" s="2">
        <v>0.18064438748995701</v>
      </c>
      <c r="H69" s="2">
        <v>0.81936066748554703</v>
      </c>
      <c r="I69" s="2">
        <v>0.98939776573849203</v>
      </c>
      <c r="J69" s="2">
        <v>0.99947941704990495</v>
      </c>
      <c r="K69" s="2">
        <v>0.99997468360075903</v>
      </c>
      <c r="Q69" s="4">
        <v>1.1000000000000001</v>
      </c>
      <c r="R69" s="2">
        <f>Y17-AM17</f>
        <v>-0.21179780917377133</v>
      </c>
      <c r="S69" s="2">
        <f t="shared" si="16"/>
        <v>-0.26689686063186446</v>
      </c>
    </row>
    <row r="70" spans="1:19" x14ac:dyDescent="0.25">
      <c r="A70" s="4">
        <v>6.4</v>
      </c>
      <c r="B70" s="2">
        <v>5.4198674433018996E-10</v>
      </c>
      <c r="C70" s="2">
        <v>2.1777287765532201E-8</v>
      </c>
      <c r="D70" s="2">
        <v>5.9510718931072404E-6</v>
      </c>
      <c r="E70" s="2">
        <v>4.61759037255429E-4</v>
      </c>
      <c r="F70" s="2">
        <v>9.8733073773173106E-3</v>
      </c>
      <c r="G70" s="2">
        <v>0.177119023428679</v>
      </c>
      <c r="H70" s="2">
        <v>0.82288523499808297</v>
      </c>
      <c r="I70" s="2">
        <v>0.99012697828141005</v>
      </c>
      <c r="J70" s="2">
        <v>0.999538254450965</v>
      </c>
      <c r="K70" s="2">
        <v>0.99997859837763403</v>
      </c>
      <c r="Q70" s="4">
        <v>1.2</v>
      </c>
      <c r="R70" s="2">
        <f>Y18-AM18</f>
        <v>-0.21699133885344413</v>
      </c>
      <c r="S70" s="2">
        <f t="shared" si="16"/>
        <v>-0.26245333778876745</v>
      </c>
    </row>
    <row r="71" spans="1:19" x14ac:dyDescent="0.25">
      <c r="A71" s="4">
        <v>6.5</v>
      </c>
      <c r="B71" s="2">
        <v>5.1869927725796201E-10</v>
      </c>
      <c r="C71" s="2">
        <v>1.66372262771099E-8</v>
      </c>
      <c r="D71" s="2">
        <v>4.9312376167387097E-6</v>
      </c>
      <c r="E71" s="2">
        <v>4.0956527006176801E-4</v>
      </c>
      <c r="F71" s="2">
        <v>9.1937198437444696E-3</v>
      </c>
      <c r="G71" s="2">
        <v>0.17364791629649501</v>
      </c>
      <c r="H71" s="2">
        <v>0.82635567004820398</v>
      </c>
      <c r="I71" s="2">
        <v>0.99080650785230495</v>
      </c>
      <c r="J71" s="2">
        <v>0.99959044496466898</v>
      </c>
      <c r="K71" s="2">
        <v>0.99998190781400298</v>
      </c>
      <c r="Q71" s="4">
        <v>1.3</v>
      </c>
      <c r="R71" s="2">
        <f>Y19-AM19</f>
        <v>-0.22120155180203405</v>
      </c>
      <c r="S71" s="2">
        <f t="shared" si="16"/>
        <v>-0.2587632986538333</v>
      </c>
    </row>
    <row r="72" spans="1:19" x14ac:dyDescent="0.25">
      <c r="A72" s="4">
        <v>6.6</v>
      </c>
      <c r="B72" s="2">
        <v>5.0251698131789799E-10</v>
      </c>
      <c r="C72" s="2">
        <v>1.2736872034265E-8</v>
      </c>
      <c r="D72" s="2">
        <v>4.0861844584320598E-6</v>
      </c>
      <c r="E72" s="2">
        <v>3.63268928692643E-4</v>
      </c>
      <c r="F72" s="2">
        <v>8.5605050924637792E-3</v>
      </c>
      <c r="G72" s="2">
        <v>0.17023079429912299</v>
      </c>
      <c r="H72" s="2">
        <v>0.82977222518240201</v>
      </c>
      <c r="I72" s="2">
        <v>0.99143967636463504</v>
      </c>
      <c r="J72" s="2">
        <v>0.99963673883640103</v>
      </c>
      <c r="K72" s="2">
        <v>0.99998470550565399</v>
      </c>
      <c r="Q72" s="4">
        <v>1.4</v>
      </c>
      <c r="R72" s="2">
        <f>Y20-AM20</f>
        <v>-0.22461790154027295</v>
      </c>
      <c r="S72" s="2">
        <f>AM49-Y49</f>
        <v>-0.25569498529777412</v>
      </c>
    </row>
    <row r="73" spans="1:19" x14ac:dyDescent="0.25">
      <c r="A73" s="4">
        <v>6.7</v>
      </c>
      <c r="B73" s="2">
        <v>4.91272022001881E-10</v>
      </c>
      <c r="C73" s="2">
        <v>9.7772267220517004E-9</v>
      </c>
      <c r="D73" s="2">
        <v>3.38595850422603E-6</v>
      </c>
      <c r="E73" s="2">
        <v>3.2220411923748797E-4</v>
      </c>
      <c r="F73" s="2">
        <v>7.9705524828834803E-3</v>
      </c>
      <c r="G73" s="2">
        <v>0.16686736438100699</v>
      </c>
      <c r="H73" s="2">
        <v>0.83313517714791396</v>
      </c>
      <c r="I73" s="2">
        <v>0.99202959209767805</v>
      </c>
      <c r="J73" s="2">
        <v>0.999677801771513</v>
      </c>
      <c r="K73" s="2">
        <v>0.99998707057903902</v>
      </c>
      <c r="Q73" s="4">
        <v>1.5</v>
      </c>
      <c r="R73" s="2">
        <f>Y21-AM21</f>
        <v>-0.22739398405567091</v>
      </c>
      <c r="S73" s="2">
        <f>AM50-Y50</f>
        <v>-0.25314010692610101</v>
      </c>
    </row>
    <row r="74" spans="1:19" x14ac:dyDescent="0.25">
      <c r="A74" s="4">
        <v>6.8</v>
      </c>
      <c r="B74" s="2">
        <v>4.8345798401418695E-10</v>
      </c>
      <c r="C74" s="2">
        <v>7.5314055421453402E-9</v>
      </c>
      <c r="D74" s="2">
        <v>2.8057392132077898E-6</v>
      </c>
      <c r="E74" s="2">
        <v>2.8578003733359701E-4</v>
      </c>
      <c r="F74" s="2">
        <v>7.42095289362676E-3</v>
      </c>
      <c r="G74" s="2">
        <v>0.16355731299363299</v>
      </c>
      <c r="H74" s="2">
        <v>0.836444825682369</v>
      </c>
      <c r="I74" s="2">
        <v>0.99257916228458898</v>
      </c>
      <c r="J74" s="2">
        <v>0.99971422443108404</v>
      </c>
      <c r="K74" s="2">
        <v>0.99998906992754999</v>
      </c>
      <c r="Q74" s="4">
        <v>1.6</v>
      </c>
      <c r="R74" s="2">
        <f>Y22-AM22</f>
        <v>-0.22965351865427142</v>
      </c>
      <c r="S74" s="2">
        <f t="shared" ref="S74:S78" si="17">AM51-Y51</f>
        <v>-0.25100986230041844</v>
      </c>
    </row>
    <row r="75" spans="1:19" x14ac:dyDescent="0.25">
      <c r="A75" s="4">
        <v>6.9</v>
      </c>
      <c r="B75" s="2">
        <v>4.7802806886658496E-10</v>
      </c>
      <c r="C75" s="2">
        <v>5.8272446993075399E-9</v>
      </c>
      <c r="D75" s="2">
        <v>2.3249597155530399E-6</v>
      </c>
      <c r="E75" s="2">
        <v>2.5347252157923502E-4</v>
      </c>
      <c r="F75" s="2">
        <v>6.9089866214296801E-3</v>
      </c>
      <c r="G75" s="2">
        <v>0.160300306886552</v>
      </c>
      <c r="H75" s="2">
        <v>0.83970149234590596</v>
      </c>
      <c r="I75" s="2">
        <v>0.99309110511934495</v>
      </c>
      <c r="J75" s="2">
        <v>0.99974653086765697</v>
      </c>
      <c r="K75" s="2">
        <v>0.999990760102351</v>
      </c>
      <c r="Q75" s="4">
        <v>1.7</v>
      </c>
      <c r="R75" s="2">
        <f>Y23-AM23</f>
        <v>-0.23149584721248306</v>
      </c>
      <c r="S75" s="2">
        <f t="shared" si="17"/>
        <v>-0.24923142940586818</v>
      </c>
    </row>
    <row r="76" spans="1:19" x14ac:dyDescent="0.25">
      <c r="A76" s="4">
        <v>7</v>
      </c>
      <c r="B76" s="2">
        <v>4.7425486321864199E-10</v>
      </c>
      <c r="C76" s="2">
        <v>4.5341036272930702E-9</v>
      </c>
      <c r="D76" s="2">
        <v>1.9265778547129801E-6</v>
      </c>
      <c r="E76" s="2">
        <v>2.2481655264059501E-4</v>
      </c>
      <c r="F76" s="2">
        <v>6.4321118770103904E-3</v>
      </c>
      <c r="G76" s="2">
        <v>0.157095993915325</v>
      </c>
      <c r="H76" s="2">
        <v>0.84290551939220104</v>
      </c>
      <c r="I76" s="2">
        <v>0.9935679611853</v>
      </c>
      <c r="J76" s="2">
        <v>0.99977518601788096</v>
      </c>
      <c r="K76" s="2">
        <v>0.99999218891105002</v>
      </c>
      <c r="Q76" s="4">
        <v>1.8</v>
      </c>
      <c r="R76" s="2">
        <f>Y24-AM24</f>
        <v>-0.23300066097965288</v>
      </c>
      <c r="S76" s="2">
        <f t="shared" si="17"/>
        <v>-0.24774500843353398</v>
      </c>
    </row>
    <row r="77" spans="1:19" x14ac:dyDescent="0.25">
      <c r="A77" s="4">
        <v>7.1</v>
      </c>
      <c r="B77" s="2">
        <v>4.7163289255505897E-10</v>
      </c>
      <c r="C77" s="2">
        <v>3.55285027322659E-9</v>
      </c>
      <c r="D77" s="2">
        <v>1.5964721452988101E-6</v>
      </c>
      <c r="E77" s="2">
        <v>1.99399593113153E-4</v>
      </c>
      <c r="F77" s="2">
        <v>5.9879538670192601E-3</v>
      </c>
      <c r="G77" s="2">
        <v>0.153944003861338</v>
      </c>
      <c r="H77" s="2">
        <v>0.84605726867537701</v>
      </c>
      <c r="I77" s="2">
        <v>0.994012104312614</v>
      </c>
      <c r="J77" s="2">
        <v>0.99980060235636803</v>
      </c>
      <c r="K77" s="2">
        <v>0.99999339676934396</v>
      </c>
      <c r="Q77" s="4">
        <v>1.9</v>
      </c>
      <c r="R77" s="2">
        <f>Y25-AM25</f>
        <v>-0.23423191558986467</v>
      </c>
      <c r="S77" s="2">
        <f t="shared" si="17"/>
        <v>-0.246501391965678</v>
      </c>
    </row>
    <row r="78" spans="1:19" x14ac:dyDescent="0.25">
      <c r="A78" s="4">
        <v>7.2</v>
      </c>
      <c r="B78" s="2">
        <v>4.6981090624223901E-10</v>
      </c>
      <c r="C78" s="2">
        <v>2.80826175217584E-9</v>
      </c>
      <c r="D78" s="2">
        <v>1.32294124284027E-6</v>
      </c>
      <c r="E78" s="2">
        <v>1.76855674642435E-4</v>
      </c>
      <c r="F78" s="2">
        <v>5.5742944482385101E-3</v>
      </c>
      <c r="G78" s="2">
        <v>0.150843949259056</v>
      </c>
      <c r="H78" s="2">
        <v>0.84915712059026904</v>
      </c>
      <c r="I78" s="2">
        <v>0.99442575187546101</v>
      </c>
      <c r="J78" s="2">
        <v>0.99982314580379295</v>
      </c>
      <c r="K78" s="2">
        <v>0.99999441784378196</v>
      </c>
      <c r="Q78" s="4">
        <v>2</v>
      </c>
      <c r="R78" s="2">
        <f>Y26-AM26</f>
        <v>-0.23524100542826876</v>
      </c>
      <c r="S78" s="2">
        <f t="shared" si="17"/>
        <v>-0.24545999374602889</v>
      </c>
    </row>
    <row r="79" spans="1:19" x14ac:dyDescent="0.25">
      <c r="A79" s="4">
        <v>7.3</v>
      </c>
      <c r="B79" s="2">
        <v>4.6854482279600497E-10</v>
      </c>
      <c r="C79" s="2">
        <v>2.2432578322221E-9</v>
      </c>
      <c r="D79" s="2">
        <v>1.09628918848147E-6</v>
      </c>
      <c r="E79" s="2">
        <v>1.56860149048104E-4</v>
      </c>
      <c r="F79" s="2">
        <v>5.1890623378793898E-3</v>
      </c>
      <c r="G79" s="2">
        <v>0.147795426226798</v>
      </c>
      <c r="H79" s="2">
        <v>0.85220547304403105</v>
      </c>
      <c r="I79" s="2">
        <v>0.99481097454279399</v>
      </c>
      <c r="J79" s="2">
        <v>0.999843140972144</v>
      </c>
      <c r="K79" s="2">
        <v>0.99999528101789803</v>
      </c>
      <c r="Q79" s="1"/>
      <c r="R79" s="10"/>
    </row>
    <row r="80" spans="1:19" x14ac:dyDescent="0.25">
      <c r="A80" s="4">
        <v>7.4</v>
      </c>
      <c r="B80" s="2">
        <v>4.6766503183205801E-10</v>
      </c>
      <c r="C80" s="2">
        <v>1.8145252060197999E-9</v>
      </c>
      <c r="D80" s="2">
        <v>9.0848173052421595E-7</v>
      </c>
      <c r="E80" s="2">
        <v>1.39125029346806E-4</v>
      </c>
      <c r="F80" s="2">
        <v>4.8303238620464404E-3</v>
      </c>
      <c r="G80" s="2">
        <v>0.14479801529763101</v>
      </c>
      <c r="H80" s="2">
        <v>0.85520274045732902</v>
      </c>
      <c r="I80" s="2">
        <v>0.99516970549871397</v>
      </c>
      <c r="J80" s="2">
        <v>0.99986087582093297</v>
      </c>
      <c r="K80" s="2">
        <v>0.99999601070901301</v>
      </c>
      <c r="Q80" s="1"/>
      <c r="R80" s="10"/>
    </row>
    <row r="81" spans="1:18" x14ac:dyDescent="0.25">
      <c r="A81" s="4">
        <v>7.5</v>
      </c>
      <c r="B81" s="2">
        <v>4.67053672399976E-10</v>
      </c>
      <c r="C81" s="2">
        <v>1.4891971165241899E-9</v>
      </c>
      <c r="D81" s="2">
        <v>7.5286154305196702E-7</v>
      </c>
      <c r="E81" s="2">
        <v>1.2339485474130701E-4</v>
      </c>
      <c r="F81" s="2">
        <v>4.4962742231201497E-3</v>
      </c>
      <c r="G81" s="2">
        <v>0.14185128224737201</v>
      </c>
      <c r="H81" s="2">
        <v>0.85814935279378401</v>
      </c>
      <c r="I81" s="2">
        <v>0.99550374915012696</v>
      </c>
      <c r="J81" s="2">
        <v>0.99987660579010995</v>
      </c>
      <c r="K81" s="2">
        <v>0.99999662755877805</v>
      </c>
      <c r="Q81" s="1"/>
      <c r="R81" s="10"/>
    </row>
    <row r="82" spans="1:18" x14ac:dyDescent="0.25">
      <c r="A82" s="4">
        <v>7.6</v>
      </c>
      <c r="B82" s="2">
        <v>4.6662884384942495E-10</v>
      </c>
      <c r="C82" s="2">
        <v>1.24233380406797E-9</v>
      </c>
      <c r="D82" s="2">
        <v>6.2391224879286904E-7</v>
      </c>
      <c r="E82" s="2">
        <v>1.09443020935288E-4</v>
      </c>
      <c r="F82" s="2">
        <v>4.18522926588695E-3</v>
      </c>
      <c r="G82" s="2">
        <v>0.13895477891705599</v>
      </c>
      <c r="H82" s="2">
        <v>0.861045754616521</v>
      </c>
      <c r="I82" s="2">
        <v>0.99581478934066203</v>
      </c>
      <c r="J82" s="2">
        <v>0.99989055746815003</v>
      </c>
      <c r="K82" s="2">
        <v>0.99999714901696202</v>
      </c>
      <c r="Q82" s="1"/>
      <c r="R82" s="10"/>
    </row>
    <row r="83" spans="1:18" x14ac:dyDescent="0.25">
      <c r="A83" s="4">
        <v>7.7</v>
      </c>
      <c r="B83" s="2">
        <v>4.6633363407087997E-10</v>
      </c>
      <c r="C83" s="2">
        <v>1.05501063035587E-9</v>
      </c>
      <c r="D83" s="2">
        <v>5.1706288278485705E-7</v>
      </c>
      <c r="E83" s="2">
        <v>9.7068523635073601E-5</v>
      </c>
      <c r="F83" s="2">
        <v>3.8956177216569999E-3</v>
      </c>
      <c r="G83" s="2">
        <v>0.13610804402759399</v>
      </c>
      <c r="H83" s="2">
        <v>0.86389240417091795</v>
      </c>
      <c r="I83" s="2">
        <v>0.99610439709058796</v>
      </c>
      <c r="J83" s="2">
        <v>0.99990293184734802</v>
      </c>
      <c r="K83" s="2">
        <v>0.99999758983499298</v>
      </c>
      <c r="Q83" s="1"/>
      <c r="R83" s="10"/>
    </row>
    <row r="84" spans="1:18" x14ac:dyDescent="0.25">
      <c r="A84" s="4">
        <v>7.8</v>
      </c>
      <c r="B84" s="2">
        <v>4.6612849529899202E-10</v>
      </c>
      <c r="C84" s="2">
        <v>9.1286731778455299E-10</v>
      </c>
      <c r="D84" s="2">
        <v>4.2852586651868197E-7</v>
      </c>
      <c r="E84" s="2">
        <v>8.6093068893532498E-5</v>
      </c>
      <c r="F84" s="2">
        <v>3.6259739093017799E-3</v>
      </c>
      <c r="G84" s="2">
        <v>0.13331060398459099</v>
      </c>
      <c r="H84" s="2">
        <v>0.86668977249280998</v>
      </c>
      <c r="I84" s="2">
        <v>0.99637403788302004</v>
      </c>
      <c r="J84" s="2">
        <v>0.99991390721254603</v>
      </c>
      <c r="K84" s="2">
        <v>0.99999796248318595</v>
      </c>
      <c r="Q84" s="1"/>
      <c r="R84" s="10"/>
    </row>
    <row r="85" spans="1:18" x14ac:dyDescent="0.25">
      <c r="A85" s="4">
        <v>7.9</v>
      </c>
      <c r="B85" s="2">
        <v>4.6598594611473702E-10</v>
      </c>
      <c r="C85" s="2">
        <v>8.0500709051889004E-10</v>
      </c>
      <c r="D85" s="2">
        <v>3.55162749808125E-7</v>
      </c>
      <c r="E85" s="2">
        <v>7.6358509111793999E-5</v>
      </c>
      <c r="F85" s="2">
        <v>3.3749308720717099E-3</v>
      </c>
      <c r="G85" s="2">
        <v>0.130561973671563</v>
      </c>
      <c r="H85" s="2">
        <v>0.86943834254160102</v>
      </c>
      <c r="I85" s="2">
        <v>0.99662507851691096</v>
      </c>
      <c r="J85" s="2">
        <v>0.99992364170443704</v>
      </c>
      <c r="K85" s="2">
        <v>0.99999827750347503</v>
      </c>
      <c r="Q85" s="1"/>
      <c r="R85" s="10"/>
    </row>
    <row r="86" spans="1:18" x14ac:dyDescent="0.25">
      <c r="A86" s="4">
        <v>8</v>
      </c>
      <c r="B86" s="2">
        <v>4.6588688990685402E-10</v>
      </c>
      <c r="C86" s="2">
        <v>7.2316132653633095E-10</v>
      </c>
      <c r="D86" s="2">
        <v>2.9437296172944402E-7</v>
      </c>
      <c r="E86" s="2">
        <v>6.77245681081992E-5</v>
      </c>
      <c r="F86" s="2">
        <v>3.1412139291723002E-3</v>
      </c>
      <c r="G86" s="2">
        <v>0.12786165723005799</v>
      </c>
      <c r="H86" s="2">
        <v>0.87213860835774304</v>
      </c>
      <c r="I86" s="2">
        <v>0.99685879354733398</v>
      </c>
      <c r="J86" s="2">
        <v>0.99993227559396602</v>
      </c>
      <c r="K86" s="2">
        <v>0.99999854380759801</v>
      </c>
      <c r="Q86" s="1"/>
      <c r="R86" s="10"/>
    </row>
    <row r="87" spans="1:18" x14ac:dyDescent="0.25">
      <c r="A87" s="4">
        <v>8.1</v>
      </c>
      <c r="B87" s="2">
        <v>4.6581805659917501E-10</v>
      </c>
      <c r="C87" s="2">
        <v>6.6105568348741205E-10</v>
      </c>
      <c r="D87" s="2">
        <v>2.4400162744356202E-7</v>
      </c>
      <c r="E87" s="2">
        <v>6.0066822751743502E-5</v>
      </c>
      <c r="F87" s="2">
        <v>2.92363462135791E-3</v>
      </c>
      <c r="G87" s="2">
        <v>0.125209148825317</v>
      </c>
      <c r="H87" s="2">
        <v>0.87479107424427005</v>
      </c>
      <c r="I87" s="2">
        <v>0.997076371333388</v>
      </c>
      <c r="J87" s="2">
        <v>0.99993993330029496</v>
      </c>
      <c r="K87" s="2">
        <v>0.99999876892918205</v>
      </c>
      <c r="Q87" s="1"/>
      <c r="R87" s="10"/>
    </row>
    <row r="88" spans="1:18" x14ac:dyDescent="0.25">
      <c r="A88" s="4">
        <v>8.1999999999999993</v>
      </c>
      <c r="B88" s="2">
        <v>4.6577022492709799E-10</v>
      </c>
      <c r="C88" s="2">
        <v>6.1392910593299098E-10</v>
      </c>
      <c r="D88" s="2">
        <v>2.0226318345269699E-7</v>
      </c>
      <c r="E88" s="2">
        <v>5.3274912293345697E-5</v>
      </c>
      <c r="F88" s="2">
        <v>2.72108503020764E-3</v>
      </c>
      <c r="G88" s="2">
        <v>0.122603933396393</v>
      </c>
      <c r="H88" s="2">
        <v>0.87739625397200904</v>
      </c>
      <c r="I88" s="2">
        <v>0.99727891971373805</v>
      </c>
      <c r="J88" s="2">
        <v>0.99994672518116001</v>
      </c>
      <c r="K88" s="2">
        <v>0.99999895923684501</v>
      </c>
      <c r="Q88" s="1"/>
      <c r="R88" s="10"/>
    </row>
    <row r="89" spans="1:18" x14ac:dyDescent="0.25">
      <c r="A89" s="4">
        <v>8.3000000000000007</v>
      </c>
      <c r="B89" s="2">
        <v>4.65736987111719E-10</v>
      </c>
      <c r="C89" s="2">
        <v>5.7816884123950097E-10</v>
      </c>
      <c r="D89" s="2">
        <v>1.67678083788795E-7</v>
      </c>
      <c r="E89" s="2">
        <v>4.7250949761569802E-5</v>
      </c>
      <c r="F89" s="2">
        <v>2.5325324512550599E-3</v>
      </c>
      <c r="G89" s="2">
        <v>0.120045487389688</v>
      </c>
      <c r="H89" s="2">
        <v>0.879954670008254</v>
      </c>
      <c r="I89" s="2">
        <v>0.99746747132933899</v>
      </c>
      <c r="J89" s="2">
        <v>0.99995274912124898</v>
      </c>
      <c r="K89" s="2">
        <v>0.99999912011435299</v>
      </c>
      <c r="Q89" s="1"/>
      <c r="R89" s="10"/>
    </row>
    <row r="90" spans="1:18" x14ac:dyDescent="0.25">
      <c r="A90" s="4">
        <v>8.4</v>
      </c>
      <c r="B90" s="2">
        <v>4.6571389044189198E-10</v>
      </c>
      <c r="C90" s="2">
        <v>5.5103348453834101E-10</v>
      </c>
      <c r="D90" s="2">
        <v>1.39020353623668E-7</v>
      </c>
      <c r="E90" s="2">
        <v>4.1908112663663202E-5</v>
      </c>
      <c r="F90" s="2">
        <v>2.35701440173057E-3</v>
      </c>
      <c r="G90" s="2">
        <v>0.117533279475155</v>
      </c>
      <c r="H90" s="2">
        <v>0.882466852768646</v>
      </c>
      <c r="I90" s="2">
        <v>0.99764298861239997</v>
      </c>
      <c r="J90" s="2">
        <v>0.99995809194132701</v>
      </c>
      <c r="K90" s="2">
        <v>0.99999925611291196</v>
      </c>
      <c r="Q90" s="1"/>
      <c r="R90" s="10"/>
    </row>
    <row r="91" spans="1:18" x14ac:dyDescent="0.25">
      <c r="A91" s="4">
        <v>8.5</v>
      </c>
      <c r="B91" s="2">
        <v>4.6569784076664097E-10</v>
      </c>
      <c r="C91" s="2">
        <v>5.3044282140652998E-10</v>
      </c>
      <c r="D91" s="2">
        <v>1.15274131271628E-7</v>
      </c>
      <c r="E91" s="2">
        <v>3.7169392787159402E-5</v>
      </c>
      <c r="F91" s="2">
        <v>2.1936339443202799E-3</v>
      </c>
      <c r="G91" s="2">
        <v>0.11506677124440599</v>
      </c>
      <c r="H91" s="2">
        <v>0.88493333989207201</v>
      </c>
      <c r="I91" s="2">
        <v>0.99780636845998705</v>
      </c>
      <c r="J91" s="2">
        <v>0.99996283064829194</v>
      </c>
      <c r="K91" s="2">
        <v>0.99999937107991799</v>
      </c>
      <c r="Q91" s="1"/>
      <c r="R91" s="10"/>
    </row>
    <row r="92" spans="1:18" x14ac:dyDescent="0.25">
      <c r="A92" s="4">
        <v>8.6</v>
      </c>
      <c r="B92" s="2">
        <v>4.6568668798697203E-10</v>
      </c>
      <c r="C92" s="2">
        <v>5.14818357607587E-10</v>
      </c>
      <c r="D92" s="2">
        <v>9.55976581485896E-8</v>
      </c>
      <c r="E92" s="2">
        <v>3.2966487166935199E-5</v>
      </c>
      <c r="F92" s="2">
        <v>2.0415553090338502E-3</v>
      </c>
      <c r="G92" s="2">
        <v>0.11264541789020199</v>
      </c>
      <c r="H92" s="2">
        <v>0.88735467553840697</v>
      </c>
      <c r="I92" s="2">
        <v>0.99795844661005795</v>
      </c>
      <c r="J92" s="2">
        <v>0.99996703354411598</v>
      </c>
      <c r="K92" s="2">
        <v>0.99999946826779096</v>
      </c>
      <c r="Q92" s="1"/>
      <c r="R92" s="10"/>
    </row>
    <row r="93" spans="1:18" x14ac:dyDescent="0.25">
      <c r="A93" s="4">
        <v>8.6999999999999993</v>
      </c>
      <c r="B93" s="2">
        <v>4.6567893801758403E-10</v>
      </c>
      <c r="C93" s="2">
        <v>5.0296231088590603E-10</v>
      </c>
      <c r="D93" s="2">
        <v>7.9293440247582994E-8</v>
      </c>
      <c r="E93" s="2">
        <v>2.9238814298786099E-5</v>
      </c>
      <c r="F93" s="2">
        <v>1.8999997959914001E-3</v>
      </c>
      <c r="G93" s="2">
        <v>0.110268668866824</v>
      </c>
      <c r="H93" s="2">
        <v>0.88973140970889497</v>
      </c>
      <c r="I93" s="2">
        <v>0.99810000173700297</v>
      </c>
      <c r="J93" s="2">
        <v>0.99997076120954898</v>
      </c>
      <c r="K93" s="2">
        <v>0.99999955042598498</v>
      </c>
      <c r="Q93" s="1"/>
      <c r="R93" s="10"/>
    </row>
    <row r="94" spans="1:18" x14ac:dyDescent="0.25">
      <c r="A94" s="4">
        <v>8.8000000000000007</v>
      </c>
      <c r="B94" s="2">
        <v>4.6567355263149603E-10</v>
      </c>
      <c r="C94" s="2">
        <v>4.9396578830226697E-10</v>
      </c>
      <c r="D94" s="2">
        <v>6.5783523445042498E-8</v>
      </c>
      <c r="E94" s="2">
        <v>2.59326414713326E-5</v>
      </c>
      <c r="F94" s="2">
        <v>1.7682419426750401E-3</v>
      </c>
      <c r="G94" s="2">
        <v>0.10793596853097299</v>
      </c>
      <c r="H94" s="2">
        <v>0.89206409758902006</v>
      </c>
      <c r="I94" s="2">
        <v>0.99823175928305796</v>
      </c>
      <c r="J94" s="2">
        <v>0.999974067376732</v>
      </c>
      <c r="K94" s="2">
        <v>0.99999961987876895</v>
      </c>
      <c r="Q94" s="1"/>
      <c r="R94" s="10"/>
    </row>
    <row r="95" spans="1:18" x14ac:dyDescent="0.25">
      <c r="A95" s="4">
        <v>8.9</v>
      </c>
      <c r="B95" s="2">
        <v>4.6566981037376403E-10</v>
      </c>
      <c r="C95" s="2">
        <v>4.8713910996021799E-10</v>
      </c>
      <c r="D95" s="2">
        <v>5.4589006217815801E-8</v>
      </c>
      <c r="E95" s="2">
        <v>2.30003106782962E-5</v>
      </c>
      <c r="F95" s="2">
        <v>1.6456059399339799E-3</v>
      </c>
      <c r="G95" s="2">
        <v>0.105646756762921</v>
      </c>
      <c r="H95" s="2">
        <v>0.894353298913659</v>
      </c>
      <c r="I95" s="2">
        <v>0.99835439504123702</v>
      </c>
      <c r="J95" s="2">
        <v>0.99997699970323695</v>
      </c>
      <c r="K95" s="2">
        <v>0.99999967859097305</v>
      </c>
      <c r="Q95" s="1"/>
      <c r="R95" s="10"/>
    </row>
    <row r="96" spans="1:18" x14ac:dyDescent="0.25">
      <c r="A96" s="4">
        <v>9</v>
      </c>
      <c r="B96" s="2">
        <v>4.6566720991159899E-10</v>
      </c>
      <c r="C96" s="2">
        <v>4.8195893771669798E-10</v>
      </c>
      <c r="D96" s="2">
        <v>4.53130635519548E-8</v>
      </c>
      <c r="E96" s="2">
        <v>2.03995519851615E-5</v>
      </c>
      <c r="F96" s="2">
        <v>1.5314622817742801E-3</v>
      </c>
      <c r="G96" s="2">
        <v>0.103400469567703</v>
      </c>
      <c r="H96" s="2">
        <v>0.89659957735434903</v>
      </c>
      <c r="I96" s="2">
        <v>0.99846853850469897</v>
      </c>
      <c r="J96" s="2">
        <v>0.99997960045867196</v>
      </c>
      <c r="K96" s="2">
        <v>0.99999972822358096</v>
      </c>
      <c r="Q96" s="1"/>
      <c r="R96" s="10"/>
    </row>
    <row r="97" spans="1:42" x14ac:dyDescent="0.25">
      <c r="A97" s="4">
        <v>9.1</v>
      </c>
      <c r="B97" s="2">
        <v>4.6566540287320802E-10</v>
      </c>
      <c r="C97" s="2">
        <v>4.7802815574287395E-10</v>
      </c>
      <c r="D97" s="2">
        <v>3.7626880284451403E-8</v>
      </c>
      <c r="E97" s="2">
        <v>1.8092874477800599E-5</v>
      </c>
      <c r="F97" s="2">
        <v>1.4252246347022E-3</v>
      </c>
      <c r="G97" s="2">
        <v>0.101196539656216</v>
      </c>
      <c r="H97" s="2">
        <v>0.898803499928442</v>
      </c>
      <c r="I97" s="2">
        <v>0.99857477599672795</v>
      </c>
      <c r="J97" s="2">
        <v>0.99998190713370105</v>
      </c>
      <c r="K97" s="2">
        <v>0.99999977018071096</v>
      </c>
      <c r="Q97" s="1"/>
      <c r="R97" s="10"/>
    </row>
    <row r="98" spans="1:42" x14ac:dyDescent="0.25">
      <c r="A98" s="4">
        <v>9.1999999999999993</v>
      </c>
      <c r="B98" s="2">
        <v>4.6566414717806404E-10</v>
      </c>
      <c r="C98" s="2">
        <v>4.7504542736099403E-10</v>
      </c>
      <c r="D98" s="2">
        <v>3.1257995249483201E-8</v>
      </c>
      <c r="E98" s="2">
        <v>1.6047026033394001E-5</v>
      </c>
      <c r="F98" s="2">
        <v>1.3263469131138701E-3</v>
      </c>
      <c r="G98" s="2">
        <v>9.9034397006195499E-2</v>
      </c>
      <c r="H98" s="2">
        <v>0.90096563642993399</v>
      </c>
      <c r="I98" s="2">
        <v>0.99867365359480997</v>
      </c>
      <c r="J98" s="2">
        <v>0.99998395298025899</v>
      </c>
      <c r="K98" s="2">
        <v>0.99999980564934199</v>
      </c>
      <c r="Q98" s="1"/>
      <c r="R98" s="10"/>
    </row>
    <row r="99" spans="1:42" x14ac:dyDescent="0.25">
      <c r="A99" s="4">
        <v>9.3000000000000007</v>
      </c>
      <c r="B99" s="2">
        <v>4.6566327460651704E-10</v>
      </c>
      <c r="C99" s="2">
        <v>4.7278209436936404E-10</v>
      </c>
      <c r="D99" s="2">
        <v>2.59806430566811E-8</v>
      </c>
      <c r="E99" s="2">
        <v>1.42325141417079E-5</v>
      </c>
      <c r="F99" s="2">
        <v>1.23432054793313E-3</v>
      </c>
      <c r="G99" s="2">
        <v>9.69134694030203E-2</v>
      </c>
      <c r="H99" s="2">
        <v>0.90308655888174105</v>
      </c>
      <c r="I99" s="2">
        <v>0.99876567986156395</v>
      </c>
      <c r="J99" s="2">
        <v>0.999985767490713</v>
      </c>
      <c r="K99" s="2">
        <v>0.99999983563289296</v>
      </c>
      <c r="Q99" s="1"/>
      <c r="R99" s="10"/>
    </row>
    <row r="100" spans="1:42" x14ac:dyDescent="0.25">
      <c r="A100" s="4">
        <v>9.4</v>
      </c>
      <c r="B100" s="2">
        <v>4.6566266826420401E-10</v>
      </c>
      <c r="C100" s="2">
        <v>4.71064647945371E-10</v>
      </c>
      <c r="D100" s="2">
        <v>2.1607751139517798E-8</v>
      </c>
      <c r="E100" s="2">
        <v>1.26231808813893E-5</v>
      </c>
      <c r="F100" s="2">
        <v>1.1486719363886201E-3</v>
      </c>
      <c r="G100" s="2">
        <v>9.4833182960434401E-2</v>
      </c>
      <c r="H100" s="2">
        <v>0.90516684100915901</v>
      </c>
      <c r="I100" s="2">
        <v>0.99885132839462698</v>
      </c>
      <c r="J100" s="2">
        <v>0.99998737682287697</v>
      </c>
      <c r="K100" s="2">
        <v>0.99999986097960902</v>
      </c>
      <c r="Q100" s="1"/>
      <c r="R100" s="10"/>
    </row>
    <row r="101" spans="1:42" x14ac:dyDescent="0.25">
      <c r="A101" s="4">
        <v>9.5</v>
      </c>
      <c r="B101" s="2">
        <v>4.6566224692225297E-10</v>
      </c>
      <c r="C101" s="2">
        <v>4.6976142733605098E-10</v>
      </c>
      <c r="D101" s="2">
        <v>1.79843083868709E-8</v>
      </c>
      <c r="E101" s="2">
        <v>1.11958259339276E-5</v>
      </c>
      <c r="F101" s="2">
        <v>1.06896006148899E-3</v>
      </c>
      <c r="G101" s="2">
        <v>9.2792962621270902E-2</v>
      </c>
      <c r="H101" s="2">
        <v>0.90720705773424104</v>
      </c>
      <c r="I101" s="2">
        <v>0.99893104020690704</v>
      </c>
      <c r="J101" s="2">
        <v>0.99998880417698799</v>
      </c>
      <c r="K101" s="2">
        <v>0.99999988240655602</v>
      </c>
      <c r="Q101" s="1"/>
      <c r="R101" s="10"/>
    </row>
    <row r="102" spans="1:42" x14ac:dyDescent="0.25">
      <c r="A102" s="4">
        <v>9.6</v>
      </c>
      <c r="B102" s="2">
        <v>4.6566195413543097E-10</v>
      </c>
      <c r="C102" s="2">
        <v>4.6877252664986695E-10</v>
      </c>
      <c r="D102" s="2">
        <v>1.4981870290026301E-8</v>
      </c>
      <c r="E102" s="2">
        <v>9.9298722082834007E-6</v>
      </c>
      <c r="F102" s="2">
        <v>9.9477427039861206E-4</v>
      </c>
      <c r="G102" s="2">
        <v>9.0792232638320605E-2</v>
      </c>
      <c r="H102" s="2">
        <v>0.90920778469080099</v>
      </c>
      <c r="I102" s="2">
        <v>0.99900522594799601</v>
      </c>
      <c r="J102" s="2">
        <v>0.99999007013007202</v>
      </c>
      <c r="K102" s="2">
        <v>0.99999990051991094</v>
      </c>
      <c r="Q102" s="1"/>
      <c r="R102" s="10"/>
    </row>
    <row r="103" spans="1:42" x14ac:dyDescent="0.25">
      <c r="A103" s="4">
        <v>9.6999999999999993</v>
      </c>
      <c r="B103" s="2">
        <v>4.6566175068043997E-10</v>
      </c>
      <c r="C103" s="2">
        <v>4.6802213599807199E-10</v>
      </c>
      <c r="D103" s="2">
        <v>1.2494005824113199E-8</v>
      </c>
      <c r="E103" s="2">
        <v>8.8070692617943103E-6</v>
      </c>
      <c r="F103" s="2">
        <v>9.25732201535762E-4</v>
      </c>
      <c r="G103" s="2">
        <v>8.8830417035541606E-2</v>
      </c>
      <c r="H103" s="2">
        <v>0.91116959775973305</v>
      </c>
      <c r="I103" s="2">
        <v>0.99907426797689403</v>
      </c>
      <c r="J103" s="2">
        <v>0.99999119293252803</v>
      </c>
      <c r="K103" s="2">
        <v>0.99999991583210701</v>
      </c>
      <c r="Q103" s="1"/>
      <c r="R103" s="10"/>
    </row>
    <row r="104" spans="1:42" x14ac:dyDescent="0.25">
      <c r="A104" s="4">
        <v>9.8000000000000007</v>
      </c>
      <c r="B104" s="2">
        <v>4.6566160930135504E-10</v>
      </c>
      <c r="C104" s="2">
        <v>4.6745272985259904E-10</v>
      </c>
      <c r="D104" s="2">
        <v>1.04325246652723E-8</v>
      </c>
      <c r="E104" s="2">
        <v>7.8112302465167194E-6</v>
      </c>
      <c r="F104" s="2">
        <v>8.6147785080793705E-4</v>
      </c>
      <c r="G104" s="2">
        <v>8.6906940049819498E-2</v>
      </c>
      <c r="H104" s="2">
        <v>0.91309307262433004</v>
      </c>
      <c r="I104" s="2">
        <v>0.99913852229564304</v>
      </c>
      <c r="J104" s="2">
        <v>0.99999218877116502</v>
      </c>
      <c r="K104" s="2">
        <v>0.99999992877633204</v>
      </c>
      <c r="Q104" s="1"/>
      <c r="R104" s="10"/>
    </row>
    <row r="105" spans="1:42" x14ac:dyDescent="0.25">
      <c r="A105" s="4">
        <v>9.9</v>
      </c>
      <c r="B105" s="2">
        <v>4.6566151105827102E-10</v>
      </c>
      <c r="C105" s="2">
        <v>4.6702065709613598E-10</v>
      </c>
      <c r="D105" s="2">
        <v>8.7243510060145496E-9</v>
      </c>
      <c r="E105" s="2">
        <v>6.9279985924389202E-6</v>
      </c>
      <c r="F105" s="2">
        <v>8.0167976796611997E-4</v>
      </c>
      <c r="G105" s="2">
        <v>8.5021226553532198E-2</v>
      </c>
      <c r="H105" s="2">
        <v>0.91497878434526603</v>
      </c>
      <c r="I105" s="2">
        <v>0.99919832035286205</v>
      </c>
      <c r="J105" s="2">
        <v>0.99999307200252896</v>
      </c>
      <c r="K105" s="2">
        <v>0.99999993971878298</v>
      </c>
      <c r="Q105" s="1"/>
      <c r="R105" s="10"/>
    </row>
    <row r="106" spans="1:42" s="10" customFormat="1" x14ac:dyDescent="0.25">
      <c r="A106" s="4">
        <v>10</v>
      </c>
      <c r="B106" s="2">
        <v>4.6566144279001602E-10</v>
      </c>
      <c r="C106" s="2">
        <v>4.6669279469460596E-10</v>
      </c>
      <c r="D106" s="2">
        <v>7.3089331517210101E-9</v>
      </c>
      <c r="E106" s="2">
        <v>6.1446410668791297E-6</v>
      </c>
      <c r="F106" s="2">
        <v>7.4602937460041801E-4</v>
      </c>
      <c r="G106" s="2">
        <v>8.3172702458220504E-2</v>
      </c>
      <c r="H106" s="2">
        <v>0.91682730695485903</v>
      </c>
      <c r="I106" s="2">
        <v>0.99925397072566302</v>
      </c>
      <c r="J106" s="2">
        <v>0.99999385535982899</v>
      </c>
      <c r="K106" s="2">
        <v>0.999999948969027</v>
      </c>
      <c r="O106" s="2"/>
      <c r="P106" s="2"/>
      <c r="Q106" s="1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s="10" customFormat="1" x14ac:dyDescent="0.25">
      <c r="O107" s="2"/>
      <c r="P107" s="2"/>
      <c r="Q107" s="1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s="10" customFormat="1" x14ac:dyDescent="0.25">
      <c r="O108" s="2"/>
      <c r="P108" s="2"/>
      <c r="Q108" s="1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s="10" customFormat="1" x14ac:dyDescent="0.25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s="10" customFormat="1" x14ac:dyDescent="0.25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s="10" customFormat="1" x14ac:dyDescent="0.25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s="10" customFormat="1" x14ac:dyDescent="0.25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5:42" s="10" customFormat="1" x14ac:dyDescent="0.25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5:42" s="10" customFormat="1" x14ac:dyDescent="0.25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5:42" s="10" customFormat="1" x14ac:dyDescent="0.25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5:42" s="10" customFormat="1" x14ac:dyDescent="0.25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5:42" s="10" customFormat="1" x14ac:dyDescent="0.25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5:42" s="10" customFormat="1" x14ac:dyDescent="0.25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5:42" s="10" customFormat="1" x14ac:dyDescent="0.25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5:42" s="10" customFormat="1" x14ac:dyDescent="0.25"/>
    <row r="121" spans="15:42" s="10" customFormat="1" x14ac:dyDescent="0.25"/>
    <row r="122" spans="15:42" s="10" customFormat="1" x14ac:dyDescent="0.25"/>
    <row r="123" spans="15:42" s="10" customFormat="1" x14ac:dyDescent="0.25"/>
    <row r="124" spans="15:42" s="10" customFormat="1" x14ac:dyDescent="0.25"/>
    <row r="125" spans="15:42" s="10" customFormat="1" x14ac:dyDescent="0.25"/>
    <row r="126" spans="15:42" s="10" customFormat="1" x14ac:dyDescent="0.25"/>
    <row r="127" spans="15:42" s="10" customFormat="1" x14ac:dyDescent="0.25"/>
    <row r="128" spans="15:42" s="10" customFormat="1" x14ac:dyDescent="0.25"/>
    <row r="129" s="10" customFormat="1" x14ac:dyDescent="0.25"/>
    <row r="130" s="10" customFormat="1" x14ac:dyDescent="0.25"/>
    <row r="131" s="10" customFormat="1" x14ac:dyDescent="0.25"/>
    <row r="132" s="10" customFormat="1" x14ac:dyDescent="0.25"/>
    <row r="133" s="10" customFormat="1" x14ac:dyDescent="0.25"/>
    <row r="134" s="10" customFormat="1" x14ac:dyDescent="0.25"/>
    <row r="135" s="10" customFormat="1" x14ac:dyDescent="0.25"/>
    <row r="136" s="10" customFormat="1" x14ac:dyDescent="0.25"/>
    <row r="137" s="10" customFormat="1" x14ac:dyDescent="0.25"/>
    <row r="138" s="10" customFormat="1" x14ac:dyDescent="0.25"/>
    <row r="139" s="10" customFormat="1" x14ac:dyDescent="0.25"/>
    <row r="140" s="10" customFormat="1" x14ac:dyDescent="0.25"/>
    <row r="141" s="10" customFormat="1" x14ac:dyDescent="0.25"/>
    <row r="142" s="10" customFormat="1" x14ac:dyDescent="0.25"/>
    <row r="143" s="10" customFormat="1" x14ac:dyDescent="0.25"/>
    <row r="144" s="10" customFormat="1" x14ac:dyDescent="0.25"/>
    <row r="145" s="10" customFormat="1" x14ac:dyDescent="0.25"/>
    <row r="146" s="10" customFormat="1" x14ac:dyDescent="0.25"/>
    <row r="147" s="10" customFormat="1" x14ac:dyDescent="0.25"/>
    <row r="148" s="10" customFormat="1" x14ac:dyDescent="0.25"/>
    <row r="149" s="10" customFormat="1" x14ac:dyDescent="0.25"/>
    <row r="150" s="10" customFormat="1" x14ac:dyDescent="0.25"/>
    <row r="151" s="10" customFormat="1" x14ac:dyDescent="0.25"/>
    <row r="152" s="10" customFormat="1" x14ac:dyDescent="0.25"/>
    <row r="153" s="10" customFormat="1" x14ac:dyDescent="0.25"/>
    <row r="154" s="10" customFormat="1" x14ac:dyDescent="0.25"/>
    <row r="155" s="10" customFormat="1" x14ac:dyDescent="0.25"/>
    <row r="156" s="10" customFormat="1" x14ac:dyDescent="0.25"/>
    <row r="157" s="10" customFormat="1" x14ac:dyDescent="0.25"/>
    <row r="158" s="10" customFormat="1" x14ac:dyDescent="0.25"/>
    <row r="159" s="10" customFormat="1" x14ac:dyDescent="0.25"/>
    <row r="160" s="10" customFormat="1" x14ac:dyDescent="0.25"/>
    <row r="161" s="10" customFormat="1" x14ac:dyDescent="0.25"/>
    <row r="162" s="10" customFormat="1" x14ac:dyDescent="0.25"/>
    <row r="163" s="10" customFormat="1" x14ac:dyDescent="0.25"/>
    <row r="164" s="10" customFormat="1" x14ac:dyDescent="0.25"/>
    <row r="165" s="10" customFormat="1" x14ac:dyDescent="0.25"/>
    <row r="166" s="10" customFormat="1" x14ac:dyDescent="0.25"/>
    <row r="167" s="10" customFormat="1" x14ac:dyDescent="0.25"/>
    <row r="168" s="10" customFormat="1" x14ac:dyDescent="0.25"/>
    <row r="169" s="10" customFormat="1" x14ac:dyDescent="0.25"/>
    <row r="170" s="10" customFormat="1" x14ac:dyDescent="0.25"/>
    <row r="171" s="10" customFormat="1" x14ac:dyDescent="0.25"/>
    <row r="172" s="10" customFormat="1" x14ac:dyDescent="0.25"/>
    <row r="173" s="10" customFormat="1" x14ac:dyDescent="0.25"/>
    <row r="174" s="10" customFormat="1" x14ac:dyDescent="0.25"/>
    <row r="175" s="10" customFormat="1" x14ac:dyDescent="0.25"/>
    <row r="176" s="10" customFormat="1" x14ac:dyDescent="0.25"/>
    <row r="177" s="10" customFormat="1" x14ac:dyDescent="0.25"/>
    <row r="178" s="10" customFormat="1" x14ac:dyDescent="0.25"/>
    <row r="179" s="10" customFormat="1" x14ac:dyDescent="0.25"/>
    <row r="180" s="10" customFormat="1" x14ac:dyDescent="0.25"/>
    <row r="181" s="10" customFormat="1" x14ac:dyDescent="0.25"/>
    <row r="182" s="10" customFormat="1" x14ac:dyDescent="0.25"/>
    <row r="183" s="10" customFormat="1" x14ac:dyDescent="0.25"/>
    <row r="184" s="10" customFormat="1" x14ac:dyDescent="0.25"/>
    <row r="185" s="10" customFormat="1" x14ac:dyDescent="0.25"/>
    <row r="186" s="10" customFormat="1" x14ac:dyDescent="0.25"/>
    <row r="187" s="10" customFormat="1" x14ac:dyDescent="0.25"/>
    <row r="188" s="10" customFormat="1" x14ac:dyDescent="0.25"/>
    <row r="189" s="10" customFormat="1" x14ac:dyDescent="0.25"/>
    <row r="190" s="10" customFormat="1" x14ac:dyDescent="0.25"/>
    <row r="191" s="10" customFormat="1" x14ac:dyDescent="0.25"/>
    <row r="192" s="10" customFormat="1" x14ac:dyDescent="0.25"/>
    <row r="193" s="10" customFormat="1" x14ac:dyDescent="0.25"/>
    <row r="194" s="10" customFormat="1" x14ac:dyDescent="0.25"/>
    <row r="195" s="10" customFormat="1" x14ac:dyDescent="0.25"/>
    <row r="196" s="10" customFormat="1" x14ac:dyDescent="0.25"/>
    <row r="197" s="10" customFormat="1" x14ac:dyDescent="0.25"/>
    <row r="198" s="10" customFormat="1" x14ac:dyDescent="0.25"/>
    <row r="199" s="10" customFormat="1" x14ac:dyDescent="0.25"/>
    <row r="200" s="10" customFormat="1" x14ac:dyDescent="0.25"/>
    <row r="201" s="10" customFormat="1" x14ac:dyDescent="0.25"/>
    <row r="202" s="10" customFormat="1" x14ac:dyDescent="0.25"/>
    <row r="203" s="10" customFormat="1" x14ac:dyDescent="0.25"/>
    <row r="204" s="10" customFormat="1" x14ac:dyDescent="0.25"/>
    <row r="205" s="10" customFormat="1" x14ac:dyDescent="0.25"/>
    <row r="206" s="10" customFormat="1" x14ac:dyDescent="0.25"/>
    <row r="207" s="10" customFormat="1" x14ac:dyDescent="0.25"/>
    <row r="208" s="10" customFormat="1" x14ac:dyDescent="0.25"/>
    <row r="209" s="10" customFormat="1" x14ac:dyDescent="0.25"/>
    <row r="210" s="10" customFormat="1" x14ac:dyDescent="0.25"/>
    <row r="211" s="10" customFormat="1" x14ac:dyDescent="0.25"/>
    <row r="212" s="10" customFormat="1" x14ac:dyDescent="0.25"/>
    <row r="213" s="10" customFormat="1" x14ac:dyDescent="0.25"/>
    <row r="214" s="10" customFormat="1" x14ac:dyDescent="0.25"/>
    <row r="215" s="10" customFormat="1" x14ac:dyDescent="0.25"/>
    <row r="216" s="10" customFormat="1" x14ac:dyDescent="0.25"/>
    <row r="217" s="10" customFormat="1" x14ac:dyDescent="0.25"/>
    <row r="218" s="10" customFormat="1" x14ac:dyDescent="0.25"/>
    <row r="219" s="10" customFormat="1" x14ac:dyDescent="0.25"/>
    <row r="220" s="10" customFormat="1" x14ac:dyDescent="0.25"/>
    <row r="221" s="10" customFormat="1" x14ac:dyDescent="0.25"/>
    <row r="222" s="10" customFormat="1" x14ac:dyDescent="0.25"/>
    <row r="223" s="10" customFormat="1" x14ac:dyDescent="0.25"/>
    <row r="224" s="10" customFormat="1" x14ac:dyDescent="0.25"/>
    <row r="225" s="10" customFormat="1" x14ac:dyDescent="0.25"/>
    <row r="226" s="10" customFormat="1" x14ac:dyDescent="0.25"/>
    <row r="227" s="10" customFormat="1" x14ac:dyDescent="0.25"/>
    <row r="228" s="10" customFormat="1" x14ac:dyDescent="0.25"/>
    <row r="229" s="10" customFormat="1" x14ac:dyDescent="0.25"/>
    <row r="230" s="10" customFormat="1" x14ac:dyDescent="0.25"/>
    <row r="231" s="10" customFormat="1" x14ac:dyDescent="0.25"/>
    <row r="232" s="10" customFormat="1" x14ac:dyDescent="0.25"/>
    <row r="233" s="10" customFormat="1" x14ac:dyDescent="0.25"/>
    <row r="234" s="10" customFormat="1" x14ac:dyDescent="0.25"/>
    <row r="235" s="10" customFormat="1" x14ac:dyDescent="0.25"/>
    <row r="236" s="10" customFormat="1" x14ac:dyDescent="0.25"/>
    <row r="237" s="10" customFormat="1" x14ac:dyDescent="0.25"/>
    <row r="238" s="10" customFormat="1" x14ac:dyDescent="0.25"/>
    <row r="239" s="10" customFormat="1" x14ac:dyDescent="0.25"/>
    <row r="240" s="10" customFormat="1" x14ac:dyDescent="0.25"/>
    <row r="241" s="10" customFormat="1" x14ac:dyDescent="0.25"/>
    <row r="242" s="10" customFormat="1" x14ac:dyDescent="0.25"/>
    <row r="243" s="10" customFormat="1" x14ac:dyDescent="0.25"/>
    <row r="244" s="10" customFormat="1" x14ac:dyDescent="0.25"/>
    <row r="245" s="10" customFormat="1" x14ac:dyDescent="0.25"/>
    <row r="246" s="10" customFormat="1" x14ac:dyDescent="0.25"/>
    <row r="247" s="10" customFormat="1" x14ac:dyDescent="0.25"/>
    <row r="248" s="10" customFormat="1" x14ac:dyDescent="0.25"/>
    <row r="249" s="10" customFormat="1" x14ac:dyDescent="0.25"/>
    <row r="250" s="10" customFormat="1" x14ac:dyDescent="0.25"/>
    <row r="251" s="10" customFormat="1" x14ac:dyDescent="0.25"/>
    <row r="252" s="10" customFormat="1" x14ac:dyDescent="0.25"/>
    <row r="253" s="10" customFormat="1" x14ac:dyDescent="0.25"/>
    <row r="254" s="10" customFormat="1" x14ac:dyDescent="0.25"/>
    <row r="255" s="10" customFormat="1" x14ac:dyDescent="0.25"/>
    <row r="256" s="10" customFormat="1" x14ac:dyDescent="0.25"/>
    <row r="257" s="10" customFormat="1" x14ac:dyDescent="0.25"/>
    <row r="258" s="10" customFormat="1" x14ac:dyDescent="0.25"/>
    <row r="259" s="10" customFormat="1" x14ac:dyDescent="0.25"/>
    <row r="260" s="10" customFormat="1" x14ac:dyDescent="0.25"/>
    <row r="261" s="10" customFormat="1" x14ac:dyDescent="0.25"/>
    <row r="262" s="10" customFormat="1" x14ac:dyDescent="0.25"/>
    <row r="263" s="10" customFormat="1" x14ac:dyDescent="0.25"/>
    <row r="264" s="10" customFormat="1" x14ac:dyDescent="0.25"/>
    <row r="265" s="10" customFormat="1" x14ac:dyDescent="0.25"/>
    <row r="266" s="10" customFormat="1" x14ac:dyDescent="0.25"/>
    <row r="267" s="10" customFormat="1" x14ac:dyDescent="0.25"/>
    <row r="268" s="10" customFormat="1" x14ac:dyDescent="0.25"/>
    <row r="269" s="10" customFormat="1" x14ac:dyDescent="0.25"/>
    <row r="270" s="10" customFormat="1" x14ac:dyDescent="0.25"/>
    <row r="271" s="10" customFormat="1" x14ac:dyDescent="0.25"/>
    <row r="272" s="10" customFormat="1" x14ac:dyDescent="0.25"/>
    <row r="273" s="10" customFormat="1" x14ac:dyDescent="0.25"/>
    <row r="274" s="10" customFormat="1" x14ac:dyDescent="0.25"/>
    <row r="275" s="10" customFormat="1" x14ac:dyDescent="0.25"/>
    <row r="276" s="10" customFormat="1" x14ac:dyDescent="0.25"/>
    <row r="277" s="10" customFormat="1" x14ac:dyDescent="0.25"/>
    <row r="278" s="10" customFormat="1" x14ac:dyDescent="0.25"/>
    <row r="279" s="10" customFormat="1" x14ac:dyDescent="0.25"/>
    <row r="280" s="10" customFormat="1" x14ac:dyDescent="0.25"/>
    <row r="281" s="10" customFormat="1" x14ac:dyDescent="0.25"/>
    <row r="282" s="10" customFormat="1" x14ac:dyDescent="0.25"/>
    <row r="283" s="10" customFormat="1" x14ac:dyDescent="0.25"/>
    <row r="284" s="10" customFormat="1" x14ac:dyDescent="0.25"/>
    <row r="285" s="10" customFormat="1" x14ac:dyDescent="0.25"/>
    <row r="286" s="10" customFormat="1" x14ac:dyDescent="0.25"/>
    <row r="287" s="10" customFormat="1" x14ac:dyDescent="0.25"/>
    <row r="288" s="10" customFormat="1" x14ac:dyDescent="0.25"/>
    <row r="289" s="10" customFormat="1" x14ac:dyDescent="0.25"/>
    <row r="290" s="10" customFormat="1" x14ac:dyDescent="0.25"/>
    <row r="291" s="10" customFormat="1" x14ac:dyDescent="0.25"/>
    <row r="292" s="10" customFormat="1" x14ac:dyDescent="0.25"/>
    <row r="293" s="10" customFormat="1" x14ac:dyDescent="0.25"/>
    <row r="294" s="10" customFormat="1" x14ac:dyDescent="0.25"/>
    <row r="295" s="10" customFormat="1" x14ac:dyDescent="0.25"/>
    <row r="296" s="10" customFormat="1" x14ac:dyDescent="0.25"/>
    <row r="297" s="10" customFormat="1" x14ac:dyDescent="0.25"/>
    <row r="298" s="10" customFormat="1" x14ac:dyDescent="0.25"/>
    <row r="299" s="10" customFormat="1" x14ac:dyDescent="0.25"/>
    <row r="300" s="10" customFormat="1" x14ac:dyDescent="0.25"/>
    <row r="301" s="10" customFormat="1" x14ac:dyDescent="0.25"/>
    <row r="302" s="10" customFormat="1" x14ac:dyDescent="0.25"/>
    <row r="303" s="10" customFormat="1" x14ac:dyDescent="0.25"/>
    <row r="304" s="10" customFormat="1" x14ac:dyDescent="0.25"/>
    <row r="305" s="10" customFormat="1" x14ac:dyDescent="0.25"/>
    <row r="306" s="10" customFormat="1" x14ac:dyDescent="0.25"/>
    <row r="307" s="10" customFormat="1" x14ac:dyDescent="0.25"/>
    <row r="308" s="10" customFormat="1" x14ac:dyDescent="0.25"/>
    <row r="309" s="10" customFormat="1" x14ac:dyDescent="0.25"/>
    <row r="310" s="10" customFormat="1" x14ac:dyDescent="0.25"/>
    <row r="311" s="10" customFormat="1" x14ac:dyDescent="0.25"/>
    <row r="312" s="10" customFormat="1" x14ac:dyDescent="0.25"/>
    <row r="313" s="10" customFormat="1" x14ac:dyDescent="0.25"/>
    <row r="314" s="10" customFormat="1" x14ac:dyDescent="0.25"/>
    <row r="315" s="10" customFormat="1" x14ac:dyDescent="0.25"/>
    <row r="316" s="10" customFormat="1" x14ac:dyDescent="0.25"/>
    <row r="317" s="10" customFormat="1" x14ac:dyDescent="0.25"/>
    <row r="318" s="10" customFormat="1" x14ac:dyDescent="0.25"/>
    <row r="319" s="10" customFormat="1" x14ac:dyDescent="0.25"/>
    <row r="320" s="10" customFormat="1" x14ac:dyDescent="0.25"/>
    <row r="321" s="10" customFormat="1" x14ac:dyDescent="0.25"/>
    <row r="322" s="10" customFormat="1" x14ac:dyDescent="0.25"/>
    <row r="323" s="10" customFormat="1" x14ac:dyDescent="0.25"/>
    <row r="324" s="10" customFormat="1" x14ac:dyDescent="0.25"/>
    <row r="325" s="10" customFormat="1" x14ac:dyDescent="0.25"/>
    <row r="326" s="10" customFormat="1" x14ac:dyDescent="0.25"/>
    <row r="327" s="10" customFormat="1" x14ac:dyDescent="0.25"/>
    <row r="328" s="10" customFormat="1" x14ac:dyDescent="0.25"/>
    <row r="329" s="10" customFormat="1" x14ac:dyDescent="0.25"/>
    <row r="330" s="10" customFormat="1" x14ac:dyDescent="0.25"/>
    <row r="331" s="10" customFormat="1" x14ac:dyDescent="0.25"/>
    <row r="332" s="10" customFormat="1" x14ac:dyDescent="0.25"/>
    <row r="333" s="10" customFormat="1" x14ac:dyDescent="0.25"/>
    <row r="334" s="10" customFormat="1" x14ac:dyDescent="0.25"/>
    <row r="335" s="10" customFormat="1" x14ac:dyDescent="0.25"/>
    <row r="336" s="10" customFormat="1" x14ac:dyDescent="0.25"/>
    <row r="337" s="10" customFormat="1" x14ac:dyDescent="0.25"/>
    <row r="338" s="10" customFormat="1" x14ac:dyDescent="0.25"/>
    <row r="339" s="10" customFormat="1" x14ac:dyDescent="0.25"/>
    <row r="340" s="10" customFormat="1" x14ac:dyDescent="0.25"/>
    <row r="341" s="10" customFormat="1" x14ac:dyDescent="0.25"/>
    <row r="342" s="10" customFormat="1" x14ac:dyDescent="0.25"/>
    <row r="343" s="10" customFormat="1" x14ac:dyDescent="0.25"/>
    <row r="344" s="10" customFormat="1" x14ac:dyDescent="0.25"/>
    <row r="345" s="10" customFormat="1" x14ac:dyDescent="0.25"/>
    <row r="346" s="10" customFormat="1" x14ac:dyDescent="0.25"/>
    <row r="347" s="10" customFormat="1" x14ac:dyDescent="0.25"/>
    <row r="348" s="10" customFormat="1" x14ac:dyDescent="0.25"/>
    <row r="349" s="10" customFormat="1" x14ac:dyDescent="0.25"/>
    <row r="350" s="10" customFormat="1" x14ac:dyDescent="0.25"/>
    <row r="351" s="10" customFormat="1" x14ac:dyDescent="0.25"/>
    <row r="352" s="10" customFormat="1" x14ac:dyDescent="0.25"/>
    <row r="353" s="10" customFormat="1" x14ac:dyDescent="0.25"/>
    <row r="354" s="10" customFormat="1" x14ac:dyDescent="0.25"/>
    <row r="355" s="10" customFormat="1" x14ac:dyDescent="0.25"/>
    <row r="356" s="10" customFormat="1" x14ac:dyDescent="0.25"/>
    <row r="357" s="10" customFormat="1" x14ac:dyDescent="0.25"/>
    <row r="358" s="10" customFormat="1" x14ac:dyDescent="0.25"/>
    <row r="359" s="10" customFormat="1" x14ac:dyDescent="0.25"/>
    <row r="360" s="10" customFormat="1" x14ac:dyDescent="0.25"/>
    <row r="361" s="10" customFormat="1" x14ac:dyDescent="0.25"/>
    <row r="362" s="10" customFormat="1" x14ac:dyDescent="0.25"/>
    <row r="363" s="10" customFormat="1" x14ac:dyDescent="0.25"/>
    <row r="364" s="10" customFormat="1" x14ac:dyDescent="0.25"/>
    <row r="365" s="10" customFormat="1" x14ac:dyDescent="0.25"/>
    <row r="366" s="10" customFormat="1" x14ac:dyDescent="0.25"/>
    <row r="367" s="10" customFormat="1" x14ac:dyDescent="0.25"/>
    <row r="368" s="10" customFormat="1" x14ac:dyDescent="0.25"/>
    <row r="369" s="10" customFormat="1" x14ac:dyDescent="0.25"/>
    <row r="370" s="10" customFormat="1" x14ac:dyDescent="0.25"/>
    <row r="371" s="10" customFormat="1" x14ac:dyDescent="0.25"/>
    <row r="372" s="10" customFormat="1" x14ac:dyDescent="0.25"/>
    <row r="373" s="10" customFormat="1" x14ac:dyDescent="0.25"/>
    <row r="374" s="10" customFormat="1" x14ac:dyDescent="0.25"/>
    <row r="375" s="10" customFormat="1" x14ac:dyDescent="0.25"/>
    <row r="376" s="10" customFormat="1" x14ac:dyDescent="0.25"/>
    <row r="377" s="10" customFormat="1" x14ac:dyDescent="0.25"/>
    <row r="378" s="10" customFormat="1" x14ac:dyDescent="0.25"/>
    <row r="379" s="10" customFormat="1" x14ac:dyDescent="0.25"/>
    <row r="380" s="10" customFormat="1" x14ac:dyDescent="0.25"/>
    <row r="381" s="10" customFormat="1" x14ac:dyDescent="0.25"/>
    <row r="382" s="10" customFormat="1" x14ac:dyDescent="0.25"/>
    <row r="383" s="10" customFormat="1" x14ac:dyDescent="0.25"/>
    <row r="384" s="10" customFormat="1" x14ac:dyDescent="0.25"/>
    <row r="385" s="10" customFormat="1" x14ac:dyDescent="0.25"/>
    <row r="386" s="10" customFormat="1" x14ac:dyDescent="0.25"/>
    <row r="387" s="10" customFormat="1" x14ac:dyDescent="0.25"/>
    <row r="388" s="10" customFormat="1" x14ac:dyDescent="0.25"/>
    <row r="389" s="10" customFormat="1" x14ac:dyDescent="0.25"/>
    <row r="390" s="10" customFormat="1" x14ac:dyDescent="0.25"/>
    <row r="391" s="10" customFormat="1" x14ac:dyDescent="0.25"/>
    <row r="392" s="10" customFormat="1" x14ac:dyDescent="0.25"/>
    <row r="393" s="10" customFormat="1" x14ac:dyDescent="0.25"/>
    <row r="394" s="10" customFormat="1" x14ac:dyDescent="0.25"/>
    <row r="395" s="10" customFormat="1" x14ac:dyDescent="0.25"/>
    <row r="396" s="10" customFormat="1" x14ac:dyDescent="0.25"/>
    <row r="397" s="10" customFormat="1" x14ac:dyDescent="0.25"/>
    <row r="398" s="10" customFormat="1" x14ac:dyDescent="0.25"/>
    <row r="399" s="10" customFormat="1" x14ac:dyDescent="0.25"/>
    <row r="400" s="10" customFormat="1" x14ac:dyDescent="0.25"/>
    <row r="401" s="10" customFormat="1" x14ac:dyDescent="0.25"/>
    <row r="402" s="10" customFormat="1" x14ac:dyDescent="0.25"/>
    <row r="403" s="10" customFormat="1" x14ac:dyDescent="0.25"/>
    <row r="404" s="10" customFormat="1" x14ac:dyDescent="0.25"/>
    <row r="405" s="10" customFormat="1" x14ac:dyDescent="0.25"/>
    <row r="406" s="10" customFormat="1" x14ac:dyDescent="0.25"/>
    <row r="407" s="10" customFormat="1" x14ac:dyDescent="0.25"/>
    <row r="408" s="10" customFormat="1" x14ac:dyDescent="0.25"/>
    <row r="409" s="10" customFormat="1" x14ac:dyDescent="0.25"/>
    <row r="410" s="10" customFormat="1" x14ac:dyDescent="0.25"/>
    <row r="411" s="10" customFormat="1" x14ac:dyDescent="0.25"/>
    <row r="412" s="10" customFormat="1" x14ac:dyDescent="0.25"/>
    <row r="413" s="10" customFormat="1" x14ac:dyDescent="0.25"/>
    <row r="414" s="10" customFormat="1" x14ac:dyDescent="0.25"/>
    <row r="415" s="10" customFormat="1" x14ac:dyDescent="0.25"/>
    <row r="416" s="10" customFormat="1" x14ac:dyDescent="0.25"/>
    <row r="417" s="10" customFormat="1" x14ac:dyDescent="0.25"/>
    <row r="418" s="10" customFormat="1" x14ac:dyDescent="0.25"/>
    <row r="419" s="10" customFormat="1" x14ac:dyDescent="0.25"/>
    <row r="420" s="10" customFormat="1" x14ac:dyDescent="0.25"/>
    <row r="421" s="10" customFormat="1" x14ac:dyDescent="0.25"/>
    <row r="422" s="10" customFormat="1" x14ac:dyDescent="0.25"/>
    <row r="423" s="10" customFormat="1" x14ac:dyDescent="0.25"/>
    <row r="424" s="10" customFormat="1" x14ac:dyDescent="0.25"/>
    <row r="425" s="10" customFormat="1" x14ac:dyDescent="0.25"/>
    <row r="426" s="10" customFormat="1" x14ac:dyDescent="0.25"/>
    <row r="427" s="10" customFormat="1" x14ac:dyDescent="0.25"/>
    <row r="428" s="10" customFormat="1" x14ac:dyDescent="0.25"/>
    <row r="429" s="10" customFormat="1" x14ac:dyDescent="0.25"/>
    <row r="430" s="10" customFormat="1" x14ac:dyDescent="0.25"/>
    <row r="431" s="10" customFormat="1" x14ac:dyDescent="0.25"/>
    <row r="432" s="10" customFormat="1" x14ac:dyDescent="0.25"/>
    <row r="433" s="10" customFormat="1" x14ac:dyDescent="0.25"/>
    <row r="434" s="10" customFormat="1" x14ac:dyDescent="0.25"/>
    <row r="435" s="10" customFormat="1" x14ac:dyDescent="0.25"/>
    <row r="436" s="10" customFormat="1" x14ac:dyDescent="0.25"/>
    <row r="437" s="10" customFormat="1" x14ac:dyDescent="0.25"/>
    <row r="438" s="10" customFormat="1" x14ac:dyDescent="0.25"/>
    <row r="439" s="10" customFormat="1" x14ac:dyDescent="0.25"/>
    <row r="440" s="10" customFormat="1" x14ac:dyDescent="0.25"/>
    <row r="441" s="10" customFormat="1" x14ac:dyDescent="0.25"/>
    <row r="442" s="10" customFormat="1" x14ac:dyDescent="0.25"/>
    <row r="443" s="10" customFormat="1" x14ac:dyDescent="0.25"/>
    <row r="444" s="10" customFormat="1" x14ac:dyDescent="0.25"/>
    <row r="445" s="10" customFormat="1" x14ac:dyDescent="0.25"/>
    <row r="446" s="10" customFormat="1" x14ac:dyDescent="0.25"/>
    <row r="447" s="10" customFormat="1" x14ac:dyDescent="0.25"/>
    <row r="448" s="10" customFormat="1" x14ac:dyDescent="0.25"/>
    <row r="449" s="10" customFormat="1" x14ac:dyDescent="0.25"/>
    <row r="450" s="10" customFormat="1" x14ac:dyDescent="0.25"/>
    <row r="451" s="10" customFormat="1" x14ac:dyDescent="0.25"/>
    <row r="452" s="10" customFormat="1" x14ac:dyDescent="0.25"/>
    <row r="453" s="10" customFormat="1" x14ac:dyDescent="0.25"/>
    <row r="454" s="10" customFormat="1" x14ac:dyDescent="0.25"/>
    <row r="455" s="10" customFormat="1" x14ac:dyDescent="0.25"/>
    <row r="456" s="10" customFormat="1" x14ac:dyDescent="0.25"/>
    <row r="457" s="10" customFormat="1" x14ac:dyDescent="0.25"/>
    <row r="458" s="10" customFormat="1" x14ac:dyDescent="0.25"/>
    <row r="459" s="10" customFormat="1" x14ac:dyDescent="0.25"/>
    <row r="460" s="10" customFormat="1" x14ac:dyDescent="0.25"/>
    <row r="461" s="10" customFormat="1" x14ac:dyDescent="0.25"/>
    <row r="462" s="10" customFormat="1" x14ac:dyDescent="0.25"/>
    <row r="463" s="10" customFormat="1" x14ac:dyDescent="0.25"/>
    <row r="464" s="10" customFormat="1" x14ac:dyDescent="0.25"/>
    <row r="465" s="10" customFormat="1" x14ac:dyDescent="0.25"/>
    <row r="466" s="10" customFormat="1" x14ac:dyDescent="0.25"/>
    <row r="467" s="10" customFormat="1" x14ac:dyDescent="0.25"/>
    <row r="468" s="10" customFormat="1" x14ac:dyDescent="0.25"/>
    <row r="469" s="10" customFormat="1" x14ac:dyDescent="0.25"/>
    <row r="470" s="10" customFormat="1" x14ac:dyDescent="0.25"/>
    <row r="471" s="10" customFormat="1" x14ac:dyDescent="0.25"/>
    <row r="472" s="10" customFormat="1" x14ac:dyDescent="0.25"/>
    <row r="473" s="10" customFormat="1" x14ac:dyDescent="0.25"/>
    <row r="474" s="10" customFormat="1" x14ac:dyDescent="0.25"/>
    <row r="475" s="10" customFormat="1" x14ac:dyDescent="0.25"/>
    <row r="476" s="10" customFormat="1" x14ac:dyDescent="0.25"/>
    <row r="477" s="10" customFormat="1" x14ac:dyDescent="0.25"/>
    <row r="478" s="10" customFormat="1" x14ac:dyDescent="0.25"/>
    <row r="479" s="10" customFormat="1" x14ac:dyDescent="0.25"/>
    <row r="480" s="10" customFormat="1" x14ac:dyDescent="0.25"/>
    <row r="481" s="10" customFormat="1" x14ac:dyDescent="0.25"/>
    <row r="482" s="10" customFormat="1" x14ac:dyDescent="0.25"/>
    <row r="483" s="10" customFormat="1" x14ac:dyDescent="0.25"/>
    <row r="484" s="10" customFormat="1" x14ac:dyDescent="0.25"/>
    <row r="485" s="10" customFormat="1" x14ac:dyDescent="0.25"/>
    <row r="486" s="10" customFormat="1" x14ac:dyDescent="0.25"/>
    <row r="487" s="10" customFormat="1" x14ac:dyDescent="0.25"/>
    <row r="488" s="10" customFormat="1" x14ac:dyDescent="0.25"/>
    <row r="489" s="10" customFormat="1" x14ac:dyDescent="0.25"/>
    <row r="490" s="10" customFormat="1" x14ac:dyDescent="0.25"/>
    <row r="491" s="10" customFormat="1" x14ac:dyDescent="0.25"/>
    <row r="492" s="10" customFormat="1" x14ac:dyDescent="0.25"/>
    <row r="493" s="10" customFormat="1" x14ac:dyDescent="0.25"/>
    <row r="494" s="10" customFormat="1" x14ac:dyDescent="0.25"/>
    <row r="495" s="10" customFormat="1" x14ac:dyDescent="0.25"/>
    <row r="496" s="10" customFormat="1" x14ac:dyDescent="0.25"/>
    <row r="497" s="10" customFormat="1" x14ac:dyDescent="0.25"/>
    <row r="498" s="10" customFormat="1" x14ac:dyDescent="0.25"/>
    <row r="499" s="10" customFormat="1" x14ac:dyDescent="0.25"/>
    <row r="500" s="10" customFormat="1" x14ac:dyDescent="0.25"/>
    <row r="501" s="10" customFormat="1" x14ac:dyDescent="0.25"/>
    <row r="502" s="10" customFormat="1" x14ac:dyDescent="0.25"/>
    <row r="503" s="10" customFormat="1" x14ac:dyDescent="0.25"/>
    <row r="504" s="10" customFormat="1" x14ac:dyDescent="0.25"/>
    <row r="505" s="10" customFormat="1" x14ac:dyDescent="0.25"/>
    <row r="506" s="10" customFormat="1" x14ac:dyDescent="0.25"/>
    <row r="507" s="10" customFormat="1" x14ac:dyDescent="0.25"/>
    <row r="508" s="10" customFormat="1" x14ac:dyDescent="0.25"/>
    <row r="509" s="10" customFormat="1" x14ac:dyDescent="0.25"/>
    <row r="510" s="10" customFormat="1" x14ac:dyDescent="0.25"/>
    <row r="511" s="10" customFormat="1" x14ac:dyDescent="0.25"/>
    <row r="512" s="10" customFormat="1" x14ac:dyDescent="0.25"/>
    <row r="513" s="10" customFormat="1" x14ac:dyDescent="0.25"/>
    <row r="514" s="10" customFormat="1" x14ac:dyDescent="0.25"/>
    <row r="515" s="10" customFormat="1" x14ac:dyDescent="0.25"/>
    <row r="516" s="10" customFormat="1" x14ac:dyDescent="0.25"/>
    <row r="517" s="10" customFormat="1" x14ac:dyDescent="0.25"/>
    <row r="518" s="10" customFormat="1" x14ac:dyDescent="0.25"/>
    <row r="519" s="10" customFormat="1" x14ac:dyDescent="0.25"/>
    <row r="520" s="10" customFormat="1" x14ac:dyDescent="0.25"/>
    <row r="521" s="10" customFormat="1" x14ac:dyDescent="0.25"/>
    <row r="522" s="10" customFormat="1" x14ac:dyDescent="0.25"/>
    <row r="523" s="10" customFormat="1" x14ac:dyDescent="0.25"/>
    <row r="524" s="10" customFormat="1" x14ac:dyDescent="0.25"/>
    <row r="525" s="10" customFormat="1" x14ac:dyDescent="0.25"/>
    <row r="526" s="10" customFormat="1" x14ac:dyDescent="0.25"/>
    <row r="527" s="10" customFormat="1" x14ac:dyDescent="0.25"/>
    <row r="528" s="10" customFormat="1" x14ac:dyDescent="0.25"/>
    <row r="529" s="10" customFormat="1" x14ac:dyDescent="0.25"/>
    <row r="530" s="10" customFormat="1" x14ac:dyDescent="0.25"/>
    <row r="531" s="10" customFormat="1" x14ac:dyDescent="0.25"/>
    <row r="532" s="10" customFormat="1" x14ac:dyDescent="0.25"/>
    <row r="533" s="10" customFormat="1" x14ac:dyDescent="0.25"/>
    <row r="534" s="10" customFormat="1" x14ac:dyDescent="0.25"/>
    <row r="535" s="10" customFormat="1" x14ac:dyDescent="0.25"/>
    <row r="536" s="10" customFormat="1" x14ac:dyDescent="0.25"/>
    <row r="537" s="10" customFormat="1" x14ac:dyDescent="0.25"/>
    <row r="538" s="10" customFormat="1" x14ac:dyDescent="0.25"/>
    <row r="539" s="10" customFormat="1" x14ac:dyDescent="0.25"/>
    <row r="540" s="10" customFormat="1" x14ac:dyDescent="0.25"/>
    <row r="541" s="10" customFormat="1" x14ac:dyDescent="0.25"/>
    <row r="542" s="10" customFormat="1" x14ac:dyDescent="0.25"/>
    <row r="543" s="10" customFormat="1" x14ac:dyDescent="0.25"/>
    <row r="544" s="10" customFormat="1" x14ac:dyDescent="0.25"/>
    <row r="545" s="10" customFormat="1" x14ac:dyDescent="0.25"/>
    <row r="546" s="10" customFormat="1" x14ac:dyDescent="0.25"/>
    <row r="547" s="10" customFormat="1" x14ac:dyDescent="0.25"/>
    <row r="548" s="10" customFormat="1" x14ac:dyDescent="0.25"/>
    <row r="549" s="10" customFormat="1" x14ac:dyDescent="0.25"/>
    <row r="550" s="10" customFormat="1" x14ac:dyDescent="0.25"/>
    <row r="551" s="10" customFormat="1" x14ac:dyDescent="0.25"/>
    <row r="552" s="10" customFormat="1" x14ac:dyDescent="0.25"/>
    <row r="553" s="10" customFormat="1" x14ac:dyDescent="0.25"/>
    <row r="554" s="10" customFormat="1" x14ac:dyDescent="0.25"/>
    <row r="555" s="10" customFormat="1" x14ac:dyDescent="0.25"/>
    <row r="556" s="10" customFormat="1" x14ac:dyDescent="0.25"/>
    <row r="557" s="10" customFormat="1" x14ac:dyDescent="0.25"/>
    <row r="558" s="10" customFormat="1" x14ac:dyDescent="0.25"/>
    <row r="559" s="10" customFormat="1" x14ac:dyDescent="0.25"/>
    <row r="560" s="10" customFormat="1" x14ac:dyDescent="0.25"/>
    <row r="561" s="10" customFormat="1" x14ac:dyDescent="0.25"/>
    <row r="562" s="10" customFormat="1" x14ac:dyDescent="0.25"/>
    <row r="563" s="10" customFormat="1" x14ac:dyDescent="0.25"/>
    <row r="564" s="10" customFormat="1" x14ac:dyDescent="0.25"/>
    <row r="565" s="10" customFormat="1" x14ac:dyDescent="0.25"/>
    <row r="566" s="10" customFormat="1" x14ac:dyDescent="0.25"/>
    <row r="567" s="10" customFormat="1" x14ac:dyDescent="0.25"/>
    <row r="568" s="10" customFormat="1" x14ac:dyDescent="0.25"/>
    <row r="569" s="10" customFormat="1" x14ac:dyDescent="0.25"/>
    <row r="570" s="10" customFormat="1" x14ac:dyDescent="0.25"/>
    <row r="571" s="10" customFormat="1" x14ac:dyDescent="0.25"/>
    <row r="572" s="10" customFormat="1" x14ac:dyDescent="0.25"/>
    <row r="573" s="10" customFormat="1" x14ac:dyDescent="0.25"/>
    <row r="574" s="10" customFormat="1" x14ac:dyDescent="0.25"/>
    <row r="575" s="10" customFormat="1" x14ac:dyDescent="0.25"/>
    <row r="576" s="10" customFormat="1" x14ac:dyDescent="0.25"/>
    <row r="577" s="10" customFormat="1" x14ac:dyDescent="0.25"/>
    <row r="578" s="10" customFormat="1" x14ac:dyDescent="0.25"/>
    <row r="579" s="10" customFormat="1" x14ac:dyDescent="0.25"/>
    <row r="580" s="10" customFormat="1" x14ac:dyDescent="0.25"/>
    <row r="581" s="10" customFormat="1" x14ac:dyDescent="0.25"/>
    <row r="582" s="10" customFormat="1" x14ac:dyDescent="0.25"/>
    <row r="583" s="10" customFormat="1" x14ac:dyDescent="0.25"/>
    <row r="584" s="10" customFormat="1" x14ac:dyDescent="0.25"/>
    <row r="585" s="10" customFormat="1" x14ac:dyDescent="0.25"/>
    <row r="586" s="10" customFormat="1" x14ac:dyDescent="0.25"/>
    <row r="587" s="10" customFormat="1" x14ac:dyDescent="0.25"/>
    <row r="588" s="10" customFormat="1" x14ac:dyDescent="0.25"/>
    <row r="589" s="10" customFormat="1" x14ac:dyDescent="0.25"/>
    <row r="590" s="10" customFormat="1" x14ac:dyDescent="0.25"/>
    <row r="591" s="10" customFormat="1" x14ac:dyDescent="0.25"/>
    <row r="592" s="10" customFormat="1" x14ac:dyDescent="0.25"/>
    <row r="593" s="10" customFormat="1" x14ac:dyDescent="0.25"/>
    <row r="594" s="10" customFormat="1" x14ac:dyDescent="0.25"/>
    <row r="595" s="10" customFormat="1" x14ac:dyDescent="0.25"/>
    <row r="596" s="10" customFormat="1" x14ac:dyDescent="0.25"/>
    <row r="597" s="10" customFormat="1" x14ac:dyDescent="0.25"/>
    <row r="598" s="10" customFormat="1" x14ac:dyDescent="0.25"/>
    <row r="599" s="10" customFormat="1" x14ac:dyDescent="0.25"/>
    <row r="600" s="10" customFormat="1" x14ac:dyDescent="0.25"/>
    <row r="601" s="10" customFormat="1" x14ac:dyDescent="0.25"/>
    <row r="602" s="10" customFormat="1" x14ac:dyDescent="0.25"/>
    <row r="603" s="10" customFormat="1" x14ac:dyDescent="0.25"/>
    <row r="604" s="10" customFormat="1" x14ac:dyDescent="0.25"/>
    <row r="605" s="10" customFormat="1" x14ac:dyDescent="0.25"/>
    <row r="606" s="10" customFormat="1" x14ac:dyDescent="0.25"/>
    <row r="607" s="10" customFormat="1" x14ac:dyDescent="0.25"/>
    <row r="608" s="10" customFormat="1" x14ac:dyDescent="0.25"/>
    <row r="609" s="10" customFormat="1" x14ac:dyDescent="0.25"/>
    <row r="610" s="10" customFormat="1" x14ac:dyDescent="0.25"/>
    <row r="611" s="10" customFormat="1" x14ac:dyDescent="0.25"/>
    <row r="612" s="10" customFormat="1" x14ac:dyDescent="0.25"/>
    <row r="613" s="10" customFormat="1" x14ac:dyDescent="0.25"/>
    <row r="614" s="10" customFormat="1" x14ac:dyDescent="0.25"/>
    <row r="615" s="10" customFormat="1" x14ac:dyDescent="0.25"/>
    <row r="616" s="10" customFormat="1" x14ac:dyDescent="0.25"/>
    <row r="617" s="10" customFormat="1" x14ac:dyDescent="0.25"/>
    <row r="618" s="10" customFormat="1" x14ac:dyDescent="0.25"/>
    <row r="619" s="10" customFormat="1" x14ac:dyDescent="0.25"/>
    <row r="620" s="10" customFormat="1" x14ac:dyDescent="0.25"/>
    <row r="621" s="10" customFormat="1" x14ac:dyDescent="0.25"/>
    <row r="622" s="10" customFormat="1" x14ac:dyDescent="0.25"/>
    <row r="623" s="10" customFormat="1" x14ac:dyDescent="0.25"/>
    <row r="624" s="10" customFormat="1" x14ac:dyDescent="0.25"/>
    <row r="625" s="10" customFormat="1" x14ac:dyDescent="0.25"/>
    <row r="626" s="10" customFormat="1" x14ac:dyDescent="0.25"/>
    <row r="627" s="10" customFormat="1" x14ac:dyDescent="0.25"/>
    <row r="628" s="10" customFormat="1" x14ac:dyDescent="0.25"/>
    <row r="629" s="10" customFormat="1" x14ac:dyDescent="0.25"/>
    <row r="630" s="10" customFormat="1" x14ac:dyDescent="0.25"/>
    <row r="631" s="10" customFormat="1" x14ac:dyDescent="0.25"/>
    <row r="632" s="10" customFormat="1" x14ac:dyDescent="0.25"/>
    <row r="633" s="10" customFormat="1" x14ac:dyDescent="0.25"/>
    <row r="634" s="10" customFormat="1" x14ac:dyDescent="0.25"/>
    <row r="635" s="10" customFormat="1" x14ac:dyDescent="0.25"/>
    <row r="636" s="10" customFormat="1" x14ac:dyDescent="0.25"/>
    <row r="637" s="10" customFormat="1" x14ac:dyDescent="0.25"/>
    <row r="638" s="10" customFormat="1" x14ac:dyDescent="0.25"/>
    <row r="639" s="10" customFormat="1" x14ac:dyDescent="0.25"/>
    <row r="640" s="10" customFormat="1" x14ac:dyDescent="0.25"/>
    <row r="641" s="10" customFormat="1" x14ac:dyDescent="0.25"/>
    <row r="642" s="10" customFormat="1" x14ac:dyDescent="0.25"/>
    <row r="643" s="10" customFormat="1" x14ac:dyDescent="0.25"/>
    <row r="644" s="10" customFormat="1" x14ac:dyDescent="0.25"/>
    <row r="645" s="10" customFormat="1" x14ac:dyDescent="0.25"/>
    <row r="646" s="10" customFormat="1" x14ac:dyDescent="0.25"/>
    <row r="647" s="10" customFormat="1" x14ac:dyDescent="0.25"/>
    <row r="648" s="10" customFormat="1" x14ac:dyDescent="0.25"/>
    <row r="649" s="10" customFormat="1" x14ac:dyDescent="0.25"/>
    <row r="650" s="10" customFormat="1" x14ac:dyDescent="0.25"/>
    <row r="651" s="10" customFormat="1" x14ac:dyDescent="0.25"/>
    <row r="652" s="10" customFormat="1" x14ac:dyDescent="0.25"/>
    <row r="653" s="10" customFormat="1" x14ac:dyDescent="0.25"/>
    <row r="654" s="10" customFormat="1" x14ac:dyDescent="0.25"/>
    <row r="655" s="10" customFormat="1" x14ac:dyDescent="0.25"/>
    <row r="656" s="10" customFormat="1" x14ac:dyDescent="0.25"/>
    <row r="657" s="10" customFormat="1" x14ac:dyDescent="0.25"/>
    <row r="658" s="10" customFormat="1" x14ac:dyDescent="0.25"/>
    <row r="659" s="10" customFormat="1" x14ac:dyDescent="0.25"/>
    <row r="660" s="10" customFormat="1" x14ac:dyDescent="0.25"/>
    <row r="661" s="10" customFormat="1" x14ac:dyDescent="0.25"/>
    <row r="662" s="10" customFormat="1" x14ac:dyDescent="0.25"/>
    <row r="663" s="10" customFormat="1" x14ac:dyDescent="0.25"/>
    <row r="664" s="10" customFormat="1" x14ac:dyDescent="0.25"/>
    <row r="665" s="10" customFormat="1" x14ac:dyDescent="0.25"/>
    <row r="666" s="10" customFormat="1" x14ac:dyDescent="0.25"/>
    <row r="667" s="10" customFormat="1" x14ac:dyDescent="0.25"/>
    <row r="668" s="10" customFormat="1" x14ac:dyDescent="0.25"/>
    <row r="669" s="10" customFormat="1" x14ac:dyDescent="0.25"/>
    <row r="670" s="10" customFormat="1" x14ac:dyDescent="0.25"/>
    <row r="671" s="10" customFormat="1" x14ac:dyDescent="0.25"/>
    <row r="672" s="10" customFormat="1" x14ac:dyDescent="0.25"/>
    <row r="673" s="10" customFormat="1" x14ac:dyDescent="0.25"/>
    <row r="674" s="10" customFormat="1" x14ac:dyDescent="0.25"/>
    <row r="675" s="10" customFormat="1" x14ac:dyDescent="0.25"/>
    <row r="676" s="10" customFormat="1" x14ac:dyDescent="0.25"/>
    <row r="677" s="10" customFormat="1" x14ac:dyDescent="0.25"/>
    <row r="678" s="10" customFormat="1" x14ac:dyDescent="0.25"/>
    <row r="679" s="10" customFormat="1" x14ac:dyDescent="0.25"/>
    <row r="680" s="10" customFormat="1" x14ac:dyDescent="0.25"/>
    <row r="681" s="10" customFormat="1" x14ac:dyDescent="0.25"/>
    <row r="682" s="10" customFormat="1" x14ac:dyDescent="0.25"/>
    <row r="683" s="10" customFormat="1" x14ac:dyDescent="0.25"/>
    <row r="684" s="10" customFormat="1" x14ac:dyDescent="0.25"/>
    <row r="685" s="10" customFormat="1" x14ac:dyDescent="0.25"/>
    <row r="686" s="10" customFormat="1" x14ac:dyDescent="0.25"/>
    <row r="687" s="10" customFormat="1" x14ac:dyDescent="0.25"/>
    <row r="688" s="10" customFormat="1" x14ac:dyDescent="0.25"/>
    <row r="689" s="10" customFormat="1" x14ac:dyDescent="0.25"/>
    <row r="690" s="10" customFormat="1" x14ac:dyDescent="0.25"/>
    <row r="691" s="10" customFormat="1" x14ac:dyDescent="0.25"/>
    <row r="692" s="10" customFormat="1" x14ac:dyDescent="0.25"/>
    <row r="693" s="10" customFormat="1" x14ac:dyDescent="0.25"/>
    <row r="694" s="10" customFormat="1" x14ac:dyDescent="0.25"/>
    <row r="695" s="10" customFormat="1" x14ac:dyDescent="0.25"/>
    <row r="696" s="10" customFormat="1" x14ac:dyDescent="0.25"/>
    <row r="697" s="10" customFormat="1" x14ac:dyDescent="0.25"/>
    <row r="698" s="10" customFormat="1" x14ac:dyDescent="0.25"/>
    <row r="699" s="10" customFormat="1" x14ac:dyDescent="0.25"/>
    <row r="700" s="10" customFormat="1" x14ac:dyDescent="0.25"/>
    <row r="701" s="10" customFormat="1" x14ac:dyDescent="0.25"/>
    <row r="702" s="10" customFormat="1" x14ac:dyDescent="0.25"/>
    <row r="703" s="10" customFormat="1" x14ac:dyDescent="0.25"/>
    <row r="704" s="10" customFormat="1" x14ac:dyDescent="0.25"/>
    <row r="705" s="10" customFormat="1" x14ac:dyDescent="0.25"/>
    <row r="706" s="10" customFormat="1" x14ac:dyDescent="0.25"/>
    <row r="707" s="10" customFormat="1" x14ac:dyDescent="0.25"/>
    <row r="708" s="10" customFormat="1" x14ac:dyDescent="0.25"/>
    <row r="709" s="10" customFormat="1" x14ac:dyDescent="0.25"/>
    <row r="710" s="10" customFormat="1" x14ac:dyDescent="0.25"/>
    <row r="711" s="10" customFormat="1" x14ac:dyDescent="0.25"/>
    <row r="712" s="10" customFormat="1" x14ac:dyDescent="0.25"/>
    <row r="713" s="10" customFormat="1" x14ac:dyDescent="0.25"/>
    <row r="714" s="10" customFormat="1" x14ac:dyDescent="0.25"/>
    <row r="715" s="10" customFormat="1" x14ac:dyDescent="0.25"/>
    <row r="716" s="10" customFormat="1" x14ac:dyDescent="0.25"/>
    <row r="717" s="10" customFormat="1" x14ac:dyDescent="0.25"/>
    <row r="718" s="10" customFormat="1" x14ac:dyDescent="0.25"/>
    <row r="719" s="10" customFormat="1" x14ac:dyDescent="0.25"/>
    <row r="720" s="10" customFormat="1" x14ac:dyDescent="0.25"/>
    <row r="721" s="10" customFormat="1" x14ac:dyDescent="0.25"/>
    <row r="722" s="10" customFormat="1" x14ac:dyDescent="0.25"/>
    <row r="723" s="10" customFormat="1" x14ac:dyDescent="0.25"/>
    <row r="724" s="10" customFormat="1" x14ac:dyDescent="0.25"/>
    <row r="725" s="10" customFormat="1" x14ac:dyDescent="0.25"/>
    <row r="726" s="10" customFormat="1" x14ac:dyDescent="0.25"/>
    <row r="727" s="10" customFormat="1" x14ac:dyDescent="0.25"/>
    <row r="728" s="10" customFormat="1" x14ac:dyDescent="0.25"/>
    <row r="729" s="10" customFormat="1" x14ac:dyDescent="0.25"/>
    <row r="730" s="10" customFormat="1" x14ac:dyDescent="0.25"/>
    <row r="731" s="10" customFormat="1" x14ac:dyDescent="0.25"/>
    <row r="732" s="10" customFormat="1" x14ac:dyDescent="0.25"/>
    <row r="733" s="10" customFormat="1" x14ac:dyDescent="0.25"/>
    <row r="734" s="10" customFormat="1" x14ac:dyDescent="0.25"/>
    <row r="735" s="10" customFormat="1" x14ac:dyDescent="0.25"/>
    <row r="736" s="10" customFormat="1" x14ac:dyDescent="0.25"/>
    <row r="737" s="10" customFormat="1" x14ac:dyDescent="0.25"/>
    <row r="738" s="10" customFormat="1" x14ac:dyDescent="0.25"/>
    <row r="739" s="10" customFormat="1" x14ac:dyDescent="0.25"/>
    <row r="740" s="10" customFormat="1" x14ac:dyDescent="0.25"/>
    <row r="741" s="10" customFormat="1" x14ac:dyDescent="0.25"/>
    <row r="742" s="10" customFormat="1" x14ac:dyDescent="0.25"/>
    <row r="743" s="10" customFormat="1" x14ac:dyDescent="0.25"/>
    <row r="744" s="10" customFormat="1" x14ac:dyDescent="0.25"/>
    <row r="745" s="10" customFormat="1" x14ac:dyDescent="0.25"/>
    <row r="746" s="10" customFormat="1" x14ac:dyDescent="0.25"/>
    <row r="747" s="10" customFormat="1" x14ac:dyDescent="0.25"/>
    <row r="748" s="10" customFormat="1" x14ac:dyDescent="0.25"/>
    <row r="749" s="10" customFormat="1" x14ac:dyDescent="0.25"/>
    <row r="750" s="10" customFormat="1" x14ac:dyDescent="0.25"/>
    <row r="751" s="10" customFormat="1" x14ac:dyDescent="0.25"/>
    <row r="752" s="10" customFormat="1" x14ac:dyDescent="0.25"/>
    <row r="753" s="10" customFormat="1" x14ac:dyDescent="0.25"/>
    <row r="754" s="10" customFormat="1" x14ac:dyDescent="0.25"/>
    <row r="755" s="10" customFormat="1" x14ac:dyDescent="0.25"/>
    <row r="756" s="10" customFormat="1" x14ac:dyDescent="0.25"/>
    <row r="757" s="10" customFormat="1" x14ac:dyDescent="0.25"/>
    <row r="758" s="10" customFormat="1" x14ac:dyDescent="0.25"/>
    <row r="759" s="10" customFormat="1" x14ac:dyDescent="0.25"/>
    <row r="760" s="10" customFormat="1" x14ac:dyDescent="0.25"/>
    <row r="761" s="10" customFormat="1" x14ac:dyDescent="0.25"/>
    <row r="762" s="10" customFormat="1" x14ac:dyDescent="0.25"/>
    <row r="763" s="10" customFormat="1" x14ac:dyDescent="0.25"/>
    <row r="764" s="10" customFormat="1" x14ac:dyDescent="0.25"/>
    <row r="765" s="10" customFormat="1" x14ac:dyDescent="0.25"/>
    <row r="766" s="10" customFormat="1" x14ac:dyDescent="0.25"/>
    <row r="767" s="10" customFormat="1" x14ac:dyDescent="0.25"/>
    <row r="768" s="10" customFormat="1" x14ac:dyDescent="0.25"/>
    <row r="769" s="10" customFormat="1" x14ac:dyDescent="0.25"/>
    <row r="770" s="10" customFormat="1" x14ac:dyDescent="0.25"/>
    <row r="771" s="10" customFormat="1" x14ac:dyDescent="0.25"/>
    <row r="772" s="10" customFormat="1" x14ac:dyDescent="0.25"/>
    <row r="773" s="10" customFormat="1" x14ac:dyDescent="0.25"/>
    <row r="774" s="10" customFormat="1" x14ac:dyDescent="0.25"/>
    <row r="775" s="10" customFormat="1" x14ac:dyDescent="0.25"/>
    <row r="776" s="10" customFormat="1" x14ac:dyDescent="0.25"/>
    <row r="777" s="10" customFormat="1" x14ac:dyDescent="0.25"/>
    <row r="778" s="10" customFormat="1" x14ac:dyDescent="0.25"/>
    <row r="779" s="10" customFormat="1" x14ac:dyDescent="0.25"/>
    <row r="780" s="10" customFormat="1" x14ac:dyDescent="0.25"/>
    <row r="781" s="10" customFormat="1" x14ac:dyDescent="0.25"/>
    <row r="782" s="10" customFormat="1" x14ac:dyDescent="0.25"/>
    <row r="783" s="10" customFormat="1" x14ac:dyDescent="0.25"/>
    <row r="784" s="10" customFormat="1" x14ac:dyDescent="0.25"/>
    <row r="785" s="10" customFormat="1" x14ac:dyDescent="0.25"/>
    <row r="786" s="10" customFormat="1" x14ac:dyDescent="0.25"/>
    <row r="787" s="10" customFormat="1" x14ac:dyDescent="0.25"/>
    <row r="788" s="10" customFormat="1" x14ac:dyDescent="0.25"/>
    <row r="789" s="10" customFormat="1" x14ac:dyDescent="0.25"/>
    <row r="790" s="10" customFormat="1" x14ac:dyDescent="0.25"/>
    <row r="791" s="10" customFormat="1" x14ac:dyDescent="0.25"/>
    <row r="792" s="10" customFormat="1" x14ac:dyDescent="0.25"/>
    <row r="793" s="10" customFormat="1" x14ac:dyDescent="0.25"/>
    <row r="794" s="10" customFormat="1" x14ac:dyDescent="0.25"/>
    <row r="795" s="10" customFormat="1" x14ac:dyDescent="0.25"/>
    <row r="796" s="10" customFormat="1" x14ac:dyDescent="0.25"/>
    <row r="797" s="10" customFormat="1" x14ac:dyDescent="0.25"/>
    <row r="798" s="10" customFormat="1" x14ac:dyDescent="0.25"/>
    <row r="799" s="10" customFormat="1" x14ac:dyDescent="0.25"/>
    <row r="800" s="10" customFormat="1" x14ac:dyDescent="0.25"/>
    <row r="801" s="10" customFormat="1" x14ac:dyDescent="0.25"/>
    <row r="802" s="10" customFormat="1" x14ac:dyDescent="0.25"/>
    <row r="803" s="10" customFormat="1" x14ac:dyDescent="0.25"/>
    <row r="804" s="10" customFormat="1" x14ac:dyDescent="0.25"/>
    <row r="805" s="10" customFormat="1" x14ac:dyDescent="0.25"/>
    <row r="806" s="10" customFormat="1" x14ac:dyDescent="0.25"/>
    <row r="807" s="10" customFormat="1" x14ac:dyDescent="0.25"/>
    <row r="808" s="10" customFormat="1" x14ac:dyDescent="0.25"/>
    <row r="809" s="10" customFormat="1" x14ac:dyDescent="0.25"/>
    <row r="810" s="10" customFormat="1" x14ac:dyDescent="0.25"/>
    <row r="811" s="10" customFormat="1" x14ac:dyDescent="0.25"/>
    <row r="812" s="10" customFormat="1" x14ac:dyDescent="0.25"/>
    <row r="813" s="10" customFormat="1" x14ac:dyDescent="0.25"/>
    <row r="814" s="10" customFormat="1" x14ac:dyDescent="0.25"/>
    <row r="815" s="10" customFormat="1" x14ac:dyDescent="0.25"/>
    <row r="816" s="10" customFormat="1" x14ac:dyDescent="0.25"/>
    <row r="817" s="10" customFormat="1" x14ac:dyDescent="0.25"/>
    <row r="818" s="10" customFormat="1" x14ac:dyDescent="0.25"/>
    <row r="819" s="10" customFormat="1" x14ac:dyDescent="0.25"/>
    <row r="820" s="10" customFormat="1" x14ac:dyDescent="0.25"/>
    <row r="821" s="10" customFormat="1" x14ac:dyDescent="0.25"/>
    <row r="822" s="10" customFormat="1" x14ac:dyDescent="0.25"/>
    <row r="823" s="10" customFormat="1" x14ac:dyDescent="0.25"/>
    <row r="824" s="10" customFormat="1" x14ac:dyDescent="0.25"/>
    <row r="825" s="10" customFormat="1" x14ac:dyDescent="0.25"/>
    <row r="826" s="10" customFormat="1" x14ac:dyDescent="0.25"/>
    <row r="827" s="10" customFormat="1" x14ac:dyDescent="0.25"/>
    <row r="828" s="10" customFormat="1" x14ac:dyDescent="0.25"/>
    <row r="829" s="10" customFormat="1" x14ac:dyDescent="0.25"/>
    <row r="830" s="10" customFormat="1" x14ac:dyDescent="0.25"/>
    <row r="831" s="10" customFormat="1" x14ac:dyDescent="0.25"/>
    <row r="832" s="10" customFormat="1" x14ac:dyDescent="0.25"/>
    <row r="833" s="10" customFormat="1" x14ac:dyDescent="0.25"/>
    <row r="834" s="10" customFormat="1" x14ac:dyDescent="0.25"/>
    <row r="835" s="10" customFormat="1" x14ac:dyDescent="0.25"/>
    <row r="836" s="10" customFormat="1" x14ac:dyDescent="0.25"/>
    <row r="837" s="10" customFormat="1" x14ac:dyDescent="0.25"/>
    <row r="838" s="10" customFormat="1" x14ac:dyDescent="0.25"/>
    <row r="839" s="10" customFormat="1" x14ac:dyDescent="0.25"/>
    <row r="840" s="10" customFormat="1" x14ac:dyDescent="0.25"/>
    <row r="841" s="10" customFormat="1" x14ac:dyDescent="0.25"/>
    <row r="842" s="10" customFormat="1" x14ac:dyDescent="0.25"/>
    <row r="843" s="10" customFormat="1" x14ac:dyDescent="0.25"/>
    <row r="844" s="10" customFormat="1" x14ac:dyDescent="0.25"/>
    <row r="845" s="10" customFormat="1" x14ac:dyDescent="0.25"/>
    <row r="846" s="10" customFormat="1" x14ac:dyDescent="0.25"/>
    <row r="847" s="10" customFormat="1" x14ac:dyDescent="0.25"/>
    <row r="848" s="10" customFormat="1" x14ac:dyDescent="0.25"/>
    <row r="849" s="10" customFormat="1" x14ac:dyDescent="0.25"/>
    <row r="850" s="10" customFormat="1" x14ac:dyDescent="0.25"/>
    <row r="851" s="10" customFormat="1" x14ac:dyDescent="0.25"/>
    <row r="852" s="10" customFormat="1" x14ac:dyDescent="0.25"/>
    <row r="853" s="10" customFormat="1" x14ac:dyDescent="0.25"/>
    <row r="854" s="10" customFormat="1" x14ac:dyDescent="0.25"/>
    <row r="855" s="10" customFormat="1" x14ac:dyDescent="0.25"/>
    <row r="856" s="10" customFormat="1" x14ac:dyDescent="0.25"/>
    <row r="857" s="10" customFormat="1" x14ac:dyDescent="0.25"/>
    <row r="858" s="10" customFormat="1" x14ac:dyDescent="0.25"/>
    <row r="859" s="10" customFormat="1" x14ac:dyDescent="0.25"/>
    <row r="860" s="10" customFormat="1" x14ac:dyDescent="0.25"/>
    <row r="861" s="10" customFormat="1" x14ac:dyDescent="0.25"/>
    <row r="862" s="10" customFormat="1" x14ac:dyDescent="0.25"/>
    <row r="863" s="10" customFormat="1" x14ac:dyDescent="0.25"/>
    <row r="864" s="10" customFormat="1" x14ac:dyDescent="0.25"/>
    <row r="865" s="10" customFormat="1" x14ac:dyDescent="0.25"/>
    <row r="866" s="10" customFormat="1" x14ac:dyDescent="0.25"/>
    <row r="867" s="10" customFormat="1" x14ac:dyDescent="0.25"/>
    <row r="868" s="10" customFormat="1" x14ac:dyDescent="0.25"/>
    <row r="869" s="10" customFormat="1" x14ac:dyDescent="0.25"/>
    <row r="870" s="10" customFormat="1" x14ac:dyDescent="0.25"/>
    <row r="871" s="10" customFormat="1" x14ac:dyDescent="0.25"/>
    <row r="872" s="10" customFormat="1" x14ac:dyDescent="0.25"/>
    <row r="873" s="10" customFormat="1" x14ac:dyDescent="0.25"/>
    <row r="874" s="10" customFormat="1" x14ac:dyDescent="0.25"/>
    <row r="875" s="10" customFormat="1" x14ac:dyDescent="0.25"/>
    <row r="876" s="10" customFormat="1" x14ac:dyDescent="0.25"/>
    <row r="877" s="10" customFormat="1" x14ac:dyDescent="0.25"/>
    <row r="878" s="10" customFormat="1" x14ac:dyDescent="0.25"/>
    <row r="879" s="10" customFormat="1" x14ac:dyDescent="0.25"/>
    <row r="880" s="10" customFormat="1" x14ac:dyDescent="0.25"/>
    <row r="881" s="10" customFormat="1" x14ac:dyDescent="0.25"/>
    <row r="882" s="10" customFormat="1" x14ac:dyDescent="0.25"/>
    <row r="883" s="10" customFormat="1" x14ac:dyDescent="0.25"/>
    <row r="884" s="10" customFormat="1" x14ac:dyDescent="0.25"/>
    <row r="885" s="10" customFormat="1" x14ac:dyDescent="0.25"/>
    <row r="886" s="10" customFormat="1" x14ac:dyDescent="0.25"/>
    <row r="887" s="10" customFormat="1" x14ac:dyDescent="0.25"/>
    <row r="888" s="10" customFormat="1" x14ac:dyDescent="0.25"/>
    <row r="889" s="10" customFormat="1" x14ac:dyDescent="0.25"/>
    <row r="890" s="10" customFormat="1" x14ac:dyDescent="0.25"/>
    <row r="891" s="10" customFormat="1" x14ac:dyDescent="0.25"/>
    <row r="892" s="10" customFormat="1" x14ac:dyDescent="0.25"/>
    <row r="893" s="10" customFormat="1" x14ac:dyDescent="0.25"/>
    <row r="894" s="10" customFormat="1" x14ac:dyDescent="0.25"/>
    <row r="895" s="10" customFormat="1" x14ac:dyDescent="0.25"/>
    <row r="896" s="10" customFormat="1" x14ac:dyDescent="0.25"/>
    <row r="897" s="10" customFormat="1" x14ac:dyDescent="0.25"/>
    <row r="898" s="10" customFormat="1" x14ac:dyDescent="0.25"/>
    <row r="899" s="10" customFormat="1" x14ac:dyDescent="0.25"/>
    <row r="900" s="10" customFormat="1" x14ac:dyDescent="0.25"/>
    <row r="901" s="10" customFormat="1" x14ac:dyDescent="0.25"/>
    <row r="902" s="10" customFormat="1" x14ac:dyDescent="0.25"/>
    <row r="903" s="10" customFormat="1" x14ac:dyDescent="0.25"/>
    <row r="904" s="10" customFormat="1" x14ac:dyDescent="0.25"/>
    <row r="905" s="10" customFormat="1" x14ac:dyDescent="0.25"/>
    <row r="906" s="10" customFormat="1" x14ac:dyDescent="0.25"/>
    <row r="907" s="10" customFormat="1" x14ac:dyDescent="0.25"/>
    <row r="908" s="10" customFormat="1" x14ac:dyDescent="0.25"/>
    <row r="909" s="10" customFormat="1" x14ac:dyDescent="0.25"/>
    <row r="910" s="10" customFormat="1" x14ac:dyDescent="0.25"/>
    <row r="911" s="10" customFormat="1" x14ac:dyDescent="0.25"/>
    <row r="912" s="10" customFormat="1" x14ac:dyDescent="0.25"/>
    <row r="913" s="10" customFormat="1" x14ac:dyDescent="0.25"/>
    <row r="914" s="10" customFormat="1" x14ac:dyDescent="0.25"/>
    <row r="915" s="10" customFormat="1" x14ac:dyDescent="0.25"/>
    <row r="916" s="10" customFormat="1" x14ac:dyDescent="0.25"/>
    <row r="917" s="10" customFormat="1" x14ac:dyDescent="0.25"/>
    <row r="918" s="10" customFormat="1" x14ac:dyDescent="0.25"/>
    <row r="919" s="10" customFormat="1" x14ac:dyDescent="0.25"/>
    <row r="920" s="10" customFormat="1" x14ac:dyDescent="0.25"/>
    <row r="921" s="10" customFormat="1" x14ac:dyDescent="0.25"/>
    <row r="922" s="10" customFormat="1" x14ac:dyDescent="0.25"/>
    <row r="923" s="10" customFormat="1" x14ac:dyDescent="0.25"/>
    <row r="924" s="10" customFormat="1" x14ac:dyDescent="0.25"/>
    <row r="925" s="10" customFormat="1" x14ac:dyDescent="0.25"/>
    <row r="926" s="10" customFormat="1" x14ac:dyDescent="0.25"/>
    <row r="927" s="10" customFormat="1" x14ac:dyDescent="0.25"/>
    <row r="928" s="10" customFormat="1" x14ac:dyDescent="0.25"/>
    <row r="929" s="10" customFormat="1" x14ac:dyDescent="0.25"/>
    <row r="930" s="10" customFormat="1" x14ac:dyDescent="0.25"/>
    <row r="931" s="10" customFormat="1" x14ac:dyDescent="0.25"/>
    <row r="932" s="10" customFormat="1" x14ac:dyDescent="0.25"/>
    <row r="933" s="10" customFormat="1" x14ac:dyDescent="0.25"/>
    <row r="934" s="10" customFormat="1" x14ac:dyDescent="0.25"/>
    <row r="935" s="10" customFormat="1" x14ac:dyDescent="0.25"/>
    <row r="936" s="10" customFormat="1" x14ac:dyDescent="0.25"/>
    <row r="937" s="10" customFormat="1" x14ac:dyDescent="0.25"/>
    <row r="938" s="10" customFormat="1" x14ac:dyDescent="0.25"/>
    <row r="939" s="10" customFormat="1" x14ac:dyDescent="0.25"/>
    <row r="940" s="10" customFormat="1" x14ac:dyDescent="0.25"/>
    <row r="941" s="10" customFormat="1" x14ac:dyDescent="0.25"/>
    <row r="942" s="10" customFormat="1" x14ac:dyDescent="0.25"/>
    <row r="943" s="10" customFormat="1" x14ac:dyDescent="0.25"/>
    <row r="944" s="10" customFormat="1" x14ac:dyDescent="0.25"/>
    <row r="945" s="10" customFormat="1" x14ac:dyDescent="0.25"/>
    <row r="946" s="10" customFormat="1" x14ac:dyDescent="0.25"/>
    <row r="947" s="10" customFormat="1" x14ac:dyDescent="0.25"/>
    <row r="948" s="10" customFormat="1" x14ac:dyDescent="0.25"/>
    <row r="949" s="10" customFormat="1" x14ac:dyDescent="0.25"/>
    <row r="950" s="10" customFormat="1" x14ac:dyDescent="0.25"/>
    <row r="951" s="10" customFormat="1" x14ac:dyDescent="0.25"/>
    <row r="952" s="10" customFormat="1" x14ac:dyDescent="0.25"/>
    <row r="953" s="10" customFormat="1" x14ac:dyDescent="0.25"/>
    <row r="954" s="10" customFormat="1" x14ac:dyDescent="0.25"/>
    <row r="955" s="10" customFormat="1" x14ac:dyDescent="0.25"/>
    <row r="956" s="10" customFormat="1" x14ac:dyDescent="0.25"/>
    <row r="957" s="10" customFormat="1" x14ac:dyDescent="0.25"/>
    <row r="958" s="10" customFormat="1" x14ac:dyDescent="0.25"/>
    <row r="959" s="10" customFormat="1" x14ac:dyDescent="0.25"/>
    <row r="960" s="10" customFormat="1" x14ac:dyDescent="0.25"/>
    <row r="961" s="10" customFormat="1" x14ac:dyDescent="0.25"/>
    <row r="962" s="10" customFormat="1" x14ac:dyDescent="0.25"/>
    <row r="963" s="10" customFormat="1" x14ac:dyDescent="0.25"/>
    <row r="964" s="10" customFormat="1" x14ac:dyDescent="0.25"/>
    <row r="965" s="10" customFormat="1" x14ac:dyDescent="0.25"/>
    <row r="966" s="10" customFormat="1" x14ac:dyDescent="0.25"/>
    <row r="967" s="10" customFormat="1" x14ac:dyDescent="0.25"/>
    <row r="968" s="10" customFormat="1" x14ac:dyDescent="0.25"/>
    <row r="969" s="10" customFormat="1" x14ac:dyDescent="0.25"/>
    <row r="970" s="10" customFormat="1" x14ac:dyDescent="0.25"/>
    <row r="971" s="10" customFormat="1" x14ac:dyDescent="0.25"/>
    <row r="972" s="10" customFormat="1" x14ac:dyDescent="0.25"/>
    <row r="973" s="10" customFormat="1" x14ac:dyDescent="0.25"/>
    <row r="974" s="10" customFormat="1" x14ac:dyDescent="0.25"/>
    <row r="975" s="10" customFormat="1" x14ac:dyDescent="0.25"/>
    <row r="976" s="10" customFormat="1" x14ac:dyDescent="0.25"/>
    <row r="977" s="10" customFormat="1" x14ac:dyDescent="0.25"/>
    <row r="978" s="10" customFormat="1" x14ac:dyDescent="0.25"/>
    <row r="979" s="10" customFormat="1" x14ac:dyDescent="0.25"/>
    <row r="980" s="10" customFormat="1" x14ac:dyDescent="0.25"/>
    <row r="981" s="10" customFormat="1" x14ac:dyDescent="0.25"/>
    <row r="982" s="10" customFormat="1" x14ac:dyDescent="0.25"/>
    <row r="983" s="10" customFormat="1" x14ac:dyDescent="0.25"/>
    <row r="984" s="10" customFormat="1" x14ac:dyDescent="0.25"/>
    <row r="985" s="10" customFormat="1" x14ac:dyDescent="0.25"/>
    <row r="986" s="10" customFormat="1" x14ac:dyDescent="0.25"/>
    <row r="987" s="10" customFormat="1" x14ac:dyDescent="0.25"/>
    <row r="988" s="10" customFormat="1" x14ac:dyDescent="0.25"/>
    <row r="989" s="10" customFormat="1" x14ac:dyDescent="0.25"/>
    <row r="990" s="10" customFormat="1" x14ac:dyDescent="0.25"/>
    <row r="991" s="10" customFormat="1" x14ac:dyDescent="0.25"/>
    <row r="992" s="10" customFormat="1" x14ac:dyDescent="0.25"/>
    <row r="993" spans="15:42" s="10" customFormat="1" x14ac:dyDescent="0.25"/>
    <row r="994" spans="15:42" s="10" customFormat="1" x14ac:dyDescent="0.25"/>
    <row r="995" spans="15:42" s="10" customFormat="1" x14ac:dyDescent="0.25"/>
    <row r="996" spans="15:42" s="10" customFormat="1" x14ac:dyDescent="0.25"/>
    <row r="997" spans="15:42" s="10" customFormat="1" x14ac:dyDescent="0.25"/>
    <row r="998" spans="15:42" s="10" customFormat="1" x14ac:dyDescent="0.25"/>
    <row r="999" spans="15:42" s="10" customFormat="1" x14ac:dyDescent="0.25"/>
    <row r="1000" spans="15:42" s="10" customFormat="1" x14ac:dyDescent="0.25"/>
    <row r="1001" spans="15:42" s="10" customFormat="1" x14ac:dyDescent="0.25"/>
    <row r="1002" spans="15:42" s="10" customFormat="1" x14ac:dyDescent="0.25"/>
    <row r="1003" spans="15:42" s="10" customFormat="1" x14ac:dyDescent="0.25"/>
    <row r="1004" spans="15:42" s="10" customFormat="1" x14ac:dyDescent="0.25"/>
    <row r="1005" spans="15:42" s="10" customFormat="1" x14ac:dyDescent="0.25"/>
    <row r="1006" spans="15:42" x14ac:dyDescent="0.25"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</row>
    <row r="1007" spans="15:42" x14ac:dyDescent="0.25"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</row>
    <row r="1008" spans="15:42" x14ac:dyDescent="0.25"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</row>
    <row r="1009" spans="15:42" x14ac:dyDescent="0.25"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</row>
    <row r="1010" spans="15:42" x14ac:dyDescent="0.25"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</row>
    <row r="1011" spans="15:42" x14ac:dyDescent="0.25"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</row>
    <row r="1012" spans="15:42" x14ac:dyDescent="0.25"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</row>
    <row r="1013" spans="15:42" x14ac:dyDescent="0.25"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</row>
    <row r="1014" spans="15:42" x14ac:dyDescent="0.25"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</row>
    <row r="1015" spans="15:42" x14ac:dyDescent="0.25"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</row>
    <row r="1016" spans="15:42" x14ac:dyDescent="0.25"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</row>
    <row r="1017" spans="15:42" x14ac:dyDescent="0.25"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</row>
    <row r="1018" spans="15:42" x14ac:dyDescent="0.25"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</row>
    <row r="1019" spans="15:42" x14ac:dyDescent="0.25"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</row>
  </sheetData>
  <mergeCells count="6">
    <mergeCell ref="B5:K5"/>
    <mergeCell ref="O5:X5"/>
    <mergeCell ref="AC5:AL5"/>
    <mergeCell ref="O34:X34"/>
    <mergeCell ref="AC34:AL34"/>
    <mergeCell ref="R57:S5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tabSelected="1" zoomScale="80" zoomScaleNormal="80" workbookViewId="0">
      <selection activeCell="J10" sqref="J10"/>
    </sheetView>
  </sheetViews>
  <sheetFormatPr defaultRowHeight="15" x14ac:dyDescent="0.25"/>
  <sheetData>
    <row r="1" spans="1:17" x14ac:dyDescent="0.25">
      <c r="A1" t="s">
        <v>0</v>
      </c>
      <c r="B1">
        <v>0.5</v>
      </c>
      <c r="C1">
        <v>1.5</v>
      </c>
      <c r="D1">
        <v>2.5</v>
      </c>
      <c r="E1">
        <v>3.5</v>
      </c>
      <c r="F1">
        <v>4.5</v>
      </c>
      <c r="G1">
        <v>5.5</v>
      </c>
      <c r="H1">
        <v>6.5</v>
      </c>
      <c r="I1">
        <v>7.5</v>
      </c>
      <c r="J1">
        <v>8.5</v>
      </c>
      <c r="K1">
        <v>9.5</v>
      </c>
    </row>
    <row r="2" spans="1:17" x14ac:dyDescent="0.25">
      <c r="A2">
        <v>0.1</v>
      </c>
      <c r="B2" s="2">
        <v>0.41150031977078</v>
      </c>
      <c r="C2" s="2">
        <v>0.43591280906709701</v>
      </c>
      <c r="D2" s="2">
        <v>0.460639958339778</v>
      </c>
      <c r="E2" s="2">
        <v>0.47952770401090899</v>
      </c>
      <c r="F2" s="2">
        <v>0.49243263126901898</v>
      </c>
      <c r="G2" s="2">
        <v>0.50534765070800203</v>
      </c>
      <c r="H2" s="2">
        <v>0.51825553746374498</v>
      </c>
      <c r="I2" s="2">
        <v>0.51002083983109003</v>
      </c>
      <c r="J2" s="2">
        <v>0.51002083983109003</v>
      </c>
      <c r="K2" s="2">
        <v>0.51002083983109003</v>
      </c>
    </row>
    <row r="3" spans="1:17" x14ac:dyDescent="0.25">
      <c r="A3">
        <v>0.2</v>
      </c>
      <c r="B3" s="2">
        <v>0.32482358976953901</v>
      </c>
      <c r="C3" s="2">
        <v>0.37012239540388497</v>
      </c>
      <c r="D3" s="2">
        <v>0.41782904541263</v>
      </c>
      <c r="E3" s="2">
        <v>0.455556083207803</v>
      </c>
      <c r="F3" s="2">
        <v>0.48216887455894702</v>
      </c>
      <c r="G3" s="2">
        <v>0.50888321037248396</v>
      </c>
      <c r="H3" s="2">
        <v>0.53554690990134701</v>
      </c>
      <c r="I3" s="2">
        <v>0.52016750068907203</v>
      </c>
      <c r="J3" s="2">
        <v>0.52016750068907203</v>
      </c>
      <c r="K3" s="2">
        <v>0.52016750068907203</v>
      </c>
    </row>
    <row r="4" spans="1:17" x14ac:dyDescent="0.25">
      <c r="A4">
        <v>0.3</v>
      </c>
      <c r="B4" s="2">
        <v>0.24572463375128301</v>
      </c>
      <c r="C4" s="2">
        <v>0.305435590794981</v>
      </c>
      <c r="D4" s="2">
        <v>0.37249080387766997</v>
      </c>
      <c r="E4" s="2">
        <v>0.42832709966078097</v>
      </c>
      <c r="F4" s="2">
        <v>0.46930178321920202</v>
      </c>
      <c r="G4" s="2">
        <v>0.51069457007121799</v>
      </c>
      <c r="H4" s="2">
        <v>0.55194121817585895</v>
      </c>
      <c r="I4" s="2">
        <v>0.53055789729279501</v>
      </c>
      <c r="J4" s="2">
        <v>0.53055789729279501</v>
      </c>
      <c r="K4" s="2">
        <v>0.53055789729279501</v>
      </c>
      <c r="O4" t="s">
        <v>24</v>
      </c>
      <c r="Q4" t="s">
        <v>23</v>
      </c>
    </row>
    <row r="5" spans="1:17" x14ac:dyDescent="0.25">
      <c r="A5">
        <v>0.4</v>
      </c>
      <c r="B5" s="2">
        <v>0.178648221965758</v>
      </c>
      <c r="C5" s="2">
        <v>0.244986437401402</v>
      </c>
      <c r="D5" s="2">
        <v>0.326175774638302</v>
      </c>
      <c r="E5" s="2">
        <v>0.39852126484394301</v>
      </c>
      <c r="F5" s="2">
        <v>0.45417266489156399</v>
      </c>
      <c r="G5" s="2">
        <v>0.51099318640978397</v>
      </c>
      <c r="H5" s="2">
        <v>0.56753104546244004</v>
      </c>
      <c r="I5" s="2">
        <v>0.54128145002368899</v>
      </c>
      <c r="J5" s="2">
        <v>0.54128145002368899</v>
      </c>
      <c r="K5" s="2">
        <v>0.54128145002368899</v>
      </c>
      <c r="O5" t="s">
        <v>25</v>
      </c>
    </row>
    <row r="6" spans="1:17" x14ac:dyDescent="0.25">
      <c r="A6">
        <v>0.5</v>
      </c>
      <c r="B6" s="2">
        <v>0.12556409201235499</v>
      </c>
      <c r="C6" s="2">
        <v>0.19142727087448499</v>
      </c>
      <c r="D6" s="2">
        <v>0.28074631034535402</v>
      </c>
      <c r="E6" s="2">
        <v>0.36712805018174299</v>
      </c>
      <c r="F6" s="2">
        <v>0.43729515027437399</v>
      </c>
      <c r="G6" s="2">
        <v>0.51006455514718496</v>
      </c>
      <c r="H6" s="2">
        <v>0.58240990712589202</v>
      </c>
      <c r="I6" s="2">
        <v>0.55238461653357995</v>
      </c>
      <c r="J6" s="2">
        <v>0.55238461653357995</v>
      </c>
      <c r="K6" s="2">
        <v>0.55238461653357995</v>
      </c>
    </row>
    <row r="7" spans="1:17" x14ac:dyDescent="0.25">
      <c r="A7">
        <v>0.6</v>
      </c>
      <c r="B7" s="2">
        <v>8.5956048721649303E-2</v>
      </c>
      <c r="C7" s="2">
        <v>0.14628476117337699</v>
      </c>
      <c r="D7" s="2">
        <v>0.23793350836104299</v>
      </c>
      <c r="E7" s="2">
        <v>0.33521868964827201</v>
      </c>
      <c r="F7" s="2">
        <v>0.41922883179538301</v>
      </c>
      <c r="G7" s="2">
        <v>0.50819806080724805</v>
      </c>
      <c r="H7" s="2">
        <v>0.59665102786253399</v>
      </c>
      <c r="I7" s="2">
        <v>0.56387025482273501</v>
      </c>
      <c r="J7" s="2">
        <v>0.56387025482273501</v>
      </c>
      <c r="K7" s="2">
        <v>0.56387025482273501</v>
      </c>
    </row>
    <row r="8" spans="1:17" x14ac:dyDescent="0.25">
      <c r="A8">
        <v>0.7</v>
      </c>
      <c r="B8" s="2">
        <v>5.7728426313828997E-2</v>
      </c>
      <c r="C8" s="2">
        <v>0.109823637550003</v>
      </c>
      <c r="D8" s="2">
        <v>0.19900196110641399</v>
      </c>
      <c r="E8" s="2">
        <v>0.30374491997962899</v>
      </c>
      <c r="F8" s="2">
        <v>0.40047272371265102</v>
      </c>
      <c r="G8" s="2">
        <v>0.50563380927788604</v>
      </c>
      <c r="H8" s="2">
        <v>0.61029875559485902</v>
      </c>
      <c r="I8" s="2">
        <v>0.57570806605394098</v>
      </c>
      <c r="J8" s="2">
        <v>0.57570806605394098</v>
      </c>
      <c r="K8" s="2">
        <v>0.57570806605394098</v>
      </c>
    </row>
    <row r="9" spans="1:17" x14ac:dyDescent="0.25">
      <c r="A9">
        <v>0.8</v>
      </c>
      <c r="B9" s="2">
        <v>3.8268270547311599E-2</v>
      </c>
      <c r="C9" s="2">
        <v>8.1352236756347507E-2</v>
      </c>
      <c r="D9" s="2">
        <v>0.164638220284089</v>
      </c>
      <c r="E9" s="2">
        <v>0.27343634102327402</v>
      </c>
      <c r="F9" s="2">
        <v>0.38141586596736599</v>
      </c>
      <c r="G9" s="2">
        <v>0.502542834348088</v>
      </c>
      <c r="H9" s="2">
        <v>0.62337206617988095</v>
      </c>
      <c r="I9" s="2">
        <v>0.58784825438087496</v>
      </c>
      <c r="J9" s="2">
        <v>0.58784825438087496</v>
      </c>
      <c r="K9" s="2">
        <v>0.58784825438087596</v>
      </c>
    </row>
    <row r="10" spans="1:17" x14ac:dyDescent="0.25">
      <c r="A10">
        <v>0.9</v>
      </c>
      <c r="B10" s="2">
        <v>2.5153360680956201E-2</v>
      </c>
      <c r="C10" s="2">
        <v>5.9676331864612499E-2</v>
      </c>
      <c r="D10" s="2">
        <v>0.13501939458674</v>
      </c>
      <c r="E10" s="2">
        <v>0.24478823978718101</v>
      </c>
      <c r="F10" s="2">
        <v>0.36233665038874302</v>
      </c>
      <c r="G10" s="2">
        <v>0.49903280772859998</v>
      </c>
      <c r="H10" s="2">
        <v>0.63587370109255203</v>
      </c>
      <c r="I10" s="2">
        <v>0.60023259204033697</v>
      </c>
      <c r="J10" s="2">
        <v>0.60023259204033697</v>
      </c>
      <c r="K10" s="2">
        <v>0.60023259204033697</v>
      </c>
    </row>
    <row r="11" spans="1:17" x14ac:dyDescent="0.25">
      <c r="A11">
        <v>1</v>
      </c>
      <c r="B11" s="2">
        <v>1.6445012361101199E-2</v>
      </c>
      <c r="C11" s="2">
        <v>4.3473733716477003E-2</v>
      </c>
      <c r="D11" s="2">
        <v>0.10995984591590501</v>
      </c>
      <c r="E11" s="2">
        <v>0.21809717476499499</v>
      </c>
      <c r="F11" s="2">
        <v>0.34342535361829701</v>
      </c>
      <c r="G11" s="2">
        <v>0.49516428110367899</v>
      </c>
      <c r="H11" s="2">
        <v>0.64779928036409895</v>
      </c>
      <c r="I11" s="2">
        <v>0.61280130545167699</v>
      </c>
      <c r="J11" s="2">
        <v>0.61280130545167699</v>
      </c>
      <c r="K11" s="2">
        <v>0.61280130545167699</v>
      </c>
    </row>
    <row r="12" spans="1:17" x14ac:dyDescent="0.25">
      <c r="A12">
        <v>1.1000000000000001</v>
      </c>
      <c r="B12" s="2">
        <v>1.0716716693595099E-2</v>
      </c>
      <c r="C12" s="2">
        <v>3.15178531676263E-2</v>
      </c>
      <c r="D12" s="2">
        <v>8.9059256588662802E-2</v>
      </c>
      <c r="E12" s="2">
        <v>0.19350915806662</v>
      </c>
      <c r="F12" s="2">
        <v>0.32481053160242801</v>
      </c>
      <c r="G12" s="2">
        <v>0.49096725204863101</v>
      </c>
      <c r="H12" s="2">
        <v>0.65914389745911695</v>
      </c>
      <c r="I12" s="2">
        <v>0.62549664213232603</v>
      </c>
      <c r="J12" s="2">
        <v>0.62549664213232503</v>
      </c>
      <c r="K12" s="2">
        <v>0.62549664213232703</v>
      </c>
    </row>
    <row r="13" spans="1:17" x14ac:dyDescent="0.25">
      <c r="A13">
        <v>1.2</v>
      </c>
      <c r="B13" s="2">
        <v>6.9703933994259004E-3</v>
      </c>
      <c r="C13" s="2">
        <v>2.27742135611507E-2</v>
      </c>
      <c r="D13" s="2">
        <v>7.1818258470211296E-2</v>
      </c>
      <c r="E13" s="2">
        <v>0.171063258432742</v>
      </c>
      <c r="F13" s="2">
        <v>0.30658074421572701</v>
      </c>
      <c r="G13" s="2">
        <v>0.486454100380312</v>
      </c>
      <c r="H13" s="2">
        <v>0.66990599554772901</v>
      </c>
      <c r="I13" s="2">
        <v>0.63826438589817702</v>
      </c>
      <c r="J13" s="2">
        <v>0.63826438589817702</v>
      </c>
      <c r="K13" s="2">
        <v>0.63826438589817702</v>
      </c>
    </row>
    <row r="14" spans="1:17" x14ac:dyDescent="0.25">
      <c r="A14">
        <v>1.3</v>
      </c>
      <c r="B14" s="2">
        <v>4.5287435572745598E-3</v>
      </c>
      <c r="C14" s="2">
        <v>1.6418823668694099E-2</v>
      </c>
      <c r="D14" s="2">
        <v>5.7716031104595097E-2</v>
      </c>
      <c r="E14" s="2">
        <v>0.15072561755464101</v>
      </c>
      <c r="F14" s="2">
        <v>0.28879979349800999</v>
      </c>
      <c r="G14" s="2">
        <v>0.48162844187102699</v>
      </c>
      <c r="H14" s="2">
        <v>0.680089170505634</v>
      </c>
      <c r="I14" s="2">
        <v>0.65105431456683704</v>
      </c>
      <c r="J14" s="2">
        <v>0.65105431456683704</v>
      </c>
      <c r="K14" s="2">
        <v>0.65105431456683704</v>
      </c>
    </row>
    <row r="15" spans="1:17" x14ac:dyDescent="0.25">
      <c r="A15">
        <v>1.4</v>
      </c>
      <c r="B15" s="2">
        <v>2.9406003338848098E-3</v>
      </c>
      <c r="C15" s="2">
        <v>1.18185431208001E-2</v>
      </c>
      <c r="D15" s="2">
        <v>4.6256331453863597E-2</v>
      </c>
      <c r="E15" s="2">
        <v>0.13241430579487301</v>
      </c>
      <c r="F15" s="2">
        <v>0.271516390114864</v>
      </c>
      <c r="G15" s="2">
        <v>0.47649068771557801</v>
      </c>
      <c r="H15" s="2">
        <v>0.68970260967061803</v>
      </c>
      <c r="I15" s="2">
        <v>0.66382021554066795</v>
      </c>
      <c r="J15" s="2">
        <v>0.66382021554066795</v>
      </c>
      <c r="K15" s="2">
        <v>0.66382021554066895</v>
      </c>
    </row>
    <row r="16" spans="1:17" x14ac:dyDescent="0.25">
      <c r="A16">
        <v>1.5</v>
      </c>
      <c r="B16" s="2">
        <v>1.9087722273452899E-3</v>
      </c>
      <c r="C16" s="2">
        <v>8.4980476916251199E-3</v>
      </c>
      <c r="D16" s="2">
        <v>3.6991130160020397E-2</v>
      </c>
      <c r="E16" s="2">
        <v>0.116017069407315</v>
      </c>
      <c r="F16" s="2">
        <v>0.25476988185912702</v>
      </c>
      <c r="G16" s="2">
        <v>0.47104138047399502</v>
      </c>
      <c r="H16" s="2">
        <v>0.69876079523692602</v>
      </c>
      <c r="I16" s="2">
        <v>0.67651967510760702</v>
      </c>
      <c r="J16" s="2">
        <v>0.67651967510760702</v>
      </c>
      <c r="K16" s="2">
        <v>0.67651967510760702</v>
      </c>
    </row>
    <row r="17" spans="1:11" x14ac:dyDescent="0.25">
      <c r="A17">
        <v>1.6</v>
      </c>
      <c r="B17" s="2">
        <v>1.23879057335465E-3</v>
      </c>
      <c r="C17" s="2">
        <v>6.10586954578771E-3</v>
      </c>
      <c r="D17" s="2">
        <v>2.9529817471468899E-2</v>
      </c>
      <c r="E17" s="2">
        <v>0.10140386493133299</v>
      </c>
      <c r="F17" s="2">
        <v>0.23859331342756401</v>
      </c>
      <c r="G17" s="2">
        <v>0.46528300504320702</v>
      </c>
      <c r="H17" s="2">
        <v>0.70728278465584205</v>
      </c>
      <c r="I17" s="2">
        <v>0.68911387208556496</v>
      </c>
      <c r="J17" s="2">
        <v>0.68911387208556496</v>
      </c>
      <c r="K17" s="2">
        <v>0.68911387208556496</v>
      </c>
    </row>
    <row r="18" spans="1:11" x14ac:dyDescent="0.25">
      <c r="A18">
        <v>1.7</v>
      </c>
      <c r="B18" s="2">
        <v>8.0389540077395797E-4</v>
      </c>
      <c r="C18" s="2">
        <v>4.3847111266204298E-3</v>
      </c>
      <c r="D18" s="2">
        <v>2.3539896645661099E-2</v>
      </c>
      <c r="E18" s="2">
        <v>8.8435762190744893E-2</v>
      </c>
      <c r="F18" s="2">
        <v>0.223014911217915</v>
      </c>
      <c r="G18" s="2">
        <v>0.45922092510655999</v>
      </c>
      <c r="H18" s="2">
        <v>0.71529137467706405</v>
      </c>
      <c r="I18" s="2">
        <v>0.70156733785121905</v>
      </c>
      <c r="J18" s="2">
        <v>0.70156733785121905</v>
      </c>
      <c r="K18" s="2">
        <v>0.70156733785122005</v>
      </c>
    </row>
    <row r="19" spans="1:11" x14ac:dyDescent="0.25">
      <c r="A19">
        <v>1.8</v>
      </c>
      <c r="B19" s="2">
        <v>5.2164101498937702E-4</v>
      </c>
      <c r="C19" s="2">
        <v>3.14745351704101E-3</v>
      </c>
      <c r="D19" s="2">
        <v>1.8743090299175501E-2</v>
      </c>
      <c r="E19" s="2">
        <v>7.6971231886978894E-2</v>
      </c>
      <c r="F19" s="2">
        <v>0.20805858850546899</v>
      </c>
      <c r="G19" s="2">
        <v>0.45286370423911898</v>
      </c>
      <c r="H19" s="2">
        <v>0.72281220937183199</v>
      </c>
      <c r="I19" s="2">
        <v>0.71384779613274896</v>
      </c>
      <c r="J19" s="2">
        <v>0.71384779613274896</v>
      </c>
      <c r="K19" s="2">
        <v>0.71384779613274896</v>
      </c>
    </row>
    <row r="20" spans="1:11" x14ac:dyDescent="0.25">
      <c r="A20">
        <v>1.9</v>
      </c>
      <c r="B20" s="2">
        <v>3.3846714064122898E-4</v>
      </c>
      <c r="C20" s="2">
        <v>2.2586088974915399E-3</v>
      </c>
      <c r="D20" s="2">
        <v>1.4909351613954101E-2</v>
      </c>
      <c r="E20" s="2">
        <v>6.6870594621429594E-2</v>
      </c>
      <c r="F20" s="2">
        <v>0.19374399621893801</v>
      </c>
      <c r="G20" s="2">
        <v>0.44622313454387602</v>
      </c>
      <c r="H20" s="2">
        <v>0.72987297876882296</v>
      </c>
      <c r="I20" s="2">
        <v>0.72592599459007601</v>
      </c>
      <c r="J20" s="2">
        <v>0.72592599459007601</v>
      </c>
      <c r="K20" s="2">
        <v>0.72592599459007601</v>
      </c>
    </row>
    <row r="21" spans="1:11" x14ac:dyDescent="0.25">
      <c r="A21">
        <v>2</v>
      </c>
      <c r="B21" s="2">
        <v>2.1959917715163601E-4</v>
      </c>
      <c r="C21" s="2">
        <v>1.6203572154988701E-3</v>
      </c>
      <c r="D21" s="2">
        <v>1.1850230216002899E-2</v>
      </c>
      <c r="E21" s="2">
        <v>5.7999091471714899E-2</v>
      </c>
      <c r="F21" s="2">
        <v>0.180086328396768</v>
      </c>
      <c r="G21" s="2">
        <v>0.439314017603678</v>
      </c>
      <c r="H21" s="2">
        <v>0.73650267108823297</v>
      </c>
      <c r="I21" s="2">
        <v>0.73777560840447398</v>
      </c>
      <c r="J21" s="2">
        <v>0.73777560840447298</v>
      </c>
      <c r="K21" s="2">
        <v>0.73777560840447398</v>
      </c>
    </row>
    <row r="22" spans="1:11" x14ac:dyDescent="0.25">
      <c r="A22">
        <v>2.1</v>
      </c>
      <c r="B22" s="2">
        <v>1.42465319963399E-4</v>
      </c>
      <c r="C22" s="2">
        <v>1.16220946764714E-3</v>
      </c>
      <c r="D22" s="2">
        <v>9.4124078892408904E-3</v>
      </c>
      <c r="E22" s="2">
        <v>5.0228952128346903E-2</v>
      </c>
      <c r="F22" s="2">
        <v>0.16709611065232099</v>
      </c>
      <c r="G22" s="2">
        <v>0.43215385585703198</v>
      </c>
      <c r="H22" s="2">
        <v>0.74273094663970496</v>
      </c>
      <c r="I22" s="2">
        <v>0.74937314253423204</v>
      </c>
      <c r="J22" s="2">
        <v>0.74937314253423104</v>
      </c>
      <c r="K22" s="2">
        <v>0.74937314253423304</v>
      </c>
    </row>
    <row r="23" spans="1:11" x14ac:dyDescent="0.25">
      <c r="A23">
        <v>2.2000000000000002</v>
      </c>
      <c r="B23" s="2">
        <v>9.2415881065332199E-5</v>
      </c>
      <c r="C23" s="2">
        <v>8.3343645815912198E-4</v>
      </c>
      <c r="D23" s="2">
        <v>7.4718013395544403E-3</v>
      </c>
      <c r="E23" s="2">
        <v>4.3440698685757298E-2</v>
      </c>
      <c r="F23" s="2">
        <v>0.15477905007324899</v>
      </c>
      <c r="G23" s="2">
        <v>0.42476248141360201</v>
      </c>
      <c r="H23" s="2">
        <v>0.74858761350145697</v>
      </c>
      <c r="I23" s="2">
        <v>0.76069784827728404</v>
      </c>
      <c r="J23" s="2">
        <v>0.76069784827728304</v>
      </c>
      <c r="K23" s="2">
        <v>0.76069784827728404</v>
      </c>
    </row>
    <row r="24" spans="1:11" x14ac:dyDescent="0.25">
      <c r="A24">
        <v>2.2999999999999998</v>
      </c>
      <c r="B24" s="2">
        <v>5.9943026643749197E-5</v>
      </c>
      <c r="C24" s="2">
        <v>5.9756122460115899E-4</v>
      </c>
      <c r="D24" s="2">
        <v>5.9283929349657396E-3</v>
      </c>
      <c r="E24" s="2">
        <v>3.7523866557960001E-2</v>
      </c>
      <c r="F24" s="2">
        <v>0.143135980352499</v>
      </c>
      <c r="G24" s="2">
        <v>0.41716162187261902</v>
      </c>
      <c r="H24" s="2">
        <v>0.754102173502742</v>
      </c>
      <c r="I24" s="2">
        <v>0.77173167181878499</v>
      </c>
      <c r="J24" s="2">
        <v>0.77173167181878599</v>
      </c>
      <c r="K24" s="2">
        <v>0.77173167181878599</v>
      </c>
    </row>
    <row r="25" spans="1:11" x14ac:dyDescent="0.25">
      <c r="A25">
        <v>2.4</v>
      </c>
      <c r="B25" s="2">
        <v>3.8876064652361303E-5</v>
      </c>
      <c r="C25" s="2">
        <v>4.2837079342085698E-4</v>
      </c>
      <c r="D25" s="2">
        <v>4.7018189086383199E-3</v>
      </c>
      <c r="E25" s="2">
        <v>3.2377298876877902E-2</v>
      </c>
      <c r="F25" s="2">
        <v>0.132162957409861</v>
      </c>
      <c r="G25" s="2">
        <v>0.40937448358795198</v>
      </c>
      <c r="H25" s="2">
        <v>0.75930347327431602</v>
      </c>
      <c r="I25" s="2">
        <v>0.78245917929685704</v>
      </c>
      <c r="J25" s="2">
        <v>0.78245917929685704</v>
      </c>
      <c r="K25" s="2">
        <v>0.78245917929685804</v>
      </c>
    </row>
    <row r="26" spans="1:11" x14ac:dyDescent="0.25">
      <c r="A26">
        <v>2.5</v>
      </c>
      <c r="B26" s="2">
        <v>2.5210182665936099E-5</v>
      </c>
      <c r="C26" s="2">
        <v>3.0703633554539199E-4</v>
      </c>
      <c r="D26" s="2">
        <v>3.7276695984677201E-3</v>
      </c>
      <c r="E26" s="2">
        <v>2.7909118303166398E-2</v>
      </c>
      <c r="F26" s="2">
        <v>0.12185148397687</v>
      </c>
      <c r="G26" s="2">
        <v>0.40142533902170602</v>
      </c>
      <c r="H26" s="2">
        <v>0.76421942847302904</v>
      </c>
      <c r="I26" s="2">
        <v>0.79286747692555604</v>
      </c>
      <c r="J26" s="2">
        <v>0.79286747692555604</v>
      </c>
      <c r="K26" s="2">
        <v>0.79286747692555604</v>
      </c>
    </row>
    <row r="27" spans="1:11" x14ac:dyDescent="0.25">
      <c r="A27">
        <v>2.6</v>
      </c>
      <c r="B27" s="2">
        <v>1.6346308992730198E-5</v>
      </c>
      <c r="C27" s="2">
        <v>2.2003758684811201E-4</v>
      </c>
      <c r="D27" s="2">
        <v>2.9544259354602402E-3</v>
      </c>
      <c r="E27" s="2">
        <v>2.4036462630109199E-2</v>
      </c>
      <c r="F27" s="2">
        <v>0.112188835589102</v>
      </c>
      <c r="G27" s="2">
        <v>0.39333910018149099</v>
      </c>
      <c r="H27" s="2">
        <v>0.76887679047122504</v>
      </c>
      <c r="I27" s="2">
        <v>0.80294614219907201</v>
      </c>
      <c r="J27" s="2">
        <v>0.80294614219907201</v>
      </c>
      <c r="K27" s="2">
        <v>0.80294614219907301</v>
      </c>
    </row>
    <row r="28" spans="1:11" x14ac:dyDescent="0.25">
      <c r="A28">
        <v>2.7</v>
      </c>
      <c r="B28" s="2">
        <v>1.0597775750178899E-5</v>
      </c>
      <c r="C28" s="2">
        <v>1.5766886154397101E-4</v>
      </c>
      <c r="D28" s="2">
        <v>2.3409474219953401E-3</v>
      </c>
      <c r="E28" s="2">
        <v>2.06850632006985E-2</v>
      </c>
      <c r="F28" s="2">
        <v>0.103158494451528</v>
      </c>
      <c r="G28" s="2">
        <v>0.38514094511736802</v>
      </c>
      <c r="H28" s="2">
        <v>0.77330098940678405</v>
      </c>
      <c r="I28" s="2">
        <v>0.81268711921973202</v>
      </c>
      <c r="J28" s="2">
        <v>0.81268711921973202</v>
      </c>
      <c r="K28" s="2">
        <v>0.81268711921973202</v>
      </c>
    </row>
    <row r="29" spans="1:11" x14ac:dyDescent="0.25">
      <c r="A29">
        <v>2.8</v>
      </c>
      <c r="B29" s="2">
        <v>6.8701070928562702E-6</v>
      </c>
      <c r="C29" s="2">
        <v>1.1296449114613599E-4</v>
      </c>
      <c r="D29" s="2">
        <v>1.8544257371689099E-3</v>
      </c>
      <c r="E29" s="2">
        <v>1.77887149417186E-2</v>
      </c>
      <c r="F29" s="2">
        <v>9.4740641504358E-2</v>
      </c>
      <c r="G29" s="2">
        <v>0.37685595847389802</v>
      </c>
      <c r="H29" s="2">
        <v>0.77751601216905497</v>
      </c>
      <c r="I29" s="2">
        <v>0.82208461144318101</v>
      </c>
      <c r="J29" s="2">
        <v>0.82208461144318101</v>
      </c>
      <c r="K29" s="2">
        <v>0.82208461144318101</v>
      </c>
    </row>
    <row r="30" spans="1:11" x14ac:dyDescent="0.25">
      <c r="A30">
        <v>2.9</v>
      </c>
      <c r="B30" s="2">
        <v>4.4531718144669697E-6</v>
      </c>
      <c r="C30" s="2">
        <v>8.0926394898246201E-5</v>
      </c>
      <c r="D30" s="2">
        <v>1.46872675965501E-3</v>
      </c>
      <c r="E30" s="2">
        <v>1.5288684270112299E-2</v>
      </c>
      <c r="F30" s="2">
        <v>8.6912689156390305E-2</v>
      </c>
      <c r="G30" s="2">
        <v>0.36850880884953202</v>
      </c>
      <c r="H30" s="2">
        <v>0.78154432142548202</v>
      </c>
      <c r="I30" s="2">
        <v>0.83113495838871698</v>
      </c>
      <c r="J30" s="2">
        <v>0.83113495838871598</v>
      </c>
      <c r="K30" s="2">
        <v>0.83113495838871698</v>
      </c>
    </row>
    <row r="31" spans="1:11" x14ac:dyDescent="0.25">
      <c r="A31">
        <v>3</v>
      </c>
      <c r="B31" s="2">
        <v>2.8862684079976401E-6</v>
      </c>
      <c r="C31" s="2">
        <v>5.7969048718507202E-5</v>
      </c>
      <c r="D31" s="2">
        <v>1.16305269267327E-3</v>
      </c>
      <c r="E31" s="2">
        <v>1.3133087775616999E-2</v>
      </c>
      <c r="F31" s="2">
        <v>7.9649828255216604E-2</v>
      </c>
      <c r="G31" s="2">
        <v>0.36012346367061598</v>
      </c>
      <c r="H31" s="2">
        <v>0.785406807546561</v>
      </c>
      <c r="I31" s="2">
        <v>0.83983649973642804</v>
      </c>
      <c r="J31" s="2">
        <v>0.83983649973642804</v>
      </c>
      <c r="K31" s="2">
        <v>0.83983649973642904</v>
      </c>
    </row>
    <row r="32" spans="1:11" x14ac:dyDescent="0.25">
      <c r="A32">
        <v>3.1</v>
      </c>
      <c r="B32" s="2">
        <v>1.8705530156856E-6</v>
      </c>
      <c r="C32" s="2">
        <v>4.1520788694432201E-5</v>
      </c>
      <c r="D32" s="2">
        <v>9.2086592961922501E-4</v>
      </c>
      <c r="E32" s="2">
        <v>1.1276266706244299E-2</v>
      </c>
      <c r="F32" s="2">
        <v>7.2925567616521803E-2</v>
      </c>
      <c r="G32" s="2">
        <v>0.35172294391991399</v>
      </c>
      <c r="H32" s="2">
        <v>0.78912276828483496</v>
      </c>
      <c r="I32" s="2">
        <v>0.84818942879431602</v>
      </c>
      <c r="J32" s="2">
        <v>0.84818942879431602</v>
      </c>
      <c r="K32" s="2">
        <v>0.84818942879431602</v>
      </c>
    </row>
    <row r="33" spans="1:11" x14ac:dyDescent="0.25">
      <c r="A33">
        <v>3.2</v>
      </c>
      <c r="B33" s="2">
        <v>1.2122005817394099E-6</v>
      </c>
      <c r="C33" s="2">
        <v>2.9737488379492199E-5</v>
      </c>
      <c r="D33" s="2">
        <v>7.2902565002068995E-4</v>
      </c>
      <c r="E33" s="2">
        <v>9.6781754734099005E-3</v>
      </c>
      <c r="F33" s="2">
        <v>6.6712248440593203E-2</v>
      </c>
      <c r="G33" s="2">
        <v>0.34332911982685699</v>
      </c>
      <c r="H33" s="2">
        <v>0.79270991178206596</v>
      </c>
      <c r="I33" s="2">
        <v>0.856195637830242</v>
      </c>
      <c r="J33" s="2">
        <v>0.856195637830241</v>
      </c>
      <c r="K33" s="2">
        <v>0.856195637830242</v>
      </c>
    </row>
    <row r="34" spans="1:11" x14ac:dyDescent="0.25">
      <c r="A34">
        <v>3.3</v>
      </c>
      <c r="B34" s="2">
        <v>7.85516809491291E-7</v>
      </c>
      <c r="C34" s="2">
        <v>2.1296984905470701E-5</v>
      </c>
      <c r="D34" s="2">
        <v>5.7709651478409201E-4</v>
      </c>
      <c r="E34" s="2">
        <v>8.3037969054936892E-3</v>
      </c>
      <c r="F34" s="2">
        <v>6.0981520216448599E-2</v>
      </c>
      <c r="G34" s="2">
        <v>0.33496254745977699</v>
      </c>
      <c r="H34" s="2">
        <v>0.796184379069793</v>
      </c>
      <c r="I34" s="2">
        <v>0.86385855802786005</v>
      </c>
      <c r="J34" s="2">
        <v>0.86385855802786005</v>
      </c>
      <c r="K34" s="2">
        <v>0.86385855802786005</v>
      </c>
    </row>
    <row r="35" spans="1:11" x14ac:dyDescent="0.25">
      <c r="A35">
        <v>3.4</v>
      </c>
      <c r="B35" s="2">
        <v>5.09000836870929E-7</v>
      </c>
      <c r="C35" s="2">
        <v>1.52515139797937E-5</v>
      </c>
      <c r="D35" s="2">
        <v>4.5679608958214301E-4</v>
      </c>
      <c r="E35" s="2">
        <v>7.1225926257723199E-3</v>
      </c>
      <c r="F35" s="2">
        <v>5.5704768872064499E-2</v>
      </c>
      <c r="G35" s="2">
        <v>0.326642345095702</v>
      </c>
      <c r="H35" s="2">
        <v>0.79956078271106701</v>
      </c>
      <c r="I35" s="2">
        <v>0.87118299688349699</v>
      </c>
      <c r="J35" s="2">
        <v>0.87118299688349699</v>
      </c>
      <c r="K35" s="2">
        <v>0.87118299688349798</v>
      </c>
    </row>
    <row r="36" spans="1:11" x14ac:dyDescent="0.25">
      <c r="A36">
        <v>3.5</v>
      </c>
      <c r="B36" s="2">
        <v>3.2981396021603203E-7</v>
      </c>
      <c r="C36" s="2">
        <v>1.0921808065438101E-5</v>
      </c>
      <c r="D36" s="2">
        <v>3.6155377752412302E-4</v>
      </c>
      <c r="E36" s="2">
        <v>6.1079935417453499E-3</v>
      </c>
      <c r="F36" s="2">
        <v>5.0853491709353202E-2</v>
      </c>
      <c r="G36" s="2">
        <v>0.31838610731668998</v>
      </c>
      <c r="H36" s="2">
        <v>0.80285225862698695</v>
      </c>
      <c r="I36" s="2">
        <v>0.87817497575757997</v>
      </c>
      <c r="J36" s="2">
        <v>0.87817497575757997</v>
      </c>
      <c r="K36" s="2">
        <v>0.87817497575757997</v>
      </c>
    </row>
    <row r="37" spans="1:11" x14ac:dyDescent="0.25">
      <c r="A37">
        <v>3.6</v>
      </c>
      <c r="B37" s="2">
        <v>2.1370394238019399E-7</v>
      </c>
      <c r="C37" s="2">
        <v>7.8211112977242701E-6</v>
      </c>
      <c r="D37" s="2">
        <v>2.8615917690554601E-4</v>
      </c>
      <c r="E37" s="2">
        <v>5.2369328507391698E-3</v>
      </c>
      <c r="F37" s="2">
        <v>4.6399616904444899E-2</v>
      </c>
      <c r="G37" s="2">
        <v>0.31020985402111301</v>
      </c>
      <c r="H37" s="2">
        <v>0.80607052848108995</v>
      </c>
      <c r="I37" s="2">
        <v>0.88484157007383502</v>
      </c>
      <c r="J37" s="2">
        <v>0.88484157007383502</v>
      </c>
      <c r="K37" s="2">
        <v>0.88484157007383502</v>
      </c>
    </row>
    <row r="38" spans="1:11" x14ac:dyDescent="0.25">
      <c r="A38">
        <v>3.7</v>
      </c>
      <c r="B38" s="2">
        <v>1.3846955533502199E-7</v>
      </c>
      <c r="C38" s="2">
        <v>5.6006717185116203E-6</v>
      </c>
      <c r="D38" s="2">
        <v>2.2648201869515701E-4</v>
      </c>
      <c r="E38" s="2">
        <v>4.4894220492026696E-3</v>
      </c>
      <c r="F38" s="2">
        <v>4.2315767983289697E-2</v>
      </c>
      <c r="G38" s="2">
        <v>0.30212801096059799</v>
      </c>
      <c r="H38" s="2">
        <v>0.80922597027585197</v>
      </c>
      <c r="I38" s="2">
        <v>0.89119075436151396</v>
      </c>
      <c r="J38" s="2">
        <v>0.89119075436151296</v>
      </c>
      <c r="K38" s="2">
        <v>0.89119075436151396</v>
      </c>
    </row>
    <row r="39" spans="1:11" x14ac:dyDescent="0.25">
      <c r="A39">
        <v>3.8</v>
      </c>
      <c r="B39" s="2">
        <v>8.9722103077231502E-8</v>
      </c>
      <c r="C39" s="2">
        <v>4.0106486842640796E-6</v>
      </c>
      <c r="D39" s="2">
        <v>1.7924930985961499E-4</v>
      </c>
      <c r="E39" s="2">
        <v>3.8481690540922999E-3</v>
      </c>
      <c r="F39" s="2">
        <v>3.8575475691768002E-2</v>
      </c>
      <c r="G39" s="2">
        <v>0.29415341802276501</v>
      </c>
      <c r="H39" s="2">
        <v>0.812327695062942</v>
      </c>
      <c r="I39" s="2">
        <v>0.89723125399358195</v>
      </c>
      <c r="J39" s="2">
        <v>0.89723125399358195</v>
      </c>
      <c r="K39" s="2">
        <v>0.89723125399358195</v>
      </c>
    </row>
    <row r="40" spans="1:11" x14ac:dyDescent="0.25">
      <c r="A40">
        <v>3.9</v>
      </c>
      <c r="B40" s="2">
        <v>5.8137036031033201E-8</v>
      </c>
      <c r="C40" s="2">
        <v>2.8720818708821099E-6</v>
      </c>
      <c r="D40" s="2">
        <v>1.4186813453373001E-4</v>
      </c>
      <c r="E40" s="2">
        <v>3.29823659435279E-3</v>
      </c>
      <c r="F40" s="2">
        <v>3.5153341107442601E-2</v>
      </c>
      <c r="G40" s="2">
        <v>0.28629736126979699</v>
      </c>
      <c r="H40" s="2">
        <v>0.81538362789360996</v>
      </c>
      <c r="I40" s="2">
        <v>0.90297240511362797</v>
      </c>
      <c r="J40" s="2">
        <v>0.90297240511362797</v>
      </c>
      <c r="K40" s="2">
        <v>0.90297240511362797</v>
      </c>
    </row>
    <row r="41" spans="1:11" x14ac:dyDescent="0.25">
      <c r="A41">
        <v>4</v>
      </c>
      <c r="B41" s="2">
        <v>3.7672055610864898E-8</v>
      </c>
      <c r="C41" s="2">
        <v>2.0567960177484699E-6</v>
      </c>
      <c r="D41" s="2">
        <v>1.12284854859544E-4</v>
      </c>
      <c r="E41" s="2">
        <v>2.8267384150326398E-3</v>
      </c>
      <c r="F41" s="2">
        <v>3.20251547553781E-2</v>
      </c>
      <c r="G41" s="2">
        <v>0.27856962469702701</v>
      </c>
      <c r="H41" s="2">
        <v>0.81840059134526</v>
      </c>
      <c r="I41" s="2">
        <v>0.908424023886507</v>
      </c>
      <c r="J41" s="2">
        <v>0.908424023886507</v>
      </c>
      <c r="K41" s="2">
        <v>0.908424023886508</v>
      </c>
    </row>
    <row r="42" spans="1:11" x14ac:dyDescent="0.25">
      <c r="A42">
        <v>4.0999999999999996</v>
      </c>
      <c r="B42" s="2">
        <v>2.4412448443499199E-8</v>
      </c>
      <c r="C42" s="2">
        <v>1.4729980565937299E-6</v>
      </c>
      <c r="D42" s="2">
        <v>8.8873304151238498E-5</v>
      </c>
      <c r="E42" s="2">
        <v>2.4225705210480001E-3</v>
      </c>
      <c r="F42" s="2">
        <v>2.9167977434926901E-2</v>
      </c>
      <c r="G42" s="2">
        <v>0.27097856064682102</v>
      </c>
      <c r="H42" s="2">
        <v>0.82138439205841995</v>
      </c>
      <c r="I42" s="2">
        <v>0.91359628440879004</v>
      </c>
      <c r="J42" s="2">
        <v>0.91359628440879004</v>
      </c>
      <c r="K42" s="2">
        <v>0.91359628440879004</v>
      </c>
    </row>
    <row r="43" spans="1:11" x14ac:dyDescent="0.25">
      <c r="A43">
        <v>4.2</v>
      </c>
      <c r="B43" s="2">
        <v>1.58205472585651E-8</v>
      </c>
      <c r="C43" s="2">
        <v>1.0549534141262399E-6</v>
      </c>
      <c r="D43" s="2">
        <v>7.0346038169654293E-5</v>
      </c>
      <c r="E43" s="2">
        <v>2.0761742082215E-3</v>
      </c>
      <c r="F43" s="2">
        <v>2.65601853333833E-2</v>
      </c>
      <c r="G43" s="2">
        <v>0.263531157642374</v>
      </c>
      <c r="H43" s="2">
        <v>0.82433989744233305</v>
      </c>
      <c r="I43" s="2">
        <v>0.91849961466809804</v>
      </c>
      <c r="J43" s="2">
        <v>0.91849961466809804</v>
      </c>
      <c r="K43" s="2">
        <v>0.91849961466809804</v>
      </c>
    </row>
    <row r="44" spans="1:11" x14ac:dyDescent="0.25">
      <c r="A44">
        <v>4.3</v>
      </c>
      <c r="B44" s="2">
        <v>1.0253218381622999E-8</v>
      </c>
      <c r="C44" s="2">
        <v>7.5559339623146699E-7</v>
      </c>
      <c r="D44" s="2">
        <v>5.5683952504538298E-5</v>
      </c>
      <c r="E44" s="2">
        <v>1.77932856620352E-3</v>
      </c>
      <c r="F44" s="2">
        <v>2.4181491924880699E-2</v>
      </c>
      <c r="G44" s="2">
        <v>0.25623314662168201</v>
      </c>
      <c r="H44" s="2">
        <v>0.82727113083014803</v>
      </c>
      <c r="I44" s="2">
        <v>0.92314458808822897</v>
      </c>
      <c r="J44" s="2">
        <v>0.92314458808822897</v>
      </c>
      <c r="K44" s="2">
        <v>0.92314458808822997</v>
      </c>
    </row>
    <row r="45" spans="1:11" x14ac:dyDescent="0.25">
      <c r="A45">
        <v>4.4000000000000004</v>
      </c>
      <c r="B45" s="2">
        <v>6.6455842391103097E-9</v>
      </c>
      <c r="C45" s="2">
        <v>5.4121515010613398E-7</v>
      </c>
      <c r="D45" s="2">
        <v>4.4080451627371397E-5</v>
      </c>
      <c r="E45" s="2">
        <v>1.52496855630728E-3</v>
      </c>
      <c r="F45" s="2">
        <v>2.2012941765858898E-2</v>
      </c>
      <c r="G45" s="2">
        <v>0.249089082409687</v>
      </c>
      <c r="H45" s="2">
        <v>0.83018134440580305</v>
      </c>
      <c r="I45" s="2">
        <v>0.92754184139064899</v>
      </c>
      <c r="J45" s="2">
        <v>0.92754184139064799</v>
      </c>
      <c r="K45" s="2">
        <v>0.92754184139064899</v>
      </c>
    </row>
    <row r="46" spans="1:11" x14ac:dyDescent="0.25">
      <c r="A46">
        <v>4.5</v>
      </c>
      <c r="B46" s="2">
        <v>4.3077169236391902E-9</v>
      </c>
      <c r="C46" s="2">
        <v>3.87687210680389E-7</v>
      </c>
      <c r="D46" s="2">
        <v>3.4897205259006699E-5</v>
      </c>
      <c r="E46" s="2">
        <v>1.3070266088207E-3</v>
      </c>
      <c r="F46" s="2">
        <v>2.0036888350798199E-2</v>
      </c>
      <c r="G46" s="2">
        <v>0.24210244346703999</v>
      </c>
      <c r="H46" s="2">
        <v>0.83307309943901697</v>
      </c>
      <c r="I46" s="2">
        <v>0.93170199504187001</v>
      </c>
      <c r="J46" s="2">
        <v>0.93170199504187001</v>
      </c>
      <c r="K46" s="2">
        <v>0.93170199504187001</v>
      </c>
    </row>
    <row r="47" spans="1:11" x14ac:dyDescent="0.25">
      <c r="A47">
        <v>4.5999999999999996</v>
      </c>
      <c r="B47" s="2">
        <v>2.7935226831853899E-9</v>
      </c>
      <c r="C47" s="2">
        <v>2.7773247408135298E-7</v>
      </c>
      <c r="D47" s="2">
        <v>2.7629090259631101E-5</v>
      </c>
      <c r="E47" s="2">
        <v>1.1202948348728501E-3</v>
      </c>
      <c r="F47" s="2">
        <v>1.8236957318968499E-2</v>
      </c>
      <c r="G47" s="2">
        <v>0.235275731916508</v>
      </c>
      <c r="H47" s="2">
        <v>0.83594834276700802</v>
      </c>
      <c r="I47" s="2">
        <v>0.93563558414909598</v>
      </c>
      <c r="J47" s="2">
        <v>0.93563558414909598</v>
      </c>
      <c r="K47" s="2">
        <v>0.93563558414909598</v>
      </c>
    </row>
    <row r="48" spans="1:11" x14ac:dyDescent="0.25">
      <c r="A48">
        <v>4.7</v>
      </c>
      <c r="B48" s="2">
        <v>1.81156420669759E-9</v>
      </c>
      <c r="C48" s="2">
        <v>1.98978149258146E-7</v>
      </c>
      <c r="D48" s="2">
        <v>2.1876412482104501E-5</v>
      </c>
      <c r="E48" s="2">
        <v>9.6030534087144495E-4</v>
      </c>
      <c r="F48" s="2">
        <v>1.65979971041402E-2</v>
      </c>
      <c r="G48" s="2">
        <v>0.22861055778800399</v>
      </c>
      <c r="H48" s="2">
        <v>0.83880847000360104</v>
      </c>
      <c r="I48" s="2">
        <v>0.93935300564104995</v>
      </c>
      <c r="J48" s="2">
        <v>0.93935300564104995</v>
      </c>
      <c r="K48" s="2">
        <v>0.93935300564104995</v>
      </c>
    </row>
    <row r="49" spans="1:11" x14ac:dyDescent="0.25">
      <c r="A49">
        <v>4.8</v>
      </c>
      <c r="B49" s="2">
        <v>1.1750988880639199E-9</v>
      </c>
      <c r="C49" s="2">
        <v>1.4256752918424999E-7</v>
      </c>
      <c r="D49" s="2">
        <v>1.73229231695128E-5</v>
      </c>
      <c r="E49" s="2">
        <v>8.2322682817657499E-4</v>
      </c>
      <c r="F49" s="2">
        <v>1.5106025267761201E-2</v>
      </c>
      <c r="G49" s="2">
        <v>0.22210775001927599</v>
      </c>
      <c r="H49" s="2">
        <v>0.84165440356534404</v>
      </c>
      <c r="I49" s="2">
        <v>0.94286446073724905</v>
      </c>
      <c r="J49" s="2">
        <v>0.94286446073724794</v>
      </c>
      <c r="K49" s="2">
        <v>0.94286446073724905</v>
      </c>
    </row>
    <row r="50" spans="1:11" x14ac:dyDescent="0.25">
      <c r="A50">
        <v>4.9000000000000004</v>
      </c>
      <c r="B50" s="2">
        <v>7.6253651491831501E-10</v>
      </c>
      <c r="C50" s="2">
        <v>1.0215839753499601E-7</v>
      </c>
      <c r="D50" s="2">
        <v>1.3718399449670701E-5</v>
      </c>
      <c r="E50" s="2">
        <v>7.0577495567175099E-4</v>
      </c>
      <c r="F50" s="2">
        <v>1.3748165997351E-2</v>
      </c>
      <c r="G50" s="2">
        <v>0.215767433256108</v>
      </c>
      <c r="H50" s="2">
        <v>0.84448664671818696</v>
      </c>
      <c r="I50" s="2">
        <v>0.94617991977849203</v>
      </c>
      <c r="J50" s="2">
        <v>0.94617991977849203</v>
      </c>
      <c r="K50" s="2">
        <v>0.94617991977849203</v>
      </c>
    </row>
    <row r="51" spans="1:11" x14ac:dyDescent="0.25">
      <c r="A51">
        <v>5</v>
      </c>
      <c r="B51" s="2">
        <v>4.9508825600058298E-10</v>
      </c>
      <c r="C51" s="2">
        <v>7.3209463810032499E-8</v>
      </c>
      <c r="D51" s="2">
        <v>1.08648624061985E-5</v>
      </c>
      <c r="E51" s="2">
        <v>6.0513509739441103E-4</v>
      </c>
      <c r="F51" s="2">
        <v>1.2512586383126301E-2</v>
      </c>
      <c r="G51" s="2">
        <v>0.20958911526833701</v>
      </c>
      <c r="H51" s="2">
        <v>0.84730534304990701</v>
      </c>
      <c r="I51" s="2">
        <v>0.94930908744070597</v>
      </c>
      <c r="J51" s="2">
        <v>0.94930908744070497</v>
      </c>
      <c r="K51" s="2">
        <v>0.94930908744070597</v>
      </c>
    </row>
    <row r="52" spans="1:11" x14ac:dyDescent="0.25">
      <c r="A52">
        <v>5.0999999999999996</v>
      </c>
      <c r="B52" s="2">
        <v>3.2351609745968402E-10</v>
      </c>
      <c r="C52" s="2">
        <v>5.24706543677048E-8</v>
      </c>
      <c r="D52" s="2">
        <v>8.6056701298036903E-6</v>
      </c>
      <c r="E52" s="2">
        <v>5.1889574992395303E-4</v>
      </c>
      <c r="F52" s="2">
        <v>1.13884311679375E-2</v>
      </c>
      <c r="G52" s="2">
        <v>0.20357176845326599</v>
      </c>
      <c r="H52" s="2">
        <v>0.85011033097597399</v>
      </c>
      <c r="I52" s="2">
        <v>0.95226137518713705</v>
      </c>
      <c r="J52" s="2">
        <v>0.95226137518713705</v>
      </c>
      <c r="K52" s="2">
        <v>0.95226137518713705</v>
      </c>
    </row>
    <row r="53" spans="1:11" x14ac:dyDescent="0.25">
      <c r="A53">
        <v>5.2</v>
      </c>
      <c r="B53" s="2">
        <v>2.11093773172114E-10</v>
      </c>
      <c r="C53" s="2">
        <v>3.7609613506937297E-8</v>
      </c>
      <c r="D53" s="2">
        <v>6.8168769161426001E-6</v>
      </c>
      <c r="E53" s="2">
        <v>4.4499112903607099E-4</v>
      </c>
      <c r="F53" s="2">
        <v>1.0365756342874E-2</v>
      </c>
      <c r="G53" s="2">
        <v>0.1977138919793</v>
      </c>
      <c r="H53" s="2">
        <v>0.85290118525714598</v>
      </c>
      <c r="I53" s="2">
        <v>0.95504588558044801</v>
      </c>
      <c r="J53" s="2">
        <v>0.95504588558044701</v>
      </c>
      <c r="K53" s="2">
        <v>0.95504588558044801</v>
      </c>
    </row>
    <row r="54" spans="1:11" x14ac:dyDescent="0.25">
      <c r="A54">
        <v>5.3</v>
      </c>
      <c r="B54" s="2">
        <v>1.3819541326028601E-10</v>
      </c>
      <c r="C54" s="2">
        <v>2.6960444432509999E-8</v>
      </c>
      <c r="D54" s="2">
        <v>5.4004152309963297E-6</v>
      </c>
      <c r="E54" s="2">
        <v>3.8165194088579099E-4</v>
      </c>
      <c r="F54" s="2">
        <v>9.4354662268125999E-3</v>
      </c>
      <c r="G54" s="2">
        <v>0.19201359582114599</v>
      </c>
      <c r="H54" s="2">
        <v>0.85567727146654404</v>
      </c>
      <c r="I54" s="2">
        <v>0.95767139032525905</v>
      </c>
      <c r="J54" s="2">
        <v>0.95767139032525905</v>
      </c>
      <c r="K54" s="2">
        <v>0.95767139032525905</v>
      </c>
    </row>
    <row r="55" spans="1:11" x14ac:dyDescent="0.25">
      <c r="A55">
        <v>5.4</v>
      </c>
      <c r="B55" s="2">
        <v>9.0921294044325706E-11</v>
      </c>
      <c r="C55" s="2">
        <v>1.93287236281312E-8</v>
      </c>
      <c r="D55" s="2">
        <v>4.2786833699415596E-6</v>
      </c>
      <c r="E55" s="2">
        <v>3.2736293657019199E-4</v>
      </c>
      <c r="F55" s="2">
        <v>8.5892499325307698E-3</v>
      </c>
      <c r="G55" s="2">
        <v>0.18646865039306099</v>
      </c>
      <c r="H55" s="2">
        <v>0.85843777842373004</v>
      </c>
      <c r="I55" s="2">
        <v>0.96014632513702503</v>
      </c>
      <c r="J55" s="2">
        <v>0.96014632513702503</v>
      </c>
      <c r="K55" s="2">
        <v>0.96014632513702503</v>
      </c>
    </row>
    <row r="56" spans="1:11" x14ac:dyDescent="0.25">
      <c r="A56">
        <v>5.5</v>
      </c>
      <c r="B56" s="2">
        <v>6.38994063281289E-11</v>
      </c>
      <c r="C56" s="2">
        <v>1.3862576843708701E-8</v>
      </c>
      <c r="D56" s="2">
        <v>3.3902761748883802E-6</v>
      </c>
      <c r="E56" s="2">
        <v>2.8082655136071899E-4</v>
      </c>
      <c r="F56" s="2">
        <v>7.8195217843883991E-3</v>
      </c>
      <c r="G56" s="2">
        <v>0.18107654777476001</v>
      </c>
      <c r="H56" s="2">
        <v>0.86118175739519698</v>
      </c>
      <c r="I56" s="2">
        <v>0.96247878147878096</v>
      </c>
      <c r="J56" s="2">
        <v>0.96247878147878096</v>
      </c>
      <c r="K56" s="2">
        <v>0.96247878147878096</v>
      </c>
    </row>
    <row r="57" spans="1:11" x14ac:dyDescent="0.25">
      <c r="A57">
        <v>5.6</v>
      </c>
      <c r="B57" s="2">
        <v>4.4012889051289701E-11</v>
      </c>
      <c r="C57" s="2">
        <v>9.9419122476796905E-9</v>
      </c>
      <c r="D57" s="2">
        <v>2.6865880859191799E-6</v>
      </c>
      <c r="E57" s="2">
        <v>2.4093163100491699E-4</v>
      </c>
      <c r="F57" s="2">
        <v>7.1193633581781201E-3</v>
      </c>
      <c r="G57" s="2">
        <v>0.17583453993708301</v>
      </c>
      <c r="H57" s="2">
        <v>0.86390814696166496</v>
      </c>
      <c r="I57" s="2">
        <v>0.96467650875713995</v>
      </c>
      <c r="J57" s="2">
        <v>0.96467650875713895</v>
      </c>
      <c r="K57" s="2">
        <v>0.96467650875713995</v>
      </c>
    </row>
    <row r="58" spans="1:11" x14ac:dyDescent="0.25">
      <c r="A58">
        <v>5.7</v>
      </c>
      <c r="B58" s="2">
        <v>3.1112910338353902E-11</v>
      </c>
      <c r="C58" s="2">
        <v>7.1313640146788797E-9</v>
      </c>
      <c r="D58" s="2">
        <v>2.1291604396979099E-6</v>
      </c>
      <c r="E58" s="2">
        <v>2.06726730495289E-4</v>
      </c>
      <c r="F58" s="2">
        <v>6.4824706800427996E-3</v>
      </c>
      <c r="G58" s="2">
        <v>0.17073970111449099</v>
      </c>
      <c r="H58" s="2">
        <v>0.866615811991026</v>
      </c>
      <c r="I58" s="2">
        <v>0.96674690803621899</v>
      </c>
      <c r="J58" s="2">
        <v>0.96674690803621899</v>
      </c>
      <c r="K58" s="2">
        <v>0.96674690803621899</v>
      </c>
    </row>
    <row r="59" spans="1:11" x14ac:dyDescent="0.25">
      <c r="A59">
        <v>5.8</v>
      </c>
      <c r="B59" s="2">
        <v>2.2744149716953E-11</v>
      </c>
      <c r="C59" s="2">
        <v>5.1164129757326403E-9</v>
      </c>
      <c r="D59" s="2">
        <v>1.68755014537598E-6</v>
      </c>
      <c r="E59" s="2">
        <v>1.77397108089987E-4</v>
      </c>
      <c r="F59" s="2">
        <v>5.9031026017994101E-3</v>
      </c>
      <c r="G59" s="2">
        <v>0.16578895501297</v>
      </c>
      <c r="H59" s="2">
        <v>0.86930356112261098</v>
      </c>
      <c r="I59" s="2">
        <v>0.96869704013329305</v>
      </c>
      <c r="J59" s="2">
        <v>0.96869704013329305</v>
      </c>
      <c r="K59" s="2">
        <v>0.96869704013329305</v>
      </c>
    </row>
    <row r="60" spans="1:11" x14ac:dyDescent="0.25">
      <c r="A60">
        <v>5.9</v>
      </c>
      <c r="B60" s="2">
        <v>1.7314459142742001E-11</v>
      </c>
      <c r="C60" s="2">
        <v>3.6717051233701999E-9</v>
      </c>
      <c r="D60" s="2">
        <v>1.3376594353827899E-6</v>
      </c>
      <c r="E60" s="2">
        <v>1.52245072684543E-4</v>
      </c>
      <c r="F60" s="2">
        <v>5.3760335884193797E-3</v>
      </c>
      <c r="G60" s="2">
        <v>0.16097911281381599</v>
      </c>
      <c r="H60" s="2">
        <v>0.87197017047322101</v>
      </c>
      <c r="I60" s="2">
        <v>0.97053362974242596</v>
      </c>
      <c r="J60" s="2">
        <v>0.97053362974242496</v>
      </c>
      <c r="K60" s="2">
        <v>0.97053362974242596</v>
      </c>
    </row>
    <row r="61" spans="1:11" x14ac:dyDescent="0.25">
      <c r="A61">
        <v>6</v>
      </c>
      <c r="B61" s="2">
        <v>2.1067271796583799E-11</v>
      </c>
      <c r="C61" s="2">
        <v>2.6430343478273E-9</v>
      </c>
      <c r="D61" s="2">
        <v>1.06041892674363E-6</v>
      </c>
      <c r="E61" s="2">
        <v>1.3067315058757199E-4</v>
      </c>
      <c r="F61" s="2">
        <v>4.8965097288343803E-3</v>
      </c>
      <c r="G61" s="2">
        <v>0.15630690648640799</v>
      </c>
      <c r="H61" s="2">
        <v>0.87461440412565805</v>
      </c>
      <c r="I61" s="2">
        <v>0.97226307155765002</v>
      </c>
      <c r="J61" s="2">
        <v>0.97226307155765002</v>
      </c>
      <c r="K61" s="2">
        <v>0.97226307155765002</v>
      </c>
    </row>
    <row r="62" spans="1:11" x14ac:dyDescent="0.25">
      <c r="A62">
        <v>6.1</v>
      </c>
      <c r="B62" s="2">
        <v>1.8781003628387801E-11</v>
      </c>
      <c r="C62" s="2">
        <v>1.9001238351961399E-9</v>
      </c>
      <c r="D62" s="2">
        <v>8.4071073829645004E-7</v>
      </c>
      <c r="E62" s="2">
        <v>1.1216961203085901E-4</v>
      </c>
      <c r="F62" s="2">
        <v>4.4602072316898399E-3</v>
      </c>
      <c r="G62" s="2">
        <v>0.15176900407452101</v>
      </c>
      <c r="H62" s="2">
        <v>0.877235024131782</v>
      </c>
      <c r="I62" s="2">
        <v>0.97389144276527295</v>
      </c>
      <c r="J62" s="2">
        <v>0.97389144276527295</v>
      </c>
      <c r="K62" s="2">
        <v>0.97389144276527295</v>
      </c>
    </row>
    <row r="63" spans="1:11" x14ac:dyDescent="0.25">
      <c r="A63">
        <v>6.2</v>
      </c>
      <c r="B63" s="2">
        <v>1.7297241053910099E-11</v>
      </c>
      <c r="C63" s="2">
        <v>1.3673085814271E-9</v>
      </c>
      <c r="D63" s="2">
        <v>6.6658365860394795E-7</v>
      </c>
      <c r="E63" s="2">
        <v>9.6296196521721003E-5</v>
      </c>
      <c r="F63" s="2">
        <v>4.0631955770469904E-3</v>
      </c>
      <c r="G63" s="2">
        <v>0.14736205023447399</v>
      </c>
      <c r="H63" s="2">
        <v>0.879830814302206</v>
      </c>
      <c r="I63" s="2">
        <v>0.97542450637631894</v>
      </c>
      <c r="J63" s="2">
        <v>0.97542450637631894</v>
      </c>
      <c r="K63" s="2">
        <v>0.97542450637631894</v>
      </c>
    </row>
    <row r="64" spans="1:11" x14ac:dyDescent="0.25">
      <c r="A64">
        <v>6.3</v>
      </c>
      <c r="B64" s="2">
        <v>1.6334206905553899E-11</v>
      </c>
      <c r="C64" s="2">
        <v>9.8513789733536993E-10</v>
      </c>
      <c r="D64" s="2">
        <v>5.2856813527647297E-7</v>
      </c>
      <c r="E64" s="2">
        <v>8.2677490948873902E-5</v>
      </c>
      <c r="F64" s="2">
        <v>3.7019020618848401E-3</v>
      </c>
      <c r="G64" s="2">
        <v>0.14308267410893499</v>
      </c>
      <c r="H64" s="2">
        <v>0.88240058529117704</v>
      </c>
      <c r="I64" s="2">
        <v>0.97686772587113402</v>
      </c>
      <c r="J64" s="2">
        <v>0.97686772587113402</v>
      </c>
      <c r="K64" s="2">
        <v>0.97686772587113402</v>
      </c>
    </row>
    <row r="65" spans="1:11" x14ac:dyDescent="0.25">
      <c r="A65">
        <v>6.4</v>
      </c>
      <c r="B65" s="2">
        <v>1.5709094241242399E-11</v>
      </c>
      <c r="C65" s="2">
        <v>7.1099436157302096E-10</v>
      </c>
      <c r="D65" s="2">
        <v>4.19164807016019E-7</v>
      </c>
      <c r="E65" s="2">
        <v>7.0991895234600398E-5</v>
      </c>
      <c r="F65" s="2">
        <v>3.3730799883116302E-3</v>
      </c>
      <c r="G65" s="2">
        <v>0.138927509382471</v>
      </c>
      <c r="H65" s="2">
        <v>0.88494318624971302</v>
      </c>
      <c r="I65" s="2">
        <v>0.97822627503579496</v>
      </c>
      <c r="J65" s="2">
        <v>0.97822627503579496</v>
      </c>
      <c r="K65" s="2">
        <v>0.97822627503579496</v>
      </c>
    </row>
    <row r="66" spans="1:11" x14ac:dyDescent="0.25">
      <c r="A66">
        <v>6.5</v>
      </c>
      <c r="B66" s="2">
        <v>1.5303292907236699E-11</v>
      </c>
      <c r="C66" s="2">
        <v>5.1432449133555598E-10</v>
      </c>
      <c r="D66" s="2">
        <v>3.3243398900126699E-7</v>
      </c>
      <c r="E66" s="2">
        <v>6.0963879400878397E-5</v>
      </c>
      <c r="F66" s="2">
        <v>3.07377933769296E-3</v>
      </c>
      <c r="G66" s="2">
        <v>0.13489320867941301</v>
      </c>
      <c r="H66" s="2">
        <v>0.88745751300084297</v>
      </c>
      <c r="I66" s="2">
        <v>0.97950504929895099</v>
      </c>
      <c r="J66" s="2">
        <v>0.97950504929895099</v>
      </c>
      <c r="K66" s="2">
        <v>0.97950504929895199</v>
      </c>
    </row>
    <row r="67" spans="1:11" x14ac:dyDescent="0.25">
      <c r="A67">
        <v>6.6</v>
      </c>
      <c r="B67" s="2">
        <v>2.95917532094143E-11</v>
      </c>
      <c r="C67" s="2">
        <v>3.8777349854546599E-10</v>
      </c>
      <c r="D67" s="2">
        <v>2.6368538194926302E-7</v>
      </c>
      <c r="E67" s="2">
        <v>5.23573743719554E-5</v>
      </c>
      <c r="F67" s="2">
        <v>2.8013200392312601E-3</v>
      </c>
      <c r="G67" s="2">
        <v>0.13097645830228399</v>
      </c>
      <c r="H67" s="2">
        <v>0.88994251595664098</v>
      </c>
      <c r="I67" s="2">
        <v>0.98070867647469395</v>
      </c>
      <c r="J67" s="2">
        <v>0.98070867647469395</v>
      </c>
      <c r="K67" s="2">
        <v>0.98070867647469395</v>
      </c>
    </row>
    <row r="68" spans="1:11" x14ac:dyDescent="0.25">
      <c r="A68">
        <v>6.7</v>
      </c>
      <c r="B68" s="2">
        <v>2.9420698074048403E-11</v>
      </c>
      <c r="C68" s="2">
        <v>2.8652892850396102E-10</v>
      </c>
      <c r="D68" s="2">
        <v>2.0916270934520101E-7</v>
      </c>
      <c r="E68" s="2">
        <v>4.4970033127813397E-5</v>
      </c>
      <c r="F68" s="2">
        <v>2.55326698531719E-3</v>
      </c>
      <c r="G68" s="2">
        <v>0.127173977590325</v>
      </c>
      <c r="H68" s="2">
        <v>0.89239720007650902</v>
      </c>
      <c r="I68" s="2">
        <v>0.98184153178775102</v>
      </c>
      <c r="J68" s="2">
        <v>0.98184153178775102</v>
      </c>
      <c r="K68" s="2">
        <v>0.98184153178775202</v>
      </c>
    </row>
    <row r="69" spans="1:11" x14ac:dyDescent="0.25">
      <c r="A69">
        <v>6.8</v>
      </c>
      <c r="B69" s="2">
        <v>2.9309626805881401E-11</v>
      </c>
      <c r="C69" s="2">
        <v>2.1387752513639901E-10</v>
      </c>
      <c r="D69" s="2">
        <v>1.6592763767507799E-7</v>
      </c>
      <c r="E69" s="2">
        <v>3.8628481498135298E-5</v>
      </c>
      <c r="F69" s="2">
        <v>2.3274083479275999E-3</v>
      </c>
      <c r="G69" s="2">
        <v>0.12348254373076099</v>
      </c>
      <c r="H69" s="2">
        <v>0.89482063709084303</v>
      </c>
      <c r="I69" s="2">
        <v>0.98290774429490901</v>
      </c>
      <c r="J69" s="2">
        <v>0.98290774429490901</v>
      </c>
      <c r="K69" s="2">
        <v>0.98290774429490901</v>
      </c>
    </row>
    <row r="70" spans="1:11" x14ac:dyDescent="0.25">
      <c r="A70">
        <v>6.9</v>
      </c>
      <c r="B70" s="2">
        <v>2.9237499077226401E-11</v>
      </c>
      <c r="C70" s="2">
        <v>1.6173982282384799E-10</v>
      </c>
      <c r="D70" s="2">
        <v>1.3164042813137801E-7</v>
      </c>
      <c r="E70" s="2">
        <v>3.3184095911818397E-5</v>
      </c>
      <c r="F70" s="2">
        <v>2.1217346858855902E-3</v>
      </c>
      <c r="G70" s="2">
        <v>0.119898987254066</v>
      </c>
      <c r="H70" s="2">
        <v>0.89721196284442695</v>
      </c>
      <c r="I70" s="2">
        <v>0.98391121196740905</v>
      </c>
      <c r="J70" s="2">
        <v>0.98391121196740905</v>
      </c>
      <c r="K70" s="2">
        <v>0.98391121196740905</v>
      </c>
    </row>
    <row r="71" spans="1:11" x14ac:dyDescent="0.25">
      <c r="A71">
        <v>7</v>
      </c>
      <c r="B71" s="2">
        <v>2.9190656941479598E-11</v>
      </c>
      <c r="C71" s="2">
        <v>1.2432063264981101E-10</v>
      </c>
      <c r="D71" s="2">
        <v>1.0444699546170899E-7</v>
      </c>
      <c r="E71" s="2">
        <v>2.85094667960119E-5</v>
      </c>
      <c r="F71" s="2">
        <v>1.93442048504951E-3</v>
      </c>
      <c r="G71" s="2">
        <v>0.11642020033757899</v>
      </c>
      <c r="H71" s="2">
        <v>0.89957038078346097</v>
      </c>
      <c r="I71" s="2">
        <v>0.98485561207772898</v>
      </c>
      <c r="J71" s="2">
        <v>0.98485561207772898</v>
      </c>
      <c r="K71" s="2">
        <v>0.98485561207772898</v>
      </c>
    </row>
    <row r="72" spans="1:11" x14ac:dyDescent="0.25">
      <c r="A72">
        <v>7.1</v>
      </c>
      <c r="B72" s="2">
        <v>2.91602338040398E-11</v>
      </c>
      <c r="C72" s="2">
        <v>9.7462830278154406E-11</v>
      </c>
      <c r="D72" s="2">
        <v>8.2877954000960404E-8</v>
      </c>
      <c r="E72" s="2">
        <v>2.4495356600033998E-5</v>
      </c>
      <c r="F72" s="2">
        <v>1.7638072465248999E-3</v>
      </c>
      <c r="G72" s="2">
        <v>0.113043141039454</v>
      </c>
      <c r="H72" s="2">
        <v>0.90189516317221496</v>
      </c>
      <c r="I72" s="2">
        <v>0.985744412252336</v>
      </c>
      <c r="J72" s="2">
        <v>0.985744412252336</v>
      </c>
      <c r="K72" s="2">
        <v>0.985744412252336</v>
      </c>
    </row>
    <row r="73" spans="1:11" x14ac:dyDescent="0.25">
      <c r="A73">
        <v>7.2</v>
      </c>
      <c r="B73" s="2">
        <v>2.9140473066630197E-11</v>
      </c>
      <c r="C73" s="2">
        <v>7.8184069437421598E-11</v>
      </c>
      <c r="D73" s="2">
        <v>6.5768681526529794E-8</v>
      </c>
      <c r="E73" s="2">
        <v>2.1048095949005599E-5</v>
      </c>
      <c r="F73" s="2">
        <v>1.60838810867503E-3</v>
      </c>
      <c r="G73" s="2">
        <v>0.109764836515735</v>
      </c>
      <c r="H73" s="2">
        <v>0.90418565160226805</v>
      </c>
      <c r="I73" s="2">
        <v>0.98658088121966403</v>
      </c>
      <c r="J73" s="2">
        <v>0.98658088121966403</v>
      </c>
      <c r="K73" s="2">
        <v>0.98658088121966403</v>
      </c>
    </row>
    <row r="74" spans="1:11" x14ac:dyDescent="0.25">
      <c r="A74">
        <v>7.3</v>
      </c>
      <c r="B74" s="2">
        <v>5.8231467425760604E-11</v>
      </c>
      <c r="C74" s="2">
        <v>9.3448439335850097E-11</v>
      </c>
      <c r="D74" s="2">
        <v>5.2225126688003901E-8</v>
      </c>
      <c r="E74" s="2">
        <v>1.80873849927583E-5</v>
      </c>
      <c r="F74" s="2">
        <v>1.46679396980239E-3</v>
      </c>
      <c r="G74" s="2">
        <v>0.10658238792897901</v>
      </c>
      <c r="H74" s="2">
        <v>0.90644125789329899</v>
      </c>
      <c r="I74" s="2">
        <v>0.98736809852673002</v>
      </c>
      <c r="J74" s="2">
        <v>0.98736809852673002</v>
      </c>
      <c r="K74" s="2">
        <v>0.98736809852673102</v>
      </c>
    </row>
    <row r="75" spans="1:11" x14ac:dyDescent="0.25">
      <c r="A75">
        <v>7.4</v>
      </c>
      <c r="B75" s="2">
        <v>5.8223128832705394E-11</v>
      </c>
      <c r="C75" s="2">
        <v>8.3512935950597794E-11</v>
      </c>
      <c r="D75" s="2">
        <v>4.1457241905563903E-8</v>
      </c>
      <c r="E75" s="2">
        <v>1.5544263285187101E-5</v>
      </c>
      <c r="F75" s="2">
        <v>1.3377803953108999E-3</v>
      </c>
      <c r="G75" s="2">
        <v>0.10349296158516599</v>
      </c>
      <c r="H75" s="2">
        <v>0.90866145936031295</v>
      </c>
      <c r="I75" s="2">
        <v>0.98810896740653398</v>
      </c>
      <c r="J75" s="2">
        <v>0.98810896740653398</v>
      </c>
      <c r="K75" s="2">
        <v>0.98810896740653398</v>
      </c>
    </row>
    <row r="76" spans="1:11" x14ac:dyDescent="0.25">
      <c r="A76">
        <v>7.5</v>
      </c>
      <c r="B76" s="2">
        <v>5.8217711554780095E-11</v>
      </c>
      <c r="C76" s="2">
        <v>7.6379646698941097E-11</v>
      </c>
      <c r="D76" s="2">
        <v>3.2913927637021298E-8</v>
      </c>
      <c r="E76" s="2">
        <v>1.3359658656963801E-5</v>
      </c>
      <c r="F76" s="2">
        <v>1.2202167027154599E-3</v>
      </c>
      <c r="G76" s="2">
        <v>0.10049380588135</v>
      </c>
      <c r="H76" s="2">
        <v>0.910845804099776</v>
      </c>
      <c r="I76" s="2">
        <v>0.98880622008592201</v>
      </c>
      <c r="J76" s="2">
        <v>0.98880622008592201</v>
      </c>
      <c r="K76" s="2">
        <v>0.98880622008592201</v>
      </c>
    </row>
    <row r="77" spans="1:11" x14ac:dyDescent="0.25">
      <c r="A77">
        <v>7.6</v>
      </c>
      <c r="B77" s="2">
        <v>5.8214191924216195E-11</v>
      </c>
      <c r="C77" s="2">
        <v>7.1257899782389005E-11</v>
      </c>
      <c r="D77" s="2">
        <v>2.6135140719239899E-8</v>
      </c>
      <c r="E77" s="2">
        <v>1.14828656972701E-5</v>
      </c>
      <c r="F77" s="2">
        <v>1.1130750833923001E-3</v>
      </c>
      <c r="G77" s="2">
        <v>9.7582240841063497E-2</v>
      </c>
      <c r="H77" s="2">
        <v>0.91299390519835599</v>
      </c>
      <c r="I77" s="2">
        <v>0.98946243001713396</v>
      </c>
      <c r="J77" s="2">
        <v>0.98946243001713396</v>
      </c>
      <c r="K77" s="2">
        <v>0.98946243001713396</v>
      </c>
    </row>
    <row r="78" spans="1:11" x14ac:dyDescent="0.25">
      <c r="A78">
        <v>7.7</v>
      </c>
      <c r="B78" s="2">
        <v>5.8211905063947E-11</v>
      </c>
      <c r="C78" s="2">
        <v>6.7580222102389295E-11</v>
      </c>
      <c r="D78" s="2">
        <v>2.075608391309E-8</v>
      </c>
      <c r="E78" s="2">
        <v>9.8703778950160508E-6</v>
      </c>
      <c r="F78" s="2">
        <v>1.01542121565507E-3</v>
      </c>
      <c r="G78" s="2">
        <v>9.4755660855326898E-2</v>
      </c>
      <c r="H78" s="2">
        <v>0.91510544011930794</v>
      </c>
      <c r="I78" s="2">
        <v>0.99008001996891604</v>
      </c>
      <c r="J78" s="2">
        <v>0.99008001996891604</v>
      </c>
      <c r="K78" s="2">
        <v>0.99008001996891604</v>
      </c>
    </row>
    <row r="79" spans="1:11" x14ac:dyDescent="0.25">
      <c r="A79">
        <v>7.8</v>
      </c>
      <c r="B79" s="2">
        <v>5.8210419101838394E-11</v>
      </c>
      <c r="C79" s="2">
        <v>6.4939300906280205E-11</v>
      </c>
      <c r="D79" s="2">
        <v>1.6487461270210699E-8</v>
      </c>
      <c r="E79" s="2">
        <v>8.4848610460547507E-6</v>
      </c>
      <c r="F79" s="2">
        <v>9.2640565130313701E-4</v>
      </c>
      <c r="G79" s="2">
        <v>9.2011534264672803E-2</v>
      </c>
      <c r="H79" s="2">
        <v>0.91718014871268905</v>
      </c>
      <c r="I79" s="2">
        <v>0.99066127047859198</v>
      </c>
      <c r="J79" s="2">
        <v>0.99066127047859198</v>
      </c>
      <c r="K79" s="2">
        <v>0.99066127047859198</v>
      </c>
    </row>
    <row r="80" spans="1:11" x14ac:dyDescent="0.25">
      <c r="A80">
        <v>7.9</v>
      </c>
      <c r="B80" s="2">
        <v>5.8209453494884802E-11</v>
      </c>
      <c r="C80" s="2">
        <v>6.3042759092550298E-11</v>
      </c>
      <c r="D80" s="2">
        <v>1.3099832364769901E-8</v>
      </c>
      <c r="E80" s="2">
        <v>7.2942737713613599E-6</v>
      </c>
      <c r="F80" s="2">
        <v>8.4525600179528198E-4</v>
      </c>
      <c r="G80" s="2">
        <v>8.9347402626702196E-2</v>
      </c>
      <c r="H80" s="2">
        <v>0.91921783102385402</v>
      </c>
      <c r="I80" s="2">
        <v>0.99120832790370705</v>
      </c>
      <c r="J80" s="2">
        <v>0.99120832790370705</v>
      </c>
      <c r="K80" s="2">
        <v>0.99120832790370705</v>
      </c>
    </row>
    <row r="81" spans="1:11" x14ac:dyDescent="0.25">
      <c r="A81">
        <v>8</v>
      </c>
      <c r="B81" s="2">
        <v>5.8208825990765904E-11</v>
      </c>
      <c r="C81" s="2">
        <v>6.1680707391783694E-11</v>
      </c>
      <c r="D81" s="2">
        <v>1.0411213192664499E-8</v>
      </c>
      <c r="E81" s="2">
        <v>6.2711139591724003E-6</v>
      </c>
      <c r="F81" s="2">
        <v>7.7126985043400001E-4</v>
      </c>
      <c r="G81" s="2">
        <v>8.6760879725756995E-2</v>
      </c>
      <c r="H81" s="2">
        <v>0.92121834494386701</v>
      </c>
      <c r="I81" s="2">
        <v>0.99172321207921299</v>
      </c>
      <c r="J81" s="2">
        <v>0.99172321207921199</v>
      </c>
      <c r="K81" s="2">
        <v>0.99172321207921299</v>
      </c>
    </row>
    <row r="82" spans="1:11" x14ac:dyDescent="0.25">
      <c r="A82">
        <v>8.1</v>
      </c>
      <c r="B82" s="2">
        <v>5.8208418183135697E-11</v>
      </c>
      <c r="C82" s="2">
        <v>6.0702461660057106E-11</v>
      </c>
      <c r="D82" s="2">
        <v>8.2772490072121003E-9</v>
      </c>
      <c r="E82" s="2">
        <v>5.3917730095070699E-6</v>
      </c>
      <c r="F82" s="2">
        <v>7.0380832340022597E-4</v>
      </c>
      <c r="G82" s="2">
        <v>8.4249650373503904E-2</v>
      </c>
      <c r="H82" s="2">
        <v>0.92318160374015001</v>
      </c>
      <c r="I82" s="2">
        <v>0.99220782358860704</v>
      </c>
      <c r="J82" s="2">
        <v>0.99220782358860704</v>
      </c>
      <c r="K82" s="2">
        <v>0.99220782358860704</v>
      </c>
    </row>
    <row r="83" spans="1:11" x14ac:dyDescent="0.25">
      <c r="A83">
        <v>8.1999999999999993</v>
      </c>
      <c r="B83" s="2">
        <v>1.16415814054067E-10</v>
      </c>
      <c r="C83" s="2">
        <v>1.1820749635441799E-10</v>
      </c>
      <c r="D83" s="2">
        <v>6.6416336758892501E-9</v>
      </c>
      <c r="E83" s="2">
        <v>4.6360412373765101E-6</v>
      </c>
      <c r="F83" s="2">
        <v>6.4229036712059901E-4</v>
      </c>
      <c r="G83" s="2">
        <v>8.1811471624558194E-2</v>
      </c>
      <c r="H83" s="2">
        <v>0.92510757413003597</v>
      </c>
      <c r="I83" s="2">
        <v>0.99266395009192299</v>
      </c>
      <c r="J83" s="2">
        <v>0.99266395009192299</v>
      </c>
      <c r="K83" s="2">
        <v>0.99266395009192299</v>
      </c>
    </row>
    <row r="84" spans="1:11" x14ac:dyDescent="0.25">
      <c r="A84">
        <v>8.3000000000000007</v>
      </c>
      <c r="B84" s="2">
        <v>1.1641564178914001E-10</v>
      </c>
      <c r="C84" s="2">
        <v>1.17702808909505E-10</v>
      </c>
      <c r="D84" s="2">
        <v>5.2970990239465102E-9</v>
      </c>
      <c r="E84" s="2">
        <v>3.9863979506784497E-6</v>
      </c>
      <c r="F84" s="2">
        <v>5.8618702006225996E-4</v>
      </c>
      <c r="G84" s="2">
        <v>7.9444160810041201E-2</v>
      </c>
      <c r="H84" s="2">
        <v>0.92699627107910398</v>
      </c>
      <c r="I84" s="2">
        <v>0.99309327516948598</v>
      </c>
      <c r="J84" s="2">
        <v>0.99309327516948598</v>
      </c>
      <c r="K84" s="2">
        <v>0.99309327516948598</v>
      </c>
    </row>
    <row r="85" spans="1:11" x14ac:dyDescent="0.25">
      <c r="A85">
        <v>8.4</v>
      </c>
      <c r="B85" s="2">
        <v>1.16415529820165E-10</v>
      </c>
      <c r="C85" s="2">
        <v>1.1734028160438699E-10</v>
      </c>
      <c r="D85" s="2">
        <v>4.2297731741740897E-9</v>
      </c>
      <c r="E85" s="2">
        <v>3.42795812175856E-6</v>
      </c>
      <c r="F85" s="2">
        <v>5.3501727997500904E-4</v>
      </c>
      <c r="G85" s="2">
        <v>7.71456098692931E-2</v>
      </c>
      <c r="H85" s="2">
        <v>0.92884775915663698</v>
      </c>
      <c r="I85" s="2">
        <v>0.99349738096499396</v>
      </c>
      <c r="J85" s="2">
        <v>0.99349738096499396</v>
      </c>
      <c r="K85" s="2">
        <v>0.99349738096499396</v>
      </c>
    </row>
    <row r="86" spans="1:11" x14ac:dyDescent="0.25">
      <c r="A86">
        <v>8.5</v>
      </c>
      <c r="B86" s="2">
        <v>1.16415457039265E-10</v>
      </c>
      <c r="C86" s="2">
        <v>1.17079859171551E-10</v>
      </c>
      <c r="D86" s="2">
        <v>3.3824627456970602E-9</v>
      </c>
      <c r="E86" s="2">
        <v>2.9478879646243401E-6</v>
      </c>
      <c r="F86" s="2">
        <v>4.8834330301823303E-4</v>
      </c>
      <c r="G86" s="2">
        <v>7.4913772901730999E-2</v>
      </c>
      <c r="H86" s="2">
        <v>0.93066214713209405</v>
      </c>
      <c r="I86" s="2">
        <v>0.993877756434832</v>
      </c>
      <c r="J86" s="2">
        <v>0.993877756434832</v>
      </c>
      <c r="K86" s="2">
        <v>0.993877756434832</v>
      </c>
    </row>
    <row r="87" spans="1:11" x14ac:dyDescent="0.25">
      <c r="A87">
        <v>8.6</v>
      </c>
      <c r="B87" s="2">
        <v>1.1641540972902199E-10</v>
      </c>
      <c r="C87" s="2">
        <v>1.1689277603983001E-10</v>
      </c>
      <c r="D87" s="2">
        <v>2.7097840700087398E-9</v>
      </c>
      <c r="E87" s="2">
        <v>2.53516482687854E-6</v>
      </c>
      <c r="F87" s="2">
        <v>4.4576656840486999E-4</v>
      </c>
      <c r="G87" s="2">
        <v>7.2746667182693195E-2</v>
      </c>
      <c r="H87" s="2">
        <v>0.93243958604003596</v>
      </c>
      <c r="I87" s="2">
        <v>0.99423580225174601</v>
      </c>
      <c r="J87" s="2">
        <v>0.99423580225174601</v>
      </c>
      <c r="K87" s="2">
        <v>0.99423580225174601</v>
      </c>
    </row>
    <row r="88" spans="1:11" x14ac:dyDescent="0.25">
      <c r="A88">
        <v>8.6999999999999993</v>
      </c>
      <c r="B88" s="2">
        <v>1.16415378974419E-10</v>
      </c>
      <c r="C88" s="2">
        <v>1.1675837315496901E-10</v>
      </c>
      <c r="D88" s="2">
        <v>2.1757223257914199E-9</v>
      </c>
      <c r="E88" s="2">
        <v>2.18032069768199E-6</v>
      </c>
      <c r="F88" s="2">
        <v>4.0692429546975697E-4</v>
      </c>
      <c r="G88" s="2">
        <v>7.06423714102795E-2</v>
      </c>
      <c r="H88" s="2">
        <v>0.93418026656028896</v>
      </c>
      <c r="I88" s="2">
        <v>0.99457283601390301</v>
      </c>
      <c r="J88" s="2">
        <v>0.99457283601390301</v>
      </c>
      <c r="K88" s="2">
        <v>0.99457283601390301</v>
      </c>
    </row>
    <row r="89" spans="1:11" x14ac:dyDescent="0.25">
      <c r="A89">
        <v>8.8000000000000007</v>
      </c>
      <c r="B89" s="2">
        <v>1.16415358981257E-10</v>
      </c>
      <c r="C89" s="2">
        <v>1.1666181266836899E-10</v>
      </c>
      <c r="D89" s="2">
        <v>1.75169570654213E-9</v>
      </c>
      <c r="E89" s="2">
        <v>1.8752221925425101E-6</v>
      </c>
      <c r="F89" s="2">
        <v>3.7148619230373698E-4</v>
      </c>
      <c r="G89" s="2">
        <v>6.8599023936097306E-2</v>
      </c>
      <c r="H89" s="2">
        <v>0.93588441643676201</v>
      </c>
      <c r="I89" s="2">
        <v>0.99489009715862697</v>
      </c>
      <c r="J89" s="2">
        <v>0.99489009715862697</v>
      </c>
      <c r="K89" s="2">
        <v>0.99489009715862697</v>
      </c>
    </row>
    <row r="90" spans="1:11" x14ac:dyDescent="0.25">
      <c r="A90">
        <v>8.9</v>
      </c>
      <c r="B90" s="2">
        <v>1.1641534598350001E-10</v>
      </c>
      <c r="C90" s="2">
        <v>1.1659243712478E-10</v>
      </c>
      <c r="D90" s="2">
        <v>1.4150199973235601E-9</v>
      </c>
      <c r="E90" s="2">
        <v>1.61288180224534E-6</v>
      </c>
      <c r="F90" s="2">
        <v>3.3915150486751899E-4</v>
      </c>
      <c r="G90" s="2">
        <v>6.6614820993203705E-2</v>
      </c>
      <c r="H90" s="2">
        <v>0.93755229794635897</v>
      </c>
      <c r="I90" s="2">
        <v>0.99518875159498699</v>
      </c>
      <c r="J90" s="2">
        <v>0.99518875159498699</v>
      </c>
      <c r="K90" s="2">
        <v>0.99518875159498699</v>
      </c>
    </row>
    <row r="91" spans="1:11" x14ac:dyDescent="0.25">
      <c r="A91">
        <v>9</v>
      </c>
      <c r="B91" s="2">
        <v>1.1641533753323701E-10</v>
      </c>
      <c r="C91" s="2">
        <v>1.16542591312155E-10</v>
      </c>
      <c r="D91" s="2">
        <v>1.14769064091797E-9</v>
      </c>
      <c r="E91" s="2">
        <v>1.3872959421528199E-6</v>
      </c>
      <c r="F91" s="2">
        <v>3.0964633842268702E-4</v>
      </c>
      <c r="G91" s="2">
        <v>6.4688014932258106E-2</v>
      </c>
      <c r="H91" s="2">
        <v>0.93918420542741399</v>
      </c>
      <c r="I91" s="2">
        <v>0.99546989606917902</v>
      </c>
      <c r="J91" s="2">
        <v>0.99546989606917902</v>
      </c>
      <c r="K91" s="2">
        <v>0.99546989606917902</v>
      </c>
    </row>
    <row r="92" spans="1:11" x14ac:dyDescent="0.25">
      <c r="A92">
        <v>9.1</v>
      </c>
      <c r="B92" s="2">
        <v>1.1641533203926801E-10</v>
      </c>
      <c r="C92" s="2">
        <v>1.1650677626335499E-10</v>
      </c>
      <c r="D92" s="2">
        <v>9.3541656833368197E-10</v>
      </c>
      <c r="E92" s="2">
        <v>1.1933059788193701E-6</v>
      </c>
      <c r="F92" s="2">
        <v>2.8272122577207702E-4</v>
      </c>
      <c r="G92" s="2">
        <v>6.2816912474960199E-2</v>
      </c>
      <c r="H92" s="2">
        <v>0.94078046287541806</v>
      </c>
      <c r="I92" s="2">
        <v>0.99573456227638002</v>
      </c>
      <c r="J92" s="2">
        <v>0.99573456227638002</v>
      </c>
      <c r="K92" s="2">
        <v>0.99573456227638002</v>
      </c>
    </row>
    <row r="93" spans="1:11" x14ac:dyDescent="0.25">
      <c r="A93">
        <v>9.1999999999999993</v>
      </c>
      <c r="B93" s="2">
        <v>1.16415328467235E-10</v>
      </c>
      <c r="C93" s="2">
        <v>1.16481041730873E-10</v>
      </c>
      <c r="D93" s="2">
        <v>7.66853692404896E-10</v>
      </c>
      <c r="E93" s="2">
        <v>1.0264789590945399E-6</v>
      </c>
      <c r="F93" s="2">
        <v>2.5814891921030302E-4</v>
      </c>
      <c r="G93" s="2">
        <v>6.0999872992144398E-2</v>
      </c>
      <c r="H93" s="2">
        <v>0.94234142161226497</v>
      </c>
      <c r="I93" s="2">
        <v>0.99598372073234698</v>
      </c>
      <c r="J93" s="2">
        <v>0.99598372073234698</v>
      </c>
      <c r="K93" s="2">
        <v>0.99598372073234698</v>
      </c>
    </row>
    <row r="94" spans="1:11" x14ac:dyDescent="0.25">
      <c r="A94">
        <v>9.3000000000000007</v>
      </c>
      <c r="B94" s="2">
        <v>1.1641532614472401E-10</v>
      </c>
      <c r="C94" s="2">
        <v>1.1646254988784099E-10</v>
      </c>
      <c r="D94" s="2">
        <v>6.3299675891816401E-10</v>
      </c>
      <c r="E94" s="2">
        <v>8.8300523605727297E-7</v>
      </c>
      <c r="F94" s="2">
        <v>2.3572238526860099E-4</v>
      </c>
      <c r="G94" s="2">
        <v>5.9235306812470301E-2</v>
      </c>
      <c r="H94" s="2">
        <v>0.94386745803394001</v>
      </c>
      <c r="I94" s="2">
        <v>0.99621828441762905</v>
      </c>
      <c r="J94" s="2">
        <v>0.99621828441762905</v>
      </c>
      <c r="K94" s="2">
        <v>0.99621828441762905</v>
      </c>
    </row>
    <row r="95" spans="1:11" x14ac:dyDescent="0.25">
      <c r="A95">
        <v>9.4</v>
      </c>
      <c r="B95" s="2">
        <v>1.1641532463460199E-10</v>
      </c>
      <c r="C95" s="2">
        <v>1.1644926197928401E-10</v>
      </c>
      <c r="D95" s="2">
        <v>5.2669680529415399E-10</v>
      </c>
      <c r="E95" s="2">
        <v>7.5961058769489998E-7</v>
      </c>
      <c r="F95" s="2">
        <v>2.1525298331676599E-4</v>
      </c>
      <c r="G95" s="2">
        <v>5.75216735664099E-2</v>
      </c>
      <c r="H95" s="2">
        <v>0.94535897144039505</v>
      </c>
      <c r="I95" s="2">
        <v>0.99643911220681203</v>
      </c>
      <c r="J95" s="2">
        <v>0.99643911220681203</v>
      </c>
      <c r="K95" s="2">
        <v>0.99643911220681303</v>
      </c>
    </row>
    <row r="96" spans="1:11" x14ac:dyDescent="0.25">
      <c r="A96">
        <v>9.5</v>
      </c>
      <c r="B96" s="2">
        <v>1.16415323652679E-10</v>
      </c>
      <c r="C96" s="2">
        <v>1.1643971326399999E-10</v>
      </c>
      <c r="D96" s="2">
        <v>4.4227825789723999E-10</v>
      </c>
      <c r="E96" s="2">
        <v>6.5348076801181196E-7</v>
      </c>
      <c r="F96" s="2">
        <v>1.9656881087658701E-4</v>
      </c>
      <c r="G96" s="2">
        <v>5.5857480569163398E-2</v>
      </c>
      <c r="H96" s="2">
        <v>0.94681638195031204</v>
      </c>
      <c r="I96" s="2">
        <v>0.99664701209469797</v>
      </c>
      <c r="J96" s="2">
        <v>0.99664701209469797</v>
      </c>
      <c r="K96" s="2">
        <v>0.99664701209469797</v>
      </c>
    </row>
    <row r="97" spans="1:11" x14ac:dyDescent="0.25">
      <c r="A97">
        <v>9.6</v>
      </c>
      <c r="B97" s="2">
        <v>1.16415323014188E-10</v>
      </c>
      <c r="C97" s="2">
        <v>1.16432851361744E-10</v>
      </c>
      <c r="D97" s="2">
        <v>3.75235074164473E-10</v>
      </c>
      <c r="E97" s="2">
        <v>5.6219672459096702E-7</v>
      </c>
      <c r="F97" s="2">
        <v>1.7951320012310899E-4</v>
      </c>
      <c r="G97" s="2">
        <v>5.42412812452586E-2</v>
      </c>
      <c r="H97" s="2">
        <v>0.94824012850261497</v>
      </c>
      <c r="I97" s="2">
        <v>0.99684274423083696</v>
      </c>
      <c r="J97" s="2">
        <v>0.99684274423083696</v>
      </c>
      <c r="K97" s="2">
        <v>0.99684274423083696</v>
      </c>
    </row>
    <row r="98" spans="1:11" x14ac:dyDescent="0.25">
      <c r="A98">
        <v>9.6999999999999993</v>
      </c>
      <c r="B98" s="2">
        <v>2.3283064442593902E-10</v>
      </c>
      <c r="C98" s="2">
        <v>2.32843241973393E-10</v>
      </c>
      <c r="D98" s="2">
        <v>4.3840507295452402E-10</v>
      </c>
      <c r="E98" s="2">
        <v>4.8379562296677199E-7</v>
      </c>
      <c r="F98" s="2">
        <v>1.6394350240594801E-4</v>
      </c>
      <c r="G98" s="2">
        <v>5.2671676130948503E-2</v>
      </c>
      <c r="H98" s="2">
        <v>0.94963066705100796</v>
      </c>
      <c r="I98" s="2">
        <v>0.997027023363807</v>
      </c>
      <c r="J98" s="2">
        <v>0.997027023363807</v>
      </c>
      <c r="K98" s="2">
        <v>0.997027023363807</v>
      </c>
    </row>
    <row r="99" spans="1:11" x14ac:dyDescent="0.25">
      <c r="A99">
        <v>9.8000000000000007</v>
      </c>
      <c r="B99" s="2">
        <v>2.3283064415595399E-10</v>
      </c>
      <c r="C99" s="2">
        <v>2.3283969812233501E-10</v>
      </c>
      <c r="D99" s="2">
        <v>3.9611661838677598E-10</v>
      </c>
      <c r="E99" s="2">
        <v>4.1625643213978598E-7</v>
      </c>
      <c r="F99" s="2">
        <v>1.49729240956403E-4</v>
      </c>
      <c r="G99" s="2">
        <v>5.11473011700865E-2</v>
      </c>
      <c r="H99" s="2">
        <v>0.95098846829291495</v>
      </c>
      <c r="I99" s="2">
        <v>0.997200523182599</v>
      </c>
      <c r="J99" s="2">
        <v>0.997200523182598</v>
      </c>
      <c r="K99" s="2">
        <v>0.997200523182598</v>
      </c>
    </row>
    <row r="100" spans="1:11" x14ac:dyDescent="0.25">
      <c r="A100">
        <v>9.9</v>
      </c>
      <c r="B100" s="2">
        <v>2.3283064398038697E-10</v>
      </c>
      <c r="C100" s="2">
        <v>2.3283715126007102E-10</v>
      </c>
      <c r="D100" s="2">
        <v>3.6252964589761402E-10</v>
      </c>
      <c r="E100" s="2">
        <v>3.58158884358712E-7</v>
      </c>
      <c r="F100" s="2">
        <v>1.3675189260814401E-4</v>
      </c>
      <c r="G100" s="2">
        <v>4.9666841725684703E-2</v>
      </c>
      <c r="H100" s="2">
        <v>0.95231401665194404</v>
      </c>
      <c r="I100" s="2">
        <v>0.99736387632137302</v>
      </c>
      <c r="J100" s="2">
        <v>0.99736387632137302</v>
      </c>
      <c r="K100" s="2">
        <v>0.99736387632137302</v>
      </c>
    </row>
    <row r="101" spans="1:11" x14ac:dyDescent="0.25">
      <c r="A101">
        <v>10</v>
      </c>
      <c r="B101" s="2">
        <v>2.3283064386621501E-10</v>
      </c>
      <c r="C101" s="2">
        <v>2.3283532086628199E-10</v>
      </c>
      <c r="D101" s="2">
        <v>3.35853102857647E-10</v>
      </c>
      <c r="E101" s="2">
        <v>3.0818154005499502E-7</v>
      </c>
      <c r="F101" s="2">
        <v>1.2490325197350599E-4</v>
      </c>
      <c r="G101" s="2">
        <v>4.82290207954401E-2</v>
      </c>
      <c r="H101" s="2">
        <v>0.95360780812107604</v>
      </c>
      <c r="I101" s="2">
        <v>0.99751767843220895</v>
      </c>
      <c r="J101" s="2">
        <v>0.99751767843220895</v>
      </c>
      <c r="K101" s="2">
        <v>0.99751767843220895</v>
      </c>
    </row>
    <row r="102" spans="1:11" x14ac:dyDescent="0.25">
      <c r="A102">
        <v>10.1</v>
      </c>
      <c r="B102" s="2">
        <v>2.3283064379196702E-10</v>
      </c>
      <c r="C102" s="2">
        <v>2.3283400536221202E-10</v>
      </c>
      <c r="D102" s="2">
        <v>3.1466474150352499E-10</v>
      </c>
      <c r="E102" s="2">
        <v>2.6518818719706698E-7</v>
      </c>
      <c r="F102" s="2">
        <v>1.14084650603387E-4</v>
      </c>
      <c r="G102" s="2">
        <v>4.6832600283692898E-2</v>
      </c>
      <c r="H102" s="2">
        <v>0.95487034883755195</v>
      </c>
      <c r="I102" s="2">
        <v>0.99766248998374296</v>
      </c>
      <c r="J102" s="2">
        <v>0.99766248998374296</v>
      </c>
      <c r="K102" s="2">
        <v>0.99766248998374296</v>
      </c>
    </row>
    <row r="103" spans="1:11" x14ac:dyDescent="0.25">
      <c r="A103">
        <v>10.199999999999999</v>
      </c>
      <c r="B103" s="2">
        <v>2.32830643743682E-10</v>
      </c>
      <c r="C103" s="2">
        <v>2.32833059891719E-10</v>
      </c>
      <c r="D103" s="2">
        <v>2.9783514011201301E-10</v>
      </c>
      <c r="E103" s="2">
        <v>2.2820182717152801E-7</v>
      </c>
      <c r="F103" s="2">
        <v>1.0420610774223E-4</v>
      </c>
      <c r="G103" s="2">
        <v>4.5476379698641198E-2</v>
      </c>
      <c r="H103" s="2">
        <v>0.95610215360658402</v>
      </c>
      <c r="I103" s="2">
        <v>0.99779883835708805</v>
      </c>
      <c r="J103" s="2">
        <v>0.99779883835708805</v>
      </c>
      <c r="K103" s="2">
        <v>0.99779883835708805</v>
      </c>
    </row>
    <row r="104" spans="1:11" x14ac:dyDescent="0.25">
      <c r="A104">
        <v>10.3</v>
      </c>
      <c r="B104" s="2">
        <v>2.3283064371228001E-10</v>
      </c>
      <c r="C104" s="2">
        <v>2.3283238035733299E-10</v>
      </c>
      <c r="D104" s="2">
        <v>2.8446738577244802E-10</v>
      </c>
      <c r="E104" s="2">
        <v>1.9638232322696499E-7</v>
      </c>
      <c r="F104" s="2">
        <v>9.5185557736109105E-5</v>
      </c>
      <c r="G104" s="2">
        <v>4.4159194894828301E-2</v>
      </c>
      <c r="H104" s="2">
        <v>0.95730374450802902</v>
      </c>
      <c r="I104" s="2">
        <v>0.99792721981593302</v>
      </c>
      <c r="J104" s="2">
        <v>0.99792721981593302</v>
      </c>
      <c r="K104" s="2">
        <v>0.99792721981593302</v>
      </c>
    </row>
    <row r="105" spans="1:11" x14ac:dyDescent="0.25">
      <c r="A105">
        <v>10.4</v>
      </c>
      <c r="B105" s="2">
        <v>2.32830643691858E-10</v>
      </c>
      <c r="C105" s="2">
        <v>2.3283189195003099E-10</v>
      </c>
      <c r="D105" s="2">
        <v>2.7384918823386801E-10</v>
      </c>
      <c r="E105" s="2">
        <v>1.69007194228587E-7</v>
      </c>
      <c r="F105" s="2">
        <v>8.6948147058397898E-5</v>
      </c>
      <c r="G105" s="2">
        <v>4.2879916860105498E-2</v>
      </c>
      <c r="H105" s="2">
        <v>0.95847564958404796</v>
      </c>
      <c r="I105" s="2">
        <v>0.99804810135833899</v>
      </c>
      <c r="J105" s="2">
        <v>0.99804810135833899</v>
      </c>
      <c r="K105" s="2">
        <v>0.99804810135833899</v>
      </c>
    </row>
    <row r="106" spans="1:11" x14ac:dyDescent="0.25">
      <c r="A106">
        <v>10.5</v>
      </c>
      <c r="B106" s="2">
        <v>2.32830643678577E-10</v>
      </c>
      <c r="C106" s="2">
        <v>2.3283154090752601E-10</v>
      </c>
      <c r="D106" s="2">
        <v>2.6541486119426399E-10</v>
      </c>
      <c r="E106" s="2">
        <v>1.4545510979935701E-7</v>
      </c>
      <c r="F106" s="2">
        <v>7.9425594575605404E-5</v>
      </c>
      <c r="G106" s="2">
        <v>4.1637450546132403E-2</v>
      </c>
      <c r="H106" s="2">
        <v>0.95961840160552403</v>
      </c>
      <c r="I106" s="2">
        <v>0.99816192245731294</v>
      </c>
      <c r="J106" s="2">
        <v>0.99816192245731294</v>
      </c>
      <c r="K106" s="2">
        <v>0.99816192245731294</v>
      </c>
    </row>
    <row r="107" spans="1:11" x14ac:dyDescent="0.25">
      <c r="A107">
        <v>10.6</v>
      </c>
      <c r="B107" s="2">
        <v>2.3283064366993901E-10</v>
      </c>
      <c r="C107" s="2">
        <v>2.3283128859214498E-10</v>
      </c>
      <c r="D107" s="2">
        <v>2.5871513649353498E-10</v>
      </c>
      <c r="E107" s="2">
        <v>1.25191705808106E-7</v>
      </c>
      <c r="F107" s="2">
        <v>7.2555609271340898E-5</v>
      </c>
      <c r="G107" s="2">
        <v>4.0430733741371502E-2</v>
      </c>
      <c r="H107" s="2">
        <v>0.96073253691487404</v>
      </c>
      <c r="I107" s="2">
        <v>0.99826909669684605</v>
      </c>
      <c r="J107" s="2">
        <v>0.99826909669684605</v>
      </c>
      <c r="K107" s="2">
        <v>0.99826909669684605</v>
      </c>
    </row>
    <row r="108" spans="1:11" x14ac:dyDescent="0.25">
      <c r="A108">
        <v>10.7</v>
      </c>
      <c r="B108" s="2">
        <v>2.32830643664321E-10</v>
      </c>
      <c r="C108" s="2">
        <v>2.3283110723534598E-10</v>
      </c>
      <c r="D108" s="2">
        <v>2.53393196471712E-10</v>
      </c>
      <c r="E108" s="2">
        <v>1.07757393102252E-7</v>
      </c>
      <c r="F108" s="2">
        <v>6.6281360185081601E-5</v>
      </c>
      <c r="G108" s="2">
        <v>3.92587359853988E-2</v>
      </c>
      <c r="H108" s="2">
        <v>0.96181859434277095</v>
      </c>
      <c r="I108" s="2">
        <v>0.99837001330971598</v>
      </c>
      <c r="J108" s="2">
        <v>0.99837001330971598</v>
      </c>
      <c r="K108" s="2">
        <v>0.99837001330971598</v>
      </c>
    </row>
    <row r="109" spans="1:11" x14ac:dyDescent="0.25">
      <c r="A109">
        <v>10.8</v>
      </c>
      <c r="B109" s="2">
        <v>2.3283064366066699E-10</v>
      </c>
      <c r="C109" s="2">
        <v>2.32830976879742E-10</v>
      </c>
      <c r="D109" s="2">
        <v>2.4916564286012797E-10</v>
      </c>
      <c r="E109" s="2">
        <v>9.27568786521766E-8</v>
      </c>
      <c r="F109" s="2">
        <v>6.0550993810001701E-5</v>
      </c>
      <c r="G109" s="2">
        <v>3.8120457523324103E-2</v>
      </c>
      <c r="H109" s="2">
        <v>0.96287711419618605</v>
      </c>
      <c r="I109" s="2">
        <v>0.99846503862298897</v>
      </c>
      <c r="J109" s="2">
        <v>0.99846503862298897</v>
      </c>
      <c r="K109" s="2">
        <v>0.99846503862298897</v>
      </c>
    </row>
    <row r="110" spans="1:11" x14ac:dyDescent="0.25">
      <c r="A110">
        <v>10.9</v>
      </c>
      <c r="B110" s="2">
        <v>2.3283064365829101E-10</v>
      </c>
      <c r="C110" s="2">
        <v>2.3283088318159601E-10</v>
      </c>
      <c r="D110" s="2">
        <v>2.4580738490633502E-10</v>
      </c>
      <c r="E110" s="2">
        <v>7.9850157971498699E-8</v>
      </c>
      <c r="F110" s="2">
        <v>5.5317194635415497E-5</v>
      </c>
      <c r="G110" s="2">
        <v>3.7014928299041398E-2</v>
      </c>
      <c r="H110" s="2">
        <v>0.96390863731507903</v>
      </c>
      <c r="I110" s="2">
        <v>0.99855451741677204</v>
      </c>
      <c r="J110" s="2">
        <v>0.99855451741677204</v>
      </c>
      <c r="K110" s="2">
        <v>0.99855451741677204</v>
      </c>
    </row>
    <row r="111" spans="1:11" x14ac:dyDescent="0.25">
      <c r="A111">
        <v>11</v>
      </c>
      <c r="B111" s="2">
        <v>2.3283064365674501E-10</v>
      </c>
      <c r="C111" s="2">
        <v>2.3283081583162901E-10</v>
      </c>
      <c r="D111" s="2">
        <v>2.43139639206305E-10</v>
      </c>
      <c r="E111" s="2">
        <v>6.8744771740702401E-8</v>
      </c>
      <c r="F111" s="2">
        <v>5.0536784918916903E-5</v>
      </c>
      <c r="G111" s="2">
        <v>3.5941206985995601E-2</v>
      </c>
      <c r="H111" s="2">
        <v>0.96491370419508005</v>
      </c>
      <c r="I111" s="2">
        <v>0.99863877420150604</v>
      </c>
      <c r="J111" s="2">
        <v>0.99863877420150504</v>
      </c>
      <c r="K111" s="2">
        <v>0.99863877420150604</v>
      </c>
    </row>
    <row r="112" spans="1:11" x14ac:dyDescent="0.25">
      <c r="A112">
        <v>11.1</v>
      </c>
      <c r="B112" s="2">
        <v>2.3283064365573999E-10</v>
      </c>
      <c r="C112" s="2">
        <v>2.3283076742012301E-10</v>
      </c>
      <c r="D112" s="2">
        <v>2.4102040020158602E-10</v>
      </c>
      <c r="E112" s="2">
        <v>5.9189148794231397E-8</v>
      </c>
      <c r="F112" s="2">
        <v>4.6170360135082698E-5</v>
      </c>
      <c r="G112" s="2">
        <v>3.4898380054159198E-2</v>
      </c>
      <c r="H112" s="2">
        <v>0.96589285417340398</v>
      </c>
      <c r="I112" s="2">
        <v>0.99871811441868796</v>
      </c>
      <c r="J112" s="2">
        <v>0.99871811441868796</v>
      </c>
      <c r="K112" s="2">
        <v>0.99871811441868796</v>
      </c>
    </row>
    <row r="113" spans="1:11" x14ac:dyDescent="0.25">
      <c r="A113">
        <v>11.2</v>
      </c>
      <c r="B113" s="2">
        <v>2.32830643655086E-10</v>
      </c>
      <c r="C113" s="2">
        <v>2.32830732621318E-10</v>
      </c>
      <c r="D113" s="2">
        <v>2.3933687243554402E-10</v>
      </c>
      <c r="E113" s="2">
        <v>5.0966882721494801E-8</v>
      </c>
      <c r="F113" s="2">
        <v>4.2181956875240998E-5</v>
      </c>
      <c r="G113" s="2">
        <v>3.3885560871892803E-2</v>
      </c>
      <c r="H113" s="2">
        <v>0.96684662467530003</v>
      </c>
      <c r="I113" s="2">
        <v>0.99879282556969895</v>
      </c>
      <c r="J113" s="2">
        <v>0.99879282556969895</v>
      </c>
      <c r="K113" s="2">
        <v>0.99879282556969995</v>
      </c>
    </row>
    <row r="114" spans="1:11" x14ac:dyDescent="0.25">
      <c r="A114">
        <v>11.3</v>
      </c>
      <c r="B114" s="2">
        <v>2.3283064365466098E-10</v>
      </c>
      <c r="C114" s="2">
        <v>2.3283070760725003E-10</v>
      </c>
      <c r="D114" s="2">
        <v>2.3799946054388498E-10</v>
      </c>
      <c r="E114" s="2">
        <v>4.3891810869929101E-8</v>
      </c>
      <c r="F114" s="2">
        <v>3.8538750269657297E-5</v>
      </c>
      <c r="G114" s="2">
        <v>3.2901888841366099E-2</v>
      </c>
      <c r="H114" s="2">
        <v>0.96777555051831299</v>
      </c>
      <c r="I114" s="2">
        <v>0.99886317827706295</v>
      </c>
      <c r="J114" s="2">
        <v>0.99886317827706295</v>
      </c>
      <c r="K114" s="2">
        <v>0.99886317827706295</v>
      </c>
    </row>
    <row r="115" spans="1:11" x14ac:dyDescent="0.25">
      <c r="A115">
        <v>11.4</v>
      </c>
      <c r="B115" s="2">
        <v>2.3283064365438398E-10</v>
      </c>
      <c r="C115" s="2">
        <v>2.3283068962647701E-10</v>
      </c>
      <c r="D115" s="2">
        <v>2.3693699620657999E-10</v>
      </c>
      <c r="E115" s="2">
        <v>3.7803783028509302E-8</v>
      </c>
      <c r="F115" s="2">
        <v>3.5210778272389199E-5</v>
      </c>
      <c r="G115" s="2">
        <v>3.1946528566251797E-2</v>
      </c>
      <c r="H115" s="2">
        <v>0.96868016327167805</v>
      </c>
      <c r="I115" s="2">
        <v>0.99892942728224798</v>
      </c>
      <c r="J115" s="2">
        <v>0.99892942728224798</v>
      </c>
      <c r="K115" s="2">
        <v>0.99892942728224798</v>
      </c>
    </row>
    <row r="116" spans="1:11" x14ac:dyDescent="0.25">
      <c r="A116">
        <v>11.5</v>
      </c>
      <c r="B116" s="2">
        <v>2.3283064365420402E-10</v>
      </c>
      <c r="C116" s="2">
        <v>2.3283067670131202E-10</v>
      </c>
      <c r="D116" s="2">
        <v>2.3609294737517499E-10</v>
      </c>
      <c r="E116" s="2">
        <v>3.2565022946010297E-8</v>
      </c>
      <c r="F116" s="2">
        <v>3.2170690392823401E-5</v>
      </c>
      <c r="G116" s="2">
        <v>3.1018669050401099E-2</v>
      </c>
      <c r="H116" s="2">
        <v>0.96956099066819901</v>
      </c>
      <c r="I116" s="2">
        <v>0.99899181238385004</v>
      </c>
      <c r="J116" s="2">
        <v>0.99899181238385004</v>
      </c>
      <c r="K116" s="2">
        <v>0.99899181238385004</v>
      </c>
    </row>
    <row r="117" spans="1:11" x14ac:dyDescent="0.25">
      <c r="A117">
        <v>11.6</v>
      </c>
      <c r="B117" s="2">
        <v>2.3283064365408702E-10</v>
      </c>
      <c r="C117" s="2">
        <v>2.3283066741020498E-10</v>
      </c>
      <c r="D117" s="2">
        <v>2.3542240755283799E-10</v>
      </c>
      <c r="E117" s="2">
        <v>2.80569994710125E-8</v>
      </c>
      <c r="F117" s="2">
        <v>2.9393518678843498E-5</v>
      </c>
      <c r="G117" s="2">
        <v>3.0117522926265999E-2</v>
      </c>
      <c r="H117" s="2">
        <v>0.97041855606599303</v>
      </c>
      <c r="I117" s="2">
        <v>0.99905055931976405</v>
      </c>
      <c r="J117" s="2">
        <v>0.99905055931976405</v>
      </c>
      <c r="K117" s="2">
        <v>0.99905055931976405</v>
      </c>
    </row>
    <row r="118" spans="1:11" x14ac:dyDescent="0.25">
      <c r="A118">
        <v>11.7</v>
      </c>
      <c r="B118" s="2">
        <v>2.3283064365401103E-10</v>
      </c>
      <c r="C118" s="2">
        <v>2.3283066073134802E-10</v>
      </c>
      <c r="D118" s="2">
        <v>2.3488970455476102E-10</v>
      </c>
      <c r="E118" s="2">
        <v>2.41777358083078E-8</v>
      </c>
      <c r="F118" s="2">
        <v>2.6856468956913001E-5</v>
      </c>
      <c r="G118" s="2">
        <v>2.92423257118356E-2</v>
      </c>
      <c r="H118" s="2">
        <v>0.97125337795757405</v>
      </c>
      <c r="I118" s="2">
        <v>0.99910588059674299</v>
      </c>
      <c r="J118" s="2">
        <v>0.99910588059674299</v>
      </c>
      <c r="K118" s="2">
        <v>0.99910588059674299</v>
      </c>
    </row>
    <row r="119" spans="1:11" x14ac:dyDescent="0.25">
      <c r="A119">
        <v>11.8</v>
      </c>
      <c r="B119" s="2">
        <v>2.3283064365396201E-10</v>
      </c>
      <c r="C119" s="2">
        <v>2.32830655930258E-10</v>
      </c>
      <c r="D119" s="2">
        <v>2.34466501243948E-10</v>
      </c>
      <c r="E119" s="2">
        <v>2.0839495441980999E-8</v>
      </c>
      <c r="F119" s="2">
        <v>2.45387305160302E-5</v>
      </c>
      <c r="G119" s="2">
        <v>2.8392335094916999E-2</v>
      </c>
      <c r="H119" s="2">
        <v>0.972065969523768</v>
      </c>
      <c r="I119" s="2">
        <v>0.99915797627050895</v>
      </c>
      <c r="J119" s="2">
        <v>0.99915797627050895</v>
      </c>
      <c r="K119" s="2">
        <v>0.99915797627050895</v>
      </c>
    </row>
    <row r="120" spans="1:11" x14ac:dyDescent="0.25">
      <c r="A120">
        <v>11.9</v>
      </c>
      <c r="B120" s="2">
        <v>2.3283064365393001E-10</v>
      </c>
      <c r="C120" s="2">
        <v>2.3283065247897402E-10</v>
      </c>
      <c r="D120" s="2">
        <v>2.3413028699159302E-10</v>
      </c>
      <c r="E120" s="2">
        <v>1.7966791912856699E-8</v>
      </c>
      <c r="F120" s="2">
        <v>2.2421302587330301E-5</v>
      </c>
      <c r="G120" s="2">
        <v>2.75668302436008E-2</v>
      </c>
      <c r="H120" s="2">
        <v>0.97285683823004798</v>
      </c>
      <c r="I120" s="2">
        <v>0.99920703467942296</v>
      </c>
      <c r="J120" s="2">
        <v>0.99920703467942296</v>
      </c>
      <c r="K120" s="2">
        <v>0.99920703467942396</v>
      </c>
    </row>
    <row r="121" spans="1:11" x14ac:dyDescent="0.25">
      <c r="A121">
        <v>12</v>
      </c>
      <c r="B121" s="2">
        <v>2.3283064365390902E-10</v>
      </c>
      <c r="C121" s="2">
        <v>2.3283064999798898E-10</v>
      </c>
      <c r="D121" s="2">
        <v>2.3386317945697599E-10</v>
      </c>
      <c r="E121" s="2">
        <v>1.5494677058055701E-8</v>
      </c>
      <c r="F121" s="2">
        <v>2.0486836120643001E-5</v>
      </c>
      <c r="G121" s="2">
        <v>2.6765111141823301E-2</v>
      </c>
      <c r="H121" s="2">
        <v>0.97362648546293096</v>
      </c>
      <c r="I121" s="2">
        <v>0.99925323313450998</v>
      </c>
      <c r="J121" s="2">
        <v>0.99925323313450998</v>
      </c>
      <c r="K121" s="2">
        <v>0.99925323313450998</v>
      </c>
    </row>
    <row r="122" spans="1:11" x14ac:dyDescent="0.25">
      <c r="A122">
        <v>12.1</v>
      </c>
      <c r="B122" s="2">
        <v>2.3283064365389501E-10</v>
      </c>
      <c r="C122" s="2">
        <v>2.3283064821450098E-10</v>
      </c>
      <c r="D122" s="2">
        <v>2.3365097283382301E-10</v>
      </c>
      <c r="E122" s="2">
        <v>1.3367268695191699E-8</v>
      </c>
      <c r="F122" s="2">
        <v>1.8719489495019701E-5</v>
      </c>
      <c r="G122" s="2">
        <v>2.5986497948937901E-2</v>
      </c>
      <c r="H122" s="2">
        <v>0.97437540620416996</v>
      </c>
      <c r="I122" s="2">
        <v>0.99929673856846402</v>
      </c>
      <c r="J122" s="2">
        <v>0.99929673856846402</v>
      </c>
      <c r="K122" s="2">
        <v>0.99929673856846402</v>
      </c>
    </row>
    <row r="123" spans="1:11" x14ac:dyDescent="0.25">
      <c r="A123">
        <v>12.2</v>
      </c>
      <c r="B123" s="2">
        <v>2.3283064365388602E-10</v>
      </c>
      <c r="C123" s="2">
        <v>2.3283064693241002E-10</v>
      </c>
      <c r="D123" s="2">
        <v>2.3348238185322998E-10</v>
      </c>
      <c r="E123" s="2">
        <v>1.1536484211034701E-8</v>
      </c>
      <c r="F123" s="2">
        <v>1.7104796923440901E-5</v>
      </c>
      <c r="G123" s="2">
        <v>2.52303303822944E-2</v>
      </c>
      <c r="H123" s="2">
        <v>0.97510408874052601</v>
      </c>
      <c r="I123" s="2">
        <v>0.999337708146121</v>
      </c>
      <c r="J123" s="2">
        <v>0.999337708146121</v>
      </c>
      <c r="K123" s="2">
        <v>0.999337708146121</v>
      </c>
    </row>
    <row r="124" spans="1:11" x14ac:dyDescent="0.25">
      <c r="A124">
        <v>12.3</v>
      </c>
      <c r="B124" s="2">
        <v>2.3283064365388002E-10</v>
      </c>
      <c r="C124" s="2">
        <v>2.3283064601075199E-10</v>
      </c>
      <c r="D124" s="2">
        <v>2.3334844127003601E-10</v>
      </c>
      <c r="E124" s="2">
        <v>9.9609512209980394E-9</v>
      </c>
      <c r="F124" s="2">
        <v>1.56295484237717E-5</v>
      </c>
      <c r="G124" s="2">
        <v>2.4495967121816401E-2</v>
      </c>
      <c r="H124" s="2">
        <v>0.97581301440701096</v>
      </c>
      <c r="I124" s="2">
        <v>0.99937628983870996</v>
      </c>
      <c r="J124" s="2">
        <v>0.99937628983870996</v>
      </c>
      <c r="K124" s="2">
        <v>0.99937628983870996</v>
      </c>
    </row>
    <row r="125" spans="1:11" x14ac:dyDescent="0.25">
      <c r="A125">
        <v>12.4</v>
      </c>
      <c r="B125" s="2">
        <v>2.3283064365387702E-10</v>
      </c>
      <c r="C125" s="2">
        <v>2.3283064534819598E-10</v>
      </c>
      <c r="D125" s="2">
        <v>2.33242028847428E-10</v>
      </c>
      <c r="E125" s="2">
        <v>8.6050705103791092E-9</v>
      </c>
      <c r="F125" s="2">
        <v>1.42816803295985E-5</v>
      </c>
      <c r="G125" s="2">
        <v>2.3782785235658299E-2</v>
      </c>
      <c r="H125" s="2">
        <v>0.97650265736156305</v>
      </c>
      <c r="I125" s="2">
        <v>0.99941262296405697</v>
      </c>
      <c r="J125" s="2">
        <v>0.99941262296405697</v>
      </c>
      <c r="K125" s="2">
        <v>0.99941262296405697</v>
      </c>
    </row>
    <row r="126" spans="1:11" x14ac:dyDescent="0.25">
      <c r="A126">
        <v>12.5</v>
      </c>
      <c r="B126" s="2">
        <v>2.3283064365387402E-10</v>
      </c>
      <c r="C126" s="2">
        <v>2.3283064487189897E-10</v>
      </c>
      <c r="D126" s="2">
        <v>2.3315748643624302E-10</v>
      </c>
      <c r="E126" s="2">
        <v>7.4382099442736504E-9</v>
      </c>
      <c r="F126" s="2">
        <v>1.30501754068644E-5</v>
      </c>
      <c r="G126" s="2">
        <v>2.30901796260208E-2</v>
      </c>
      <c r="H126" s="2">
        <v>0.97717348438917295</v>
      </c>
      <c r="I126" s="2">
        <v>0.999446838694797</v>
      </c>
      <c r="J126" s="2">
        <v>0.999446838694797</v>
      </c>
      <c r="K126" s="2">
        <v>0.999446838694797</v>
      </c>
    </row>
    <row r="127" spans="1:11" x14ac:dyDescent="0.25">
      <c r="A127">
        <v>12.6</v>
      </c>
      <c r="B127" s="2">
        <v>2.3283064365387299E-10</v>
      </c>
      <c r="C127" s="2">
        <v>2.3283064452949899E-10</v>
      </c>
      <c r="D127" s="2">
        <v>2.3309031897235599E-10</v>
      </c>
      <c r="E127" s="2">
        <v>6.4340110206308301E-9</v>
      </c>
      <c r="F127" s="2">
        <v>1.19249717260545E-5</v>
      </c>
      <c r="G127" s="2">
        <v>2.2417562494269499E-2</v>
      </c>
      <c r="H127" s="2">
        <v>0.977825954733609</v>
      </c>
      <c r="I127" s="2">
        <v>0.99947906053650903</v>
      </c>
      <c r="J127" s="2">
        <v>0.99947906053650903</v>
      </c>
      <c r="K127" s="2">
        <v>0.99947906053650903</v>
      </c>
    </row>
    <row r="128" spans="1:11" x14ac:dyDescent="0.25">
      <c r="A128">
        <v>12.7</v>
      </c>
      <c r="B128" s="2">
        <v>2.3283064365387201E-10</v>
      </c>
      <c r="C128" s="2">
        <v>2.3283064428335299E-10</v>
      </c>
      <c r="D128" s="2">
        <v>2.3303695536659702E-10</v>
      </c>
      <c r="E128" s="2">
        <v>5.5697923088566803E-9</v>
      </c>
      <c r="F128" s="2">
        <v>1.08968795158574E-5</v>
      </c>
      <c r="G128" s="2">
        <v>2.1764362824533499E-2</v>
      </c>
      <c r="H128" s="2">
        <v>0.978460519954926</v>
      </c>
      <c r="I128" s="2">
        <v>0.999509404777568</v>
      </c>
      <c r="J128" s="2">
        <v>0.999509404777568</v>
      </c>
      <c r="K128" s="2">
        <v>0.999509404777568</v>
      </c>
    </row>
    <row r="129" spans="1:11" x14ac:dyDescent="0.25">
      <c r="A129">
        <v>12.8</v>
      </c>
      <c r="B129" s="2">
        <v>4.6566128730774102E-10</v>
      </c>
      <c r="C129" s="2">
        <v>4.6566128776027695E-10</v>
      </c>
      <c r="D129" s="2">
        <v>4.6582520449442201E-10</v>
      </c>
      <c r="E129" s="2">
        <v>5.0589009830283804E-9</v>
      </c>
      <c r="F129" s="2">
        <v>9.9577587814567998E-6</v>
      </c>
      <c r="G129" s="2">
        <v>2.11300284190299E-2</v>
      </c>
      <c r="H129" s="2">
        <v>0.979077623602157</v>
      </c>
      <c r="I129" s="2">
        <v>0.99953798059876298</v>
      </c>
      <c r="J129" s="2">
        <v>0.99953798059876298</v>
      </c>
      <c r="K129" s="2">
        <v>0.99953798059876298</v>
      </c>
    </row>
    <row r="130" spans="1:11" x14ac:dyDescent="0.25">
      <c r="A130">
        <v>12.9</v>
      </c>
      <c r="B130" s="2">
        <v>4.6566128730773998E-10</v>
      </c>
      <c r="C130" s="2">
        <v>4.6566128763306701E-10</v>
      </c>
      <c r="D130" s="2">
        <v>4.6579152023568097E-10</v>
      </c>
      <c r="E130" s="2">
        <v>4.4188096651553503E-9</v>
      </c>
      <c r="F130" s="2">
        <v>9.0994355108035902E-6</v>
      </c>
      <c r="G130" s="2">
        <v>2.0514015244274101E-2</v>
      </c>
      <c r="H130" s="2">
        <v>0.979677701955594</v>
      </c>
      <c r="I130" s="2">
        <v>0.99956489173077301</v>
      </c>
      <c r="J130" s="2">
        <v>0.99956489173077301</v>
      </c>
      <c r="K130" s="2">
        <v>0.99956489173077301</v>
      </c>
    </row>
    <row r="131" spans="1:11" x14ac:dyDescent="0.25">
      <c r="A131">
        <v>13</v>
      </c>
      <c r="B131" s="2">
        <v>4.6566128730773998E-10</v>
      </c>
      <c r="C131" s="2">
        <v>4.6566128754161703E-10</v>
      </c>
      <c r="D131" s="2">
        <v>4.6576475823651303E-10</v>
      </c>
      <c r="E131" s="2">
        <v>3.8679330284420896E-9</v>
      </c>
      <c r="F131" s="2">
        <v>8.3151612615597503E-6</v>
      </c>
      <c r="G131" s="2">
        <v>1.9915802278439601E-2</v>
      </c>
      <c r="H131" s="2">
        <v>0.980261182690221</v>
      </c>
      <c r="I131" s="2">
        <v>0.99959023493309496</v>
      </c>
      <c r="J131" s="2">
        <v>0.99959023493309496</v>
      </c>
      <c r="K131" s="2">
        <v>0.99959023493309496</v>
      </c>
    </row>
    <row r="132" spans="1:11" x14ac:dyDescent="0.25">
      <c r="A132">
        <v>13.1</v>
      </c>
      <c r="B132" s="2">
        <v>4.6566128730773998E-10</v>
      </c>
      <c r="C132" s="2">
        <v>4.6566128747587499E-10</v>
      </c>
      <c r="D132" s="2">
        <v>4.65743495869727E-10</v>
      </c>
      <c r="E132" s="2">
        <v>3.3938337764033802E-9</v>
      </c>
      <c r="F132" s="2">
        <v>7.5985396740572796E-6</v>
      </c>
      <c r="G132" s="2">
        <v>1.9334880815373601E-2</v>
      </c>
      <c r="H132" s="2">
        <v>0.98082848566340897</v>
      </c>
      <c r="I132" s="2">
        <v>0.99961410161553699</v>
      </c>
      <c r="J132" s="2">
        <v>0.99961410161553699</v>
      </c>
      <c r="K132" s="2">
        <v>0.99961410161553699</v>
      </c>
    </row>
    <row r="133" spans="1:11" x14ac:dyDescent="0.25">
      <c r="A133">
        <v>13.2</v>
      </c>
      <c r="B133" s="2">
        <v>4.6566128730773998E-10</v>
      </c>
      <c r="C133" s="2">
        <v>4.6566128742861196E-10</v>
      </c>
      <c r="D133" s="2">
        <v>4.6572660289763701E-10</v>
      </c>
      <c r="E133" s="2">
        <v>2.9858089881295299E-9</v>
      </c>
      <c r="F133" s="2">
        <v>6.9437279558322099E-6</v>
      </c>
      <c r="G133" s="2">
        <v>1.8770756600547899E-2</v>
      </c>
      <c r="H133" s="2">
        <v>0.98138002266565405</v>
      </c>
      <c r="I133" s="2">
        <v>0.99963657785164495</v>
      </c>
      <c r="J133" s="2">
        <v>0.99963657785164495</v>
      </c>
      <c r="K133" s="2">
        <v>0.99963657785164495</v>
      </c>
    </row>
    <row r="134" spans="1:11" x14ac:dyDescent="0.25">
      <c r="A134">
        <v>13.3</v>
      </c>
      <c r="B134" s="2">
        <v>4.65661287307739E-10</v>
      </c>
      <c r="C134" s="2">
        <v>4.6566128739463499E-10</v>
      </c>
      <c r="D134" s="2">
        <v>4.6571318137318603E-10</v>
      </c>
      <c r="E134" s="2">
        <v>2.6346481652930198E-9</v>
      </c>
      <c r="F134" s="2">
        <v>6.34538883722504E-6</v>
      </c>
      <c r="G134" s="2">
        <v>1.8222949410231198E-2</v>
      </c>
      <c r="H134" s="2">
        <v>0.98191619739937996</v>
      </c>
      <c r="I134" s="2">
        <v>0.99965774469106905</v>
      </c>
      <c r="J134" s="2">
        <v>0.99965774469106905</v>
      </c>
      <c r="K134" s="2">
        <v>0.99965774469106905</v>
      </c>
    </row>
    <row r="135" spans="1:11" x14ac:dyDescent="0.25">
      <c r="A135">
        <v>13.4</v>
      </c>
      <c r="B135" s="2">
        <v>4.65661287307739E-10</v>
      </c>
      <c r="C135" s="2">
        <v>4.6566128737021001E-10</v>
      </c>
      <c r="D135" s="2">
        <v>4.6570251789521899E-10</v>
      </c>
      <c r="E135" s="2">
        <v>2.3324250503841601E-9</v>
      </c>
      <c r="F135" s="2">
        <v>5.7986467143858003E-6</v>
      </c>
      <c r="G135" s="2">
        <v>1.7690992644360099E-2</v>
      </c>
      <c r="H135" s="2">
        <v>0.982437405473083</v>
      </c>
      <c r="I135" s="2">
        <v>0.99967767845353905</v>
      </c>
      <c r="J135" s="2">
        <v>0.99967767845353905</v>
      </c>
      <c r="K135" s="2">
        <v>0.99967767845353905</v>
      </c>
    </row>
    <row r="136" spans="1:11" x14ac:dyDescent="0.25">
      <c r="A136">
        <v>13.5</v>
      </c>
      <c r="B136" s="2">
        <v>4.65661287307739E-10</v>
      </c>
      <c r="C136" s="2">
        <v>4.6566128735265E-10</v>
      </c>
      <c r="D136" s="2">
        <v>4.6569404567803302E-10</v>
      </c>
      <c r="E136" s="2">
        <v>2.0723184991721602E-9</v>
      </c>
      <c r="F136" s="2">
        <v>5.2990476124734803E-6</v>
      </c>
      <c r="G136" s="2">
        <v>1.71744329325457E-2</v>
      </c>
      <c r="H136" s="2">
        <v>0.98294403440961298</v>
      </c>
      <c r="I136" s="2">
        <v>0.99969645100556603</v>
      </c>
      <c r="J136" s="2">
        <v>0.99969645100556603</v>
      </c>
      <c r="K136" s="2">
        <v>0.99969645100556603</v>
      </c>
    </row>
    <row r="137" spans="1:11" x14ac:dyDescent="0.25">
      <c r="A137">
        <v>13.6</v>
      </c>
      <c r="B137" s="2">
        <v>4.65661287307739E-10</v>
      </c>
      <c r="C137" s="2">
        <v>4.6566128734002598E-10</v>
      </c>
      <c r="D137" s="2">
        <v>4.6568731441759299E-10</v>
      </c>
      <c r="E137" s="2">
        <v>1.8484583498460099E-9</v>
      </c>
      <c r="F137" s="2">
        <v>4.8425226343231197E-6</v>
      </c>
      <c r="G137" s="2">
        <v>1.6672829752687E-2</v>
      </c>
      <c r="H137" s="2">
        <v>0.98343646366745496</v>
      </c>
      <c r="I137" s="2">
        <v>0.99971413002086895</v>
      </c>
      <c r="J137" s="2">
        <v>0.99971413002086895</v>
      </c>
      <c r="K137" s="2">
        <v>0.99971413002086895</v>
      </c>
    </row>
    <row r="138" spans="1:11" x14ac:dyDescent="0.25">
      <c r="A138">
        <v>13.7</v>
      </c>
      <c r="B138" s="2">
        <v>4.65661287307739E-10</v>
      </c>
      <c r="C138" s="2">
        <v>4.6566128733095005E-10</v>
      </c>
      <c r="D138" s="2">
        <v>4.65681966351617E-10</v>
      </c>
      <c r="E138" s="2">
        <v>1.65579279844115E-9</v>
      </c>
      <c r="F138" s="2">
        <v>4.4253545894337803E-6</v>
      </c>
      <c r="G138" s="2">
        <v>1.61857550616917E-2</v>
      </c>
      <c r="H138" s="2">
        <v>0.98391506467393797</v>
      </c>
      <c r="I138" s="2">
        <v>0.99973077922550502</v>
      </c>
      <c r="J138" s="2">
        <v>0.99973077922550502</v>
      </c>
      <c r="K138" s="2">
        <v>0.99973077922550602</v>
      </c>
    </row>
    <row r="139" spans="1:11" x14ac:dyDescent="0.25">
      <c r="A139">
        <v>13.8</v>
      </c>
      <c r="B139" s="2">
        <v>4.65661287307739E-10</v>
      </c>
      <c r="C139" s="2">
        <v>4.6566128732442597E-10</v>
      </c>
      <c r="D139" s="2">
        <v>4.6567771724028401E-10</v>
      </c>
      <c r="E139" s="2">
        <v>1.4899742779422999E-9</v>
      </c>
      <c r="F139" s="2">
        <v>4.0441475250593604E-6</v>
      </c>
      <c r="G139" s="2">
        <v>1.57127929378191E-2</v>
      </c>
      <c r="H139" s="2">
        <v>0.98438020086934597</v>
      </c>
      <c r="I139" s="2">
        <v>0.999746458628614</v>
      </c>
      <c r="J139" s="2">
        <v>0.999746458628614</v>
      </c>
      <c r="K139" s="2">
        <v>0.999746458628614</v>
      </c>
    </row>
    <row r="140" spans="1:11" x14ac:dyDescent="0.25">
      <c r="A140">
        <v>13.9</v>
      </c>
      <c r="B140" s="2">
        <v>4.65661287307739E-10</v>
      </c>
      <c r="C140" s="2">
        <v>4.6566128731973503E-10</v>
      </c>
      <c r="D140" s="2">
        <v>4.6567434125608803E-10</v>
      </c>
      <c r="E140" s="2">
        <v>1.34726125799405E-9</v>
      </c>
      <c r="F140" s="2">
        <v>3.69579890571848E-6</v>
      </c>
      <c r="G140" s="2">
        <v>1.5253539234195101E-2</v>
      </c>
      <c r="H140" s="2">
        <v>0.984832227760993</v>
      </c>
      <c r="I140" s="2">
        <v>0.99976122473961404</v>
      </c>
      <c r="J140" s="2">
        <v>0.99976122473961404</v>
      </c>
      <c r="K140" s="2">
        <v>0.99976122473961404</v>
      </c>
    </row>
    <row r="141" spans="1:11" x14ac:dyDescent="0.25">
      <c r="A141">
        <v>14</v>
      </c>
      <c r="B141" s="2">
        <v>4.65661287307739E-10</v>
      </c>
      <c r="C141" s="2">
        <v>4.6566128731636396E-10</v>
      </c>
      <c r="D141" s="2">
        <v>4.6567165897929196E-10</v>
      </c>
      <c r="E141" s="2">
        <v>1.22443374301107E-9</v>
      </c>
      <c r="F141" s="2">
        <v>3.3774742097753699E-6</v>
      </c>
      <c r="G141" s="2">
        <v>1.48076012430674E-2</v>
      </c>
      <c r="H141" s="2">
        <v>0.98527149298633998</v>
      </c>
      <c r="I141" s="2">
        <v>0.999775130772659</v>
      </c>
      <c r="J141" s="2">
        <v>0.999775130772659</v>
      </c>
      <c r="K141" s="2">
        <v>0.999775130772659</v>
      </c>
    </row>
    <row r="142" spans="1:11" x14ac:dyDescent="0.25">
      <c r="A142">
        <v>14.1</v>
      </c>
      <c r="B142" s="2">
        <v>4.65661287307739E-10</v>
      </c>
      <c r="C142" s="2">
        <v>4.6566128731393898E-10</v>
      </c>
      <c r="D142" s="2">
        <v>4.6566952786064001E-10</v>
      </c>
      <c r="E142" s="2">
        <v>1.1187205568758799E-9</v>
      </c>
      <c r="F142" s="2">
        <v>3.0865837321023602E-6</v>
      </c>
      <c r="G142" s="2">
        <v>1.4374597370385E-2</v>
      </c>
      <c r="H142" s="2">
        <v>0.98569833638433102</v>
      </c>
      <c r="I142" s="2">
        <v>0.99978822683911495</v>
      </c>
      <c r="J142" s="2">
        <v>0.99978822683911495</v>
      </c>
      <c r="K142" s="2">
        <v>0.99978822683911495</v>
      </c>
    </row>
    <row r="143" spans="1:11" x14ac:dyDescent="0.25">
      <c r="A143">
        <v>14.2</v>
      </c>
      <c r="B143" s="2">
        <v>4.65661287307739E-10</v>
      </c>
      <c r="C143" s="2">
        <v>4.6566128731219704E-10</v>
      </c>
      <c r="D143" s="2">
        <v>4.6566783464418896E-10</v>
      </c>
      <c r="E143" s="2">
        <v>1.0277367694126799E-9</v>
      </c>
      <c r="F143" s="2">
        <v>2.82076140037665E-6</v>
      </c>
      <c r="G143" s="2">
        <v>1.39541568203158E-2</v>
      </c>
      <c r="H143" s="2">
        <v>0.98611309007413805</v>
      </c>
      <c r="I143" s="2">
        <v>0.99980056012874896</v>
      </c>
      <c r="J143" s="2">
        <v>0.99980056012874896</v>
      </c>
      <c r="K143" s="2">
        <v>0.99980056012874896</v>
      </c>
    </row>
    <row r="144" spans="1:11" x14ac:dyDescent="0.25">
      <c r="A144">
        <v>14.3</v>
      </c>
      <c r="B144" s="2">
        <v>4.65661287307739E-10</v>
      </c>
      <c r="C144" s="2">
        <v>4.6566128731094396E-10</v>
      </c>
      <c r="D144" s="2">
        <v>4.6566648934740504E-10</v>
      </c>
      <c r="E144" s="2">
        <v>9.4942984950397603E-10</v>
      </c>
      <c r="F144" s="2">
        <v>2.5778454294631899E-6</v>
      </c>
      <c r="G144" s="2">
        <v>1.35459192893304E-2</v>
      </c>
      <c r="H144" s="2">
        <v>0.98651607854057999</v>
      </c>
      <c r="I144" s="2">
        <v>0.99981217508030995</v>
      </c>
      <c r="J144" s="2">
        <v>0.99981217508030995</v>
      </c>
      <c r="K144" s="2">
        <v>0.99981217508030995</v>
      </c>
    </row>
    <row r="145" spans="1:11" x14ac:dyDescent="0.25">
      <c r="A145">
        <v>14.4</v>
      </c>
      <c r="B145" s="2">
        <v>4.65661287307739E-10</v>
      </c>
      <c r="C145" s="2">
        <v>4.6566128731004296E-10</v>
      </c>
      <c r="D145" s="2">
        <v>4.6566542047842397E-10</v>
      </c>
      <c r="E145" s="2">
        <v>8.8203332729569E-10</v>
      </c>
      <c r="F145" s="2">
        <v>2.3558606537381499E-6</v>
      </c>
      <c r="G145" s="2">
        <v>1.31495346694955E-2</v>
      </c>
      <c r="H145" s="2">
        <v>0.98690761872551303</v>
      </c>
      <c r="I145" s="2">
        <v>0.99982311354211295</v>
      </c>
      <c r="J145" s="2">
        <v>0.99982311354211295</v>
      </c>
      <c r="K145" s="2">
        <v>0.99982311354211295</v>
      </c>
    </row>
    <row r="146" spans="1:11" x14ac:dyDescent="0.25">
      <c r="A146">
        <v>14.5</v>
      </c>
      <c r="B146" s="2">
        <v>4.65661287307739E-10</v>
      </c>
      <c r="C146" s="2">
        <v>4.65661287309396E-10</v>
      </c>
      <c r="D146" s="2">
        <v>4.6566457123623198E-10</v>
      </c>
      <c r="E146" s="2">
        <v>8.2402691790820502E-10</v>
      </c>
      <c r="F146" s="2">
        <v>2.1530023912416999E-6</v>
      </c>
      <c r="G146" s="2">
        <v>1.2764662760644399E-2</v>
      </c>
      <c r="H146" s="2">
        <v>0.98728802012454098</v>
      </c>
      <c r="I146" s="2">
        <v>0.99983341492323297</v>
      </c>
      <c r="J146" s="2">
        <v>0.99983341492323297</v>
      </c>
      <c r="K146" s="2">
        <v>0.99983341492323297</v>
      </c>
    </row>
    <row r="147" spans="1:11" x14ac:dyDescent="0.25">
      <c r="A147">
        <v>14.6</v>
      </c>
      <c r="B147" s="2">
        <v>4.65661287307739E-10</v>
      </c>
      <c r="C147" s="2">
        <v>4.6566128730892998E-10</v>
      </c>
      <c r="D147" s="2">
        <v>4.6566389649174703E-10</v>
      </c>
      <c r="E147" s="2">
        <v>7.7410220529619398E-10</v>
      </c>
      <c r="F147" s="2">
        <v>1.9676217063489799E-6</v>
      </c>
      <c r="G147" s="2">
        <v>1.2390972991101101E-2</v>
      </c>
      <c r="H147" s="2">
        <v>0.98765758488844502</v>
      </c>
      <c r="I147" s="2">
        <v>0.99984311633584499</v>
      </c>
      <c r="J147" s="2">
        <v>0.99984311633584499</v>
      </c>
      <c r="K147" s="2">
        <v>0.99984311633584499</v>
      </c>
    </row>
    <row r="148" spans="1:11" x14ac:dyDescent="0.25">
      <c r="A148">
        <v>14.7</v>
      </c>
      <c r="B148" s="2">
        <v>4.65661287307739E-10</v>
      </c>
      <c r="C148" s="2">
        <v>4.6566128730859498E-10</v>
      </c>
      <c r="D148" s="2">
        <v>4.6566336038928805E-10</v>
      </c>
      <c r="E148" s="2">
        <v>7.3113311069988097E-10</v>
      </c>
      <c r="F148" s="2">
        <v>1.79821194931132E-6</v>
      </c>
      <c r="G148" s="2">
        <v>1.2028144146655999E-2</v>
      </c>
      <c r="H148" s="2">
        <v>0.98801660792874302</v>
      </c>
      <c r="I148" s="2">
        <v>0.99985225272923905</v>
      </c>
      <c r="J148" s="2">
        <v>0.99985225272923905</v>
      </c>
      <c r="K148" s="2">
        <v>0.99985225272923905</v>
      </c>
    </row>
    <row r="149" spans="1:11" x14ac:dyDescent="0.25">
      <c r="A149">
        <v>14.8</v>
      </c>
      <c r="B149" s="2">
        <v>4.65661287307739E-10</v>
      </c>
      <c r="C149" s="2">
        <v>4.6566128730835499E-10</v>
      </c>
      <c r="D149" s="2">
        <v>4.6566293444096598E-10</v>
      </c>
      <c r="E149" s="2">
        <v>6.9415047836128396E-10</v>
      </c>
      <c r="F149" s="2">
        <v>1.64339646165893E-6</v>
      </c>
      <c r="G149" s="2">
        <v>1.16758641075012E-2</v>
      </c>
      <c r="H149" s="2">
        <v>0.98836537702687399</v>
      </c>
      <c r="I149" s="2">
        <v>0.99986085701599903</v>
      </c>
      <c r="J149" s="2">
        <v>0.99986085701599903</v>
      </c>
      <c r="K149" s="2">
        <v>0.99986085701599903</v>
      </c>
    </row>
    <row r="150" spans="1:11" x14ac:dyDescent="0.25">
      <c r="A150">
        <v>14.9</v>
      </c>
      <c r="B150" s="2">
        <v>4.65661287307739E-10</v>
      </c>
      <c r="C150" s="2">
        <v>4.6566128730818201E-10</v>
      </c>
      <c r="D150" s="2">
        <v>4.6566259601266904E-10</v>
      </c>
      <c r="E150" s="2">
        <v>6.6232020429580204E-10</v>
      </c>
      <c r="F150" s="2">
        <v>1.5019173461554001E-6</v>
      </c>
      <c r="G150" s="2">
        <v>1.13338295928489E-2</v>
      </c>
      <c r="H150" s="2">
        <v>0.98870417294649704</v>
      </c>
      <c r="I150" s="2">
        <v>0.99986896019080196</v>
      </c>
      <c r="J150" s="2">
        <v>0.99986896019080196</v>
      </c>
      <c r="K150" s="2">
        <v>0.99986896019080296</v>
      </c>
    </row>
    <row r="151" spans="1:11" x14ac:dyDescent="0.25">
      <c r="A151">
        <v>15</v>
      </c>
      <c r="B151" s="2">
        <v>4.65661287307739E-10</v>
      </c>
      <c r="C151" s="2">
        <v>4.65661287308057E-10</v>
      </c>
      <c r="D151" s="2">
        <v>4.6566232712117796E-10</v>
      </c>
      <c r="E151" s="2">
        <v>6.3492441402553196E-10</v>
      </c>
      <c r="F151" s="2">
        <v>1.37262520884017E-6</v>
      </c>
      <c r="G151" s="2">
        <v>1.10017459129686E-2</v>
      </c>
      <c r="H151" s="2">
        <v>0.98903326954844895</v>
      </c>
      <c r="I151" s="2">
        <v>0.99987659144228203</v>
      </c>
      <c r="J151" s="2">
        <v>0.99987659144228203</v>
      </c>
      <c r="K151" s="2">
        <v>0.99987659144228203</v>
      </c>
    </row>
    <row r="152" spans="1:11" x14ac:dyDescent="0.25">
      <c r="A152">
        <v>15.1</v>
      </c>
      <c r="B152" s="2">
        <v>4.65661287307739E-10</v>
      </c>
      <c r="C152" s="2">
        <v>4.6566128730796797E-10</v>
      </c>
      <c r="D152" s="2">
        <v>4.6566211347846799E-10</v>
      </c>
      <c r="E152" s="2">
        <v>6.1134526411194899E-10</v>
      </c>
      <c r="F152" s="2">
        <v>1.2544697887645501E-6</v>
      </c>
      <c r="G152" s="2">
        <v>1.06793267283941E-2</v>
      </c>
      <c r="H152" s="2">
        <v>0.98935293390793599</v>
      </c>
      <c r="I152" s="2">
        <v>0.99988377825834396</v>
      </c>
      <c r="J152" s="2">
        <v>0.99988377825834396</v>
      </c>
      <c r="K152" s="2">
        <v>0.99988377825834396</v>
      </c>
    </row>
    <row r="153" spans="1:11" x14ac:dyDescent="0.25">
      <c r="A153">
        <v>15.2</v>
      </c>
      <c r="B153" s="2">
        <v>4.65661287307739E-10</v>
      </c>
      <c r="C153" s="2">
        <v>4.6566128730790397E-10</v>
      </c>
      <c r="D153" s="2">
        <v>4.6566194373240103E-10</v>
      </c>
      <c r="E153" s="2">
        <v>5.9105100163521597E-10</v>
      </c>
      <c r="F153" s="2">
        <v>1.14649139838456E-6</v>
      </c>
      <c r="G153" s="2">
        <v>1.0366293816055E-2</v>
      </c>
      <c r="H153" s="2">
        <v>0.98966342643357297</v>
      </c>
      <c r="I153" s="2">
        <v>0.99989054652533904</v>
      </c>
      <c r="J153" s="2">
        <v>0.99989054652533904</v>
      </c>
      <c r="K153" s="2">
        <v>0.99989054652533904</v>
      </c>
    </row>
    <row r="154" spans="1:11" x14ac:dyDescent="0.25">
      <c r="A154">
        <v>15.3</v>
      </c>
      <c r="B154" s="2">
        <v>4.65661287307739E-10</v>
      </c>
      <c r="C154" s="2">
        <v>4.6566128730785703E-10</v>
      </c>
      <c r="D154" s="2">
        <v>4.6566180886344704E-10</v>
      </c>
      <c r="E154" s="2">
        <v>5.7358396679883202E-10</v>
      </c>
      <c r="F154" s="2">
        <v>1.0478131042891301E-6</v>
      </c>
      <c r="G154" s="2">
        <v>1.00623768421078E-2</v>
      </c>
      <c r="H154" s="2">
        <v>0.98996500098788198</v>
      </c>
      <c r="I154" s="2">
        <v>0.99989692062143698</v>
      </c>
      <c r="J154" s="2">
        <v>0.99989692062143698</v>
      </c>
      <c r="K154" s="2">
        <v>0.99989692062143698</v>
      </c>
    </row>
    <row r="155" spans="1:11" x14ac:dyDescent="0.25">
      <c r="A155">
        <v>15.4</v>
      </c>
      <c r="B155" s="2">
        <v>4.65661287307739E-10</v>
      </c>
      <c r="C155" s="2">
        <v>4.6566128730782404E-10</v>
      </c>
      <c r="D155" s="2">
        <v>4.6566170170537495E-10</v>
      </c>
      <c r="E155" s="2">
        <v>5.5855026774849095E-10</v>
      </c>
      <c r="F155" s="2">
        <v>9.5763358406545406E-7</v>
      </c>
      <c r="G155" s="2">
        <v>9.7673131412466894E-3</v>
      </c>
      <c r="H155" s="2">
        <v>0.99025790500894195</v>
      </c>
      <c r="I155" s="2">
        <v>0.999902923504559</v>
      </c>
      <c r="J155" s="2">
        <v>0.999902923504559</v>
      </c>
      <c r="K155" s="2">
        <v>0.999902923504559</v>
      </c>
    </row>
    <row r="156" spans="1:11" x14ac:dyDescent="0.25">
      <c r="A156">
        <v>15.5</v>
      </c>
      <c r="B156" s="2">
        <v>4.65661287307739E-10</v>
      </c>
      <c r="C156" s="2">
        <v>4.6566128730779995E-10</v>
      </c>
      <c r="D156" s="2">
        <v>4.6566161656443695E-10</v>
      </c>
      <c r="E156" s="2">
        <v>5.4561089447653105E-10</v>
      </c>
      <c r="F156" s="2">
        <v>8.7522060069307304E-7</v>
      </c>
      <c r="G156" s="2">
        <v>9.4808475022801503E-3</v>
      </c>
      <c r="H156" s="2">
        <v>0.99054237963285097</v>
      </c>
      <c r="I156" s="2">
        <v>0.99990857679515799</v>
      </c>
      <c r="J156" s="2">
        <v>0.99990857679515799</v>
      </c>
      <c r="K156" s="2">
        <v>0.99990857679515799</v>
      </c>
    </row>
    <row r="157" spans="1:11" x14ac:dyDescent="0.25">
      <c r="A157">
        <v>15.6</v>
      </c>
      <c r="B157" s="2">
        <v>4.65661287307739E-10</v>
      </c>
      <c r="C157" s="2">
        <v>4.6566128730778299E-10</v>
      </c>
      <c r="D157" s="2">
        <v>4.6566154891680296E-10</v>
      </c>
      <c r="E157" s="2">
        <v>5.3447407119467695E-10</v>
      </c>
      <c r="F157" s="2">
        <v>7.9990504095583796E-7</v>
      </c>
      <c r="G157" s="2">
        <v>9.2027319597787604E-3</v>
      </c>
      <c r="H157" s="2">
        <v>0.990818659816734</v>
      </c>
      <c r="I157" s="2">
        <v>0.99991390085418796</v>
      </c>
      <c r="J157" s="2">
        <v>0.99991390085418796</v>
      </c>
      <c r="K157" s="2">
        <v>0.99991390085418796</v>
      </c>
    </row>
    <row r="158" spans="1:11" x14ac:dyDescent="0.25">
      <c r="A158">
        <v>15.7</v>
      </c>
      <c r="B158" s="2">
        <v>4.65661287307739E-10</v>
      </c>
      <c r="C158" s="2">
        <v>4.65661287307771E-10</v>
      </c>
      <c r="D158" s="2">
        <v>4.6566149516816495E-10</v>
      </c>
      <c r="E158" s="2">
        <v>5.2488867453297003E-10</v>
      </c>
      <c r="F158" s="2">
        <v>7.3107546901472898E-7</v>
      </c>
      <c r="G158" s="2">
        <v>8.9327255915970794E-3</v>
      </c>
      <c r="H158" s="2">
        <v>0.99108697446201499</v>
      </c>
      <c r="I158" s="2">
        <v>0.99991891485650697</v>
      </c>
      <c r="J158" s="2">
        <v>0.99991891485650697</v>
      </c>
      <c r="K158" s="2">
        <v>0.99991891485650697</v>
      </c>
    </row>
    <row r="159" spans="1:11" x14ac:dyDescent="0.25">
      <c r="A159">
        <v>15.8</v>
      </c>
      <c r="B159" s="2">
        <v>4.65661287307739E-10</v>
      </c>
      <c r="C159" s="2">
        <v>4.6566128730776201E-10</v>
      </c>
      <c r="D159" s="2">
        <v>4.6566145246274402E-10</v>
      </c>
      <c r="E159" s="2">
        <v>5.1663856899565304E-10</v>
      </c>
      <c r="F159" s="2">
        <v>6.6817315053082001E-7</v>
      </c>
      <c r="G159" s="2">
        <v>8.6705943220897006E-3</v>
      </c>
      <c r="H159" s="2">
        <v>0.99134754653772506</v>
      </c>
      <c r="I159" s="2">
        <v>0.99992363686000696</v>
      </c>
      <c r="J159" s="2">
        <v>0.99992363686000696</v>
      </c>
      <c r="K159" s="2">
        <v>0.99992363686000696</v>
      </c>
    </row>
    <row r="160" spans="1:11" x14ac:dyDescent="0.25">
      <c r="A160">
        <v>15.9</v>
      </c>
      <c r="B160" s="2">
        <v>4.65661287307739E-10</v>
      </c>
      <c r="C160" s="2">
        <v>4.6566128730775601E-10</v>
      </c>
      <c r="D160" s="2">
        <v>4.6566141853154197E-10</v>
      </c>
      <c r="E160" s="2">
        <v>5.0953773181965704E-10</v>
      </c>
      <c r="F160" s="2">
        <v>6.1068750660263697E-7</v>
      </c>
      <c r="G160" s="2">
        <v>8.4161107308411906E-3</v>
      </c>
      <c r="H160" s="2">
        <v>0.99160059320361804</v>
      </c>
      <c r="I160" s="2">
        <v>0.99992808387070398</v>
      </c>
      <c r="J160" s="2">
        <v>0.99992808387070398</v>
      </c>
      <c r="K160" s="2">
        <v>0.99992808387070398</v>
      </c>
    </row>
    <row r="161" spans="1:11" x14ac:dyDescent="0.25">
      <c r="A161">
        <v>16</v>
      </c>
      <c r="B161" s="2">
        <v>4.65661287307739E-10</v>
      </c>
      <c r="C161" s="2">
        <v>4.6566128730775105E-10</v>
      </c>
      <c r="D161" s="2">
        <v>4.6566139157176901E-10</v>
      </c>
      <c r="E161" s="2">
        <v>5.03426057206995E-10</v>
      </c>
      <c r="F161" s="2">
        <v>5.5815196031956798E-7</v>
      </c>
      <c r="G161" s="2">
        <v>8.1690538667439205E-3</v>
      </c>
      <c r="H161" s="2">
        <v>0.99184632593288902</v>
      </c>
      <c r="I161" s="2">
        <v>0.999932271904036</v>
      </c>
      <c r="J161" s="2">
        <v>0.999932271904036</v>
      </c>
      <c r="K161" s="2">
        <v>0.999932271904036</v>
      </c>
    </row>
    <row r="162" spans="1:11" x14ac:dyDescent="0.25">
      <c r="A162">
        <v>16.100000000000001</v>
      </c>
      <c r="B162" s="2">
        <v>4.65661287307739E-10</v>
      </c>
      <c r="C162" s="2">
        <v>4.6566128730774805E-10</v>
      </c>
      <c r="D162" s="2">
        <v>4.6566137015105396E-10</v>
      </c>
      <c r="E162" s="2">
        <v>4.9816574524192698E-10</v>
      </c>
      <c r="F162" s="2">
        <v>5.1014014196182404E-7</v>
      </c>
      <c r="G162" s="2">
        <v>7.9292090672592203E-3</v>
      </c>
      <c r="H162" s="2">
        <v>0.99208495063431601</v>
      </c>
      <c r="I162" s="2">
        <v>0.99993621604258298</v>
      </c>
      <c r="J162" s="2">
        <v>0.99993621604258298</v>
      </c>
      <c r="K162" s="2">
        <v>0.99993621604258298</v>
      </c>
    </row>
    <row r="163" spans="1:11" x14ac:dyDescent="0.25">
      <c r="A163">
        <v>16.2</v>
      </c>
      <c r="B163" s="2">
        <v>4.65661287307739E-10</v>
      </c>
      <c r="C163" s="2">
        <v>4.6566128730774505E-10</v>
      </c>
      <c r="D163" s="2">
        <v>4.6566135313132999E-10</v>
      </c>
      <c r="E163" s="2">
        <v>4.9363819400409004E-10</v>
      </c>
      <c r="F163" s="2">
        <v>4.6626242182422901E-7</v>
      </c>
      <c r="G163" s="2">
        <v>7.6963677827064101E-3</v>
      </c>
      <c r="H163" s="2">
        <v>0.99231666777365202</v>
      </c>
      <c r="I163" s="2">
        <v>0.99993993049042196</v>
      </c>
      <c r="J163" s="2">
        <v>0.99993993049042196</v>
      </c>
      <c r="K163" s="2">
        <v>0.99993993049042096</v>
      </c>
    </row>
    <row r="164" spans="1:11" x14ac:dyDescent="0.25">
      <c r="A164">
        <v>16.3</v>
      </c>
      <c r="B164" s="2">
        <v>4.65661287307739E-10</v>
      </c>
      <c r="C164" s="2">
        <v>4.6566128730774401E-10</v>
      </c>
      <c r="D164" s="2">
        <v>4.6566133960836503E-10</v>
      </c>
      <c r="E164" s="2">
        <v>4.8974132474839204E-10</v>
      </c>
      <c r="F164" s="2">
        <v>4.2616274233190202E-7</v>
      </c>
      <c r="G164" s="2">
        <v>7.47032740543051E-3</v>
      </c>
      <c r="H164" s="2">
        <v>0.99254167249411696</v>
      </c>
      <c r="I164" s="2">
        <v>0.99994342862431096</v>
      </c>
      <c r="J164" s="2">
        <v>0.99994342862431096</v>
      </c>
      <c r="K164" s="2">
        <v>0.99994342862431096</v>
      </c>
    </row>
    <row r="165" spans="1:11" x14ac:dyDescent="0.25">
      <c r="A165">
        <v>16.399999999999999</v>
      </c>
      <c r="B165" s="2">
        <v>4.65661287307739E-10</v>
      </c>
      <c r="C165" s="2">
        <v>4.6566128730774205E-10</v>
      </c>
      <c r="D165" s="2">
        <v>4.6566132886371704E-10</v>
      </c>
      <c r="E165" s="2">
        <v>4.86387279798079E-10</v>
      </c>
      <c r="F165" s="2">
        <v>3.89515723571822E-7</v>
      </c>
      <c r="G165" s="2">
        <v>7.2508911037029201E-3</v>
      </c>
      <c r="H165" s="2">
        <v>0.992760154735853</v>
      </c>
      <c r="I165" s="2">
        <v>0.99994672304189203</v>
      </c>
      <c r="J165" s="2">
        <v>0.99994672304189203</v>
      </c>
      <c r="K165" s="2">
        <v>0.99994672304189203</v>
      </c>
    </row>
    <row r="166" spans="1:11" x14ac:dyDescent="0.25">
      <c r="A166">
        <v>16.5</v>
      </c>
      <c r="B166" s="2">
        <v>4.65661287307739E-10</v>
      </c>
      <c r="C166" s="2">
        <v>4.6566128730774102E-10</v>
      </c>
      <c r="D166" s="2">
        <v>4.6566132032655696E-10</v>
      </c>
      <c r="E166" s="2">
        <v>4.8350044120998898E-10</v>
      </c>
      <c r="F166" s="2">
        <v>3.5602401860707502E-7</v>
      </c>
      <c r="G166" s="2">
        <v>7.0378676602175097E-3</v>
      </c>
      <c r="H166" s="2">
        <v>0.99297229935421705</v>
      </c>
      <c r="I166" s="2">
        <v>0.99994982560708001</v>
      </c>
      <c r="J166" s="2">
        <v>0.99994982560708001</v>
      </c>
      <c r="K166" s="2">
        <v>0.99994982560708001</v>
      </c>
    </row>
    <row r="167" spans="1:11" x14ac:dyDescent="0.25">
      <c r="A167">
        <v>16.600000000000001</v>
      </c>
      <c r="B167" s="2">
        <v>4.65661287307739E-10</v>
      </c>
      <c r="C167" s="2">
        <v>4.6566128730774102E-10</v>
      </c>
      <c r="D167" s="2">
        <v>4.6566131354334103E-10</v>
      </c>
      <c r="E167" s="2">
        <v>4.8101572551067902E-10</v>
      </c>
      <c r="F167" s="2">
        <v>3.2541589698761998E-7</v>
      </c>
      <c r="G167" s="2">
        <v>6.8310713150480998E-3</v>
      </c>
      <c r="H167" s="2">
        <v>0.99317828623679705</v>
      </c>
      <c r="I167" s="2">
        <v>0.99995274749280705</v>
      </c>
      <c r="J167" s="2">
        <v>0.99995274749280705</v>
      </c>
      <c r="K167" s="2">
        <v>0.99995274749280705</v>
      </c>
    </row>
    <row r="168" spans="1:11" x14ac:dyDescent="0.25">
      <c r="A168">
        <v>16.7</v>
      </c>
      <c r="B168" s="2">
        <v>4.65661287307739E-10</v>
      </c>
      <c r="C168" s="2">
        <v>4.6566128730773998E-10</v>
      </c>
      <c r="D168" s="2">
        <v>4.6566130815371102E-10</v>
      </c>
      <c r="E168" s="2">
        <v>4.7887711603251804E-10</v>
      </c>
      <c r="F168" s="2">
        <v>2.9744303674128702E-7</v>
      </c>
      <c r="G168" s="2">
        <v>6.6303216129365503E-3</v>
      </c>
      <c r="H168" s="2">
        <v>0.99337829041906101</v>
      </c>
      <c r="I168" s="2">
        <v>0.99995549922127802</v>
      </c>
      <c r="J168" s="2">
        <v>0.99995549922127802</v>
      </c>
      <c r="K168" s="2">
        <v>0.99995549922127802</v>
      </c>
    </row>
    <row r="169" spans="1:11" x14ac:dyDescent="0.25">
      <c r="A169">
        <v>16.8</v>
      </c>
      <c r="B169" s="2">
        <v>4.65661287307739E-10</v>
      </c>
      <c r="C169" s="2">
        <v>4.6566128730773998E-10</v>
      </c>
      <c r="D169" s="2">
        <v>4.6566130387134901E-10</v>
      </c>
      <c r="E169" s="2">
        <v>4.7703639974060901E-10</v>
      </c>
      <c r="F169" s="2">
        <v>2.7187850683521901E-7</v>
      </c>
      <c r="G169" s="2">
        <v>6.4354432547911698E-3</v>
      </c>
      <c r="H169" s="2">
        <v>0.993572482198537</v>
      </c>
      <c r="I169" s="2">
        <v>0.99995809070187502</v>
      </c>
      <c r="J169" s="2">
        <v>0.99995809070187502</v>
      </c>
      <c r="K169" s="2">
        <v>0.99995809070187502</v>
      </c>
    </row>
    <row r="170" spans="1:11" x14ac:dyDescent="0.25">
      <c r="A170">
        <v>16.899999999999999</v>
      </c>
      <c r="B170" s="2">
        <v>4.65661287307739E-10</v>
      </c>
      <c r="C170" s="2">
        <v>4.6566128730773998E-10</v>
      </c>
      <c r="D170" s="2">
        <v>4.6566130046876297E-10</v>
      </c>
      <c r="E170" s="2">
        <v>4.7545208005577204E-10</v>
      </c>
      <c r="F170" s="2">
        <v>2.48514923657443E-7</v>
      </c>
      <c r="G170" s="2">
        <v>6.2462659532712796E-3</v>
      </c>
      <c r="H170" s="2">
        <v>0.99376102724746695</v>
      </c>
      <c r="I170" s="2">
        <v>0.99996053126685402</v>
      </c>
      <c r="J170" s="2">
        <v>0.99996053126685402</v>
      </c>
      <c r="K170" s="2">
        <v>0.99996053126685402</v>
      </c>
    </row>
    <row r="171" spans="1:11" x14ac:dyDescent="0.25">
      <c r="A171">
        <v>17</v>
      </c>
      <c r="B171" s="2">
        <v>4.65661287307739E-10</v>
      </c>
      <c r="C171" s="2">
        <v>4.6566128730773998E-10</v>
      </c>
      <c r="D171" s="2">
        <v>4.6566129776520296E-10</v>
      </c>
      <c r="E171" s="2">
        <v>4.74088441149982E-10</v>
      </c>
      <c r="F171" s="2">
        <v>2.2716276649094999E-7</v>
      </c>
      <c r="G171" s="2">
        <v>6.0626242923452599E-3</v>
      </c>
      <c r="H171" s="2">
        <v>0.99394408672383905</v>
      </c>
      <c r="I171" s="2">
        <v>0.99996282970496597</v>
      </c>
      <c r="J171" s="2">
        <v>0.99996282970496597</v>
      </c>
      <c r="K171" s="2">
        <v>0.99996282970496597</v>
      </c>
    </row>
    <row r="172" spans="1:11" x14ac:dyDescent="0.25">
      <c r="A172">
        <v>17.100000000000001</v>
      </c>
      <c r="B172" s="2">
        <v>4.65661287307739E-10</v>
      </c>
      <c r="C172" s="2">
        <v>4.6566128730773998E-10</v>
      </c>
      <c r="D172" s="2">
        <v>4.6566129561705399E-10</v>
      </c>
      <c r="E172" s="2">
        <v>4.7291474260822496E-10</v>
      </c>
      <c r="F172" s="2">
        <v>2.0764883825332501E-7</v>
      </c>
      <c r="G172" s="2">
        <v>5.88435759070839E-3</v>
      </c>
      <c r="H172" s="2">
        <v>0.994121817380757</v>
      </c>
      <c r="I172" s="2">
        <v>0.99996499429311403</v>
      </c>
      <c r="J172" s="2">
        <v>0.99996499429311403</v>
      </c>
      <c r="K172" s="2">
        <v>0.99996499429311403</v>
      </c>
    </row>
    <row r="173" spans="1:11" x14ac:dyDescent="0.25">
      <c r="A173">
        <v>17.2</v>
      </c>
      <c r="B173" s="2">
        <v>4.65661287307739E-10</v>
      </c>
      <c r="C173" s="2">
        <v>4.6566128730773998E-10</v>
      </c>
      <c r="D173" s="2">
        <v>4.6566129391020795E-10</v>
      </c>
      <c r="E173" s="2">
        <v>4.7190452629201102E-10</v>
      </c>
      <c r="F173" s="2">
        <v>1.8981485896153301E-7</v>
      </c>
      <c r="G173" s="2">
        <v>5.71130976895271E-3</v>
      </c>
      <c r="H173" s="2">
        <v>0.99429437167409995</v>
      </c>
      <c r="I173" s="2">
        <v>0.99996703282616295</v>
      </c>
      <c r="J173" s="2">
        <v>0.99996703282616295</v>
      </c>
      <c r="K173" s="2">
        <v>0.99996703282616295</v>
      </c>
    </row>
    <row r="174" spans="1:11" x14ac:dyDescent="0.25">
      <c r="A174">
        <v>17.3</v>
      </c>
      <c r="B174" s="2">
        <v>4.65661287307739E-10</v>
      </c>
      <c r="C174" s="2">
        <v>4.65661287307739E-10</v>
      </c>
      <c r="D174" s="2">
        <v>4.6566129255400305E-10</v>
      </c>
      <c r="E174" s="2">
        <v>4.7103501977108501E-10</v>
      </c>
      <c r="F174" s="2">
        <v>1.7351618046627599E-7</v>
      </c>
      <c r="G174" s="2">
        <v>5.5433292203865697E-3</v>
      </c>
      <c r="H174" s="2">
        <v>0.994461897868407</v>
      </c>
      <c r="I174" s="2">
        <v>0.99996895264502195</v>
      </c>
      <c r="J174" s="2">
        <v>0.99996895264502195</v>
      </c>
      <c r="K174" s="2">
        <v>0.99996895264502195</v>
      </c>
    </row>
    <row r="175" spans="1:11" x14ac:dyDescent="0.25">
      <c r="A175">
        <v>17.399999999999999</v>
      </c>
      <c r="B175" s="2">
        <v>4.65661287307739E-10</v>
      </c>
      <c r="C175" s="2">
        <v>4.65661287307739E-10</v>
      </c>
      <c r="D175" s="2">
        <v>4.6566129147639898E-10</v>
      </c>
      <c r="E175" s="2">
        <v>4.7028662286833798E-10</v>
      </c>
      <c r="F175" s="2">
        <v>1.58620611990211E-7</v>
      </c>
      <c r="G175" s="2">
        <v>5.3802686853977001E-3</v>
      </c>
      <c r="H175" s="2">
        <v>0.99462454014097101</v>
      </c>
      <c r="I175" s="2">
        <v>0.99997076066308099</v>
      </c>
      <c r="J175" s="2">
        <v>0.99997076066308099</v>
      </c>
      <c r="K175" s="2">
        <v>0.99997076066308099</v>
      </c>
    </row>
    <row r="176" spans="1:11" x14ac:dyDescent="0.25">
      <c r="A176">
        <v>17.5</v>
      </c>
      <c r="B176" s="2">
        <v>4.65661287307739E-10</v>
      </c>
      <c r="C176" s="2">
        <v>4.65661287307739E-10</v>
      </c>
      <c r="D176" s="2">
        <v>4.65661290620162E-10</v>
      </c>
      <c r="E176" s="2">
        <v>4.6964246573787795E-10</v>
      </c>
      <c r="F176" s="2">
        <v>1.4500734690895E-7</v>
      </c>
      <c r="G176" s="2">
        <v>5.2219851292683497E-3</v>
      </c>
      <c r="H176" s="2">
        <v>0.99478243868410299</v>
      </c>
      <c r="I176" s="2">
        <v>0.99997246339111301</v>
      </c>
      <c r="J176" s="2">
        <v>0.99997246339111301</v>
      </c>
      <c r="K176" s="2">
        <v>0.99997246339111301</v>
      </c>
    </row>
    <row r="177" spans="1:11" x14ac:dyDescent="0.25">
      <c r="A177">
        <v>17.600000000000001</v>
      </c>
      <c r="B177" s="2">
        <v>4.65661287307739E-10</v>
      </c>
      <c r="C177" s="2">
        <v>4.65661287307739E-10</v>
      </c>
      <c r="D177" s="2">
        <v>4.6566128993981401E-10</v>
      </c>
      <c r="E177" s="2">
        <v>4.6908802850975295E-10</v>
      </c>
      <c r="F177" s="2">
        <v>1.3256598204004E-7</v>
      </c>
      <c r="G177" s="2">
        <v>5.0683396233428E-3</v>
      </c>
      <c r="H177" s="2">
        <v>0.99493572980554001</v>
      </c>
      <c r="I177" s="2">
        <v>0.999974066960721</v>
      </c>
      <c r="J177" s="2">
        <v>0.999974066960721</v>
      </c>
      <c r="K177" s="2">
        <v>0.999974066960721</v>
      </c>
    </row>
    <row r="178" spans="1:11" x14ac:dyDescent="0.25">
      <c r="A178">
        <v>17.7</v>
      </c>
      <c r="B178" s="2">
        <v>4.65661287307739E-10</v>
      </c>
      <c r="C178" s="2">
        <v>4.65661287307739E-10</v>
      </c>
      <c r="D178" s="2">
        <v>4.6566128939922201E-10</v>
      </c>
      <c r="E178" s="2">
        <v>4.6861081392356403E-10</v>
      </c>
      <c r="F178" s="2">
        <v>1.2119562145942601E-7</v>
      </c>
      <c r="G178" s="2">
        <v>4.9191972294561704E-3</v>
      </c>
      <c r="H178" s="2">
        <v>0.99508454602698804</v>
      </c>
      <c r="I178" s="2">
        <v>0.99997557714642404</v>
      </c>
      <c r="J178" s="2">
        <v>0.99997557714642404</v>
      </c>
      <c r="K178" s="2">
        <v>0.99997557714642404</v>
      </c>
    </row>
    <row r="179" spans="1:11" x14ac:dyDescent="0.25">
      <c r="A179">
        <v>17.8</v>
      </c>
      <c r="B179" s="2">
        <v>4.65661287307739E-10</v>
      </c>
      <c r="C179" s="2">
        <v>4.65661287307739E-10</v>
      </c>
      <c r="D179" s="2">
        <v>4.6566128896967301E-10</v>
      </c>
      <c r="E179" s="2">
        <v>4.6820006556843301E-10</v>
      </c>
      <c r="F179" s="2">
        <v>1.1080405755450699E-7</v>
      </c>
      <c r="G179" s="2">
        <v>4.7744268875383102E-3</v>
      </c>
      <c r="H179" s="2">
        <v>0.99522901618076698</v>
      </c>
      <c r="I179" s="2">
        <v>0.99997699938645501</v>
      </c>
      <c r="J179" s="2">
        <v>0.99997699938645601</v>
      </c>
      <c r="K179" s="2">
        <v>0.99997699938645601</v>
      </c>
    </row>
    <row r="180" spans="1:11" x14ac:dyDescent="0.25">
      <c r="A180">
        <v>17.899999999999999</v>
      </c>
      <c r="B180" s="2">
        <v>4.65661287307739E-10</v>
      </c>
      <c r="C180" s="2">
        <v>4.65661287307739E-10</v>
      </c>
      <c r="D180" s="2">
        <v>4.6566128862835802E-10</v>
      </c>
      <c r="E180" s="2">
        <v>4.6784652537536797E-10</v>
      </c>
      <c r="F180" s="2">
        <v>1.01307022652268E-7</v>
      </c>
      <c r="G180" s="2">
        <v>4.6339013063026301E-3</v>
      </c>
      <c r="H180" s="2">
        <v>0.99536926550457905</v>
      </c>
      <c r="I180" s="2">
        <v>0.99997833880234299</v>
      </c>
      <c r="J180" s="2">
        <v>0.99997833880234299</v>
      </c>
      <c r="K180" s="2">
        <v>0.99997833880234299</v>
      </c>
    </row>
    <row r="181" spans="1:11" x14ac:dyDescent="0.25">
      <c r="A181">
        <v>18</v>
      </c>
      <c r="B181" s="2">
        <v>4.65661287307739E-10</v>
      </c>
      <c r="C181" s="2">
        <v>4.65661287307739E-10</v>
      </c>
      <c r="D181" s="2">
        <v>4.6566128835715001E-10</v>
      </c>
      <c r="E181" s="2">
        <v>4.6754222489344901E-10</v>
      </c>
      <c r="F181" s="2">
        <v>9.2627505136349598E-8</v>
      </c>
      <c r="G181" s="2">
        <v>4.4974968569385203E-3</v>
      </c>
      <c r="H181" s="2">
        <v>0.99550541573436302</v>
      </c>
      <c r="I181" s="2">
        <v>0.99997960021735899</v>
      </c>
      <c r="J181" s="2">
        <v>0.99997960021735899</v>
      </c>
      <c r="K181" s="2">
        <v>0.99997960021735899</v>
      </c>
    </row>
    <row r="182" spans="1:11" x14ac:dyDescent="0.25">
      <c r="A182">
        <v>18.100000000000001</v>
      </c>
      <c r="B182" s="2">
        <v>4.65661287307739E-10</v>
      </c>
      <c r="C182" s="2">
        <v>4.65661287307739E-10</v>
      </c>
      <c r="D182" s="2">
        <v>4.6566128814164702E-10</v>
      </c>
      <c r="E182" s="2">
        <v>4.6728030564311502E-10</v>
      </c>
      <c r="F182" s="2">
        <v>8.4695124492183097E-8</v>
      </c>
      <c r="G182" s="2">
        <v>4.3650934697252904E-3</v>
      </c>
      <c r="H182" s="2">
        <v>0.99563758519525702</v>
      </c>
      <c r="I182" s="2">
        <v>0.99998078817388703</v>
      </c>
      <c r="J182" s="2">
        <v>0.99998078817388703</v>
      </c>
      <c r="K182" s="2">
        <v>0.99998078817388703</v>
      </c>
    </row>
    <row r="183" spans="1:11" x14ac:dyDescent="0.25">
      <c r="A183">
        <v>18.2</v>
      </c>
      <c r="B183" s="2">
        <v>4.65661287307739E-10</v>
      </c>
      <c r="C183" s="2">
        <v>4.65661287307739E-10</v>
      </c>
      <c r="D183" s="2">
        <v>4.6566128797040698E-10</v>
      </c>
      <c r="E183" s="2">
        <v>4.6705486449567203E-10</v>
      </c>
      <c r="F183" s="2">
        <v>7.7445560199389606E-8</v>
      </c>
      <c r="G183" s="2">
        <v>4.2365745334887904E-3</v>
      </c>
      <c r="H183" s="2">
        <v>0.99576588889066298</v>
      </c>
      <c r="I183" s="2">
        <v>0.99998190694978295</v>
      </c>
      <c r="J183" s="2">
        <v>0.99998190694978295</v>
      </c>
      <c r="K183" s="2">
        <v>0.99998190694978295</v>
      </c>
    </row>
    <row r="184" spans="1:11" x14ac:dyDescent="0.25">
      <c r="A184">
        <v>18.3</v>
      </c>
      <c r="B184" s="2">
        <v>4.65661287307739E-10</v>
      </c>
      <c r="C184" s="2">
        <v>4.65661287307739E-10</v>
      </c>
      <c r="D184" s="2">
        <v>4.6566128783433701E-10</v>
      </c>
      <c r="E184" s="2">
        <v>4.6686082059249304E-10</v>
      </c>
      <c r="F184" s="2">
        <v>7.0820029829117202E-8</v>
      </c>
      <c r="G184" s="2">
        <v>4.1118267978238398E-3</v>
      </c>
      <c r="H184" s="2">
        <v>0.99589043858941995</v>
      </c>
      <c r="I184" s="2">
        <v>0.999982960573779</v>
      </c>
      <c r="J184" s="2">
        <v>0.999982960573779</v>
      </c>
      <c r="K184" s="2">
        <v>0.999982960573779</v>
      </c>
    </row>
    <row r="185" spans="1:11" x14ac:dyDescent="0.25">
      <c r="A185">
        <v>18.399999999999999</v>
      </c>
      <c r="B185" s="2">
        <v>4.65661287307739E-10</v>
      </c>
      <c r="C185" s="2">
        <v>4.65661287307739E-10</v>
      </c>
      <c r="D185" s="2">
        <v>4.6566128772621303E-10</v>
      </c>
      <c r="E185" s="2">
        <v>4.6669380080314196E-10</v>
      </c>
      <c r="F185" s="2">
        <v>6.4764812104573104E-8</v>
      </c>
      <c r="G185" s="2">
        <v>3.9907402780079504E-3</v>
      </c>
      <c r="H185" s="2">
        <v>0.99601134291109605</v>
      </c>
      <c r="I185" s="2">
        <v>0.99998395283999197</v>
      </c>
      <c r="J185" s="2">
        <v>0.99998395283999097</v>
      </c>
      <c r="K185" s="2">
        <v>0.99998395283999097</v>
      </c>
    </row>
    <row r="186" spans="1:11" x14ac:dyDescent="0.25">
      <c r="A186">
        <v>18.5</v>
      </c>
      <c r="B186" s="2">
        <v>4.65661287307739E-10</v>
      </c>
      <c r="C186" s="2">
        <v>4.65661287307739E-10</v>
      </c>
      <c r="D186" s="2">
        <v>4.6566128764029399E-10</v>
      </c>
      <c r="E186" s="2">
        <v>4.6655004113974102E-10</v>
      </c>
      <c r="F186" s="2">
        <v>5.9230811048981399E-8</v>
      </c>
      <c r="G186" s="2">
        <v>3.8732081625346198E-3</v>
      </c>
      <c r="H186" s="2">
        <v>0.99612870740941095</v>
      </c>
      <c r="I186" s="2">
        <v>0.99998488732158597</v>
      </c>
      <c r="J186" s="2">
        <v>0.99998488732158597</v>
      </c>
      <c r="K186" s="2">
        <v>0.99998488732158597</v>
      </c>
    </row>
    <row r="187" spans="1:11" x14ac:dyDescent="0.25">
      <c r="A187">
        <v>18.600000000000001</v>
      </c>
      <c r="B187" s="2">
        <v>4.65661287307739E-10</v>
      </c>
      <c r="C187" s="2">
        <v>4.65661287307739E-10</v>
      </c>
      <c r="D187" s="2">
        <v>4.6566128757202005E-10</v>
      </c>
      <c r="E187" s="2">
        <v>4.6642630190469303E-10</v>
      </c>
      <c r="F187" s="2">
        <v>5.41731576795932E-8</v>
      </c>
      <c r="G187" s="2">
        <v>3.75912672319543E-3</v>
      </c>
      <c r="H187" s="2">
        <v>0.99624263465380103</v>
      </c>
      <c r="I187" s="2">
        <v>0.99998576738364497</v>
      </c>
      <c r="J187" s="2">
        <v>0.99998576738364497</v>
      </c>
      <c r="K187" s="2">
        <v>0.99998576738364497</v>
      </c>
    </row>
    <row r="188" spans="1:11" x14ac:dyDescent="0.25">
      <c r="A188">
        <v>18.7</v>
      </c>
      <c r="B188" s="2">
        <v>4.65661287307739E-10</v>
      </c>
      <c r="C188" s="2">
        <v>4.65661287307739E-10</v>
      </c>
      <c r="D188" s="2">
        <v>4.65661287517766E-10</v>
      </c>
      <c r="E188" s="2">
        <v>4.6631979465857501E-10</v>
      </c>
      <c r="F188" s="2">
        <v>4.9550846011801203E-8</v>
      </c>
      <c r="G188" s="2">
        <v>3.64839522764129E-3</v>
      </c>
      <c r="H188" s="2">
        <v>0.99635322430914797</v>
      </c>
      <c r="I188" s="2">
        <v>0.99998659619528396</v>
      </c>
      <c r="J188" s="2">
        <v>0.99998659619528396</v>
      </c>
      <c r="K188" s="2">
        <v>0.99998659619528396</v>
      </c>
    </row>
    <row r="189" spans="1:11" x14ac:dyDescent="0.25">
      <c r="A189">
        <v>18.8</v>
      </c>
      <c r="B189" s="2">
        <v>4.65661287307739E-10</v>
      </c>
      <c r="C189" s="2">
        <v>4.65661287307739E-10</v>
      </c>
      <c r="D189" s="2">
        <v>4.6566128747465304E-10</v>
      </c>
      <c r="E189" s="2">
        <v>4.6622811936156096E-10</v>
      </c>
      <c r="F189" s="2">
        <v>4.5326400416537703E-8</v>
      </c>
      <c r="G189" s="2">
        <v>3.5409158543595002E-3</v>
      </c>
      <c r="H189" s="2">
        <v>0.99646057321368198</v>
      </c>
      <c r="I189" s="2">
        <v>0.99998737674106397</v>
      </c>
      <c r="J189" s="2">
        <v>0.99998737674106397</v>
      </c>
      <c r="K189" s="2">
        <v>0.99998737674106397</v>
      </c>
    </row>
    <row r="190" spans="1:11" x14ac:dyDescent="0.25">
      <c r="A190">
        <v>18.899999999999999</v>
      </c>
      <c r="B190" s="2">
        <v>4.65661287307739E-10</v>
      </c>
      <c r="C190" s="2">
        <v>4.65661287307739E-10</v>
      </c>
      <c r="D190" s="2">
        <v>4.6566128744039297E-10</v>
      </c>
      <c r="E190" s="2">
        <v>4.6614921027112601E-10</v>
      </c>
      <c r="F190" s="2">
        <v>4.1465571629147202E-8</v>
      </c>
      <c r="G190" s="2">
        <v>3.4365936099988001E-3</v>
      </c>
      <c r="H190" s="2">
        <v>0.99656477545508604</v>
      </c>
      <c r="I190" s="2">
        <v>0.99998811183174197</v>
      </c>
      <c r="J190" s="2">
        <v>0.99998811183174197</v>
      </c>
      <c r="K190" s="2">
        <v>0.99998811183174197</v>
      </c>
    </row>
    <row r="191" spans="1:11" x14ac:dyDescent="0.25">
      <c r="A191">
        <v>19</v>
      </c>
      <c r="B191" s="2">
        <v>4.65661287307739E-10</v>
      </c>
      <c r="C191" s="2">
        <v>4.65661287307739E-10</v>
      </c>
      <c r="D191" s="2">
        <v>4.6566128741316705E-10</v>
      </c>
      <c r="E191" s="2">
        <v>4.6608128937620797E-10</v>
      </c>
      <c r="F191" s="2">
        <v>3.79370589408636E-8</v>
      </c>
      <c r="G191" s="2">
        <v>3.3353362489803601E-3</v>
      </c>
      <c r="H191" s="2">
        <v>0.99666592244482199</v>
      </c>
      <c r="I191" s="2">
        <v>0.99998880411438995</v>
      </c>
      <c r="J191" s="2">
        <v>0.99998880411438995</v>
      </c>
      <c r="K191" s="2">
        <v>0.99998880411438995</v>
      </c>
    </row>
    <row r="192" spans="1:11" x14ac:dyDescent="0.25">
      <c r="A192">
        <v>19.100000000000001</v>
      </c>
      <c r="B192" s="2">
        <v>4.65661287307739E-10</v>
      </c>
      <c r="C192" s="2">
        <v>4.65661287307739E-10</v>
      </c>
      <c r="D192" s="2">
        <v>4.65661287391531E-10</v>
      </c>
      <c r="E192" s="2">
        <v>4.66022826317994E-10</v>
      </c>
      <c r="F192" s="2">
        <v>3.4712256316920999E-8</v>
      </c>
      <c r="G192" s="2">
        <v>3.23705419533483E-3</v>
      </c>
      <c r="H192" s="2">
        <v>0.99676410299069496</v>
      </c>
      <c r="I192" s="2">
        <v>0.99998945608192802</v>
      </c>
      <c r="J192" s="2">
        <v>0.99998945608192802</v>
      </c>
      <c r="K192" s="2">
        <v>0.99998945608192802</v>
      </c>
    </row>
    <row r="193" spans="1:11" x14ac:dyDescent="0.25">
      <c r="A193">
        <v>19.2</v>
      </c>
      <c r="B193" s="2">
        <v>4.65661287307739E-10</v>
      </c>
      <c r="C193" s="2">
        <v>4.65661287307739E-10</v>
      </c>
      <c r="D193" s="2">
        <v>4.6566128737433702E-10</v>
      </c>
      <c r="E193" s="2">
        <v>4.6597250389367301E-10</v>
      </c>
      <c r="F193" s="2">
        <v>3.1765020379831901E-8</v>
      </c>
      <c r="G193" s="2">
        <v>3.1416604667038502E-3</v>
      </c>
      <c r="H193" s="2">
        <v>0.99685940336768597</v>
      </c>
      <c r="I193" s="2">
        <v>0.99999007008210095</v>
      </c>
      <c r="J193" s="2">
        <v>0.99999007008210095</v>
      </c>
      <c r="K193" s="2">
        <v>0.99999007008210095</v>
      </c>
    </row>
    <row r="194" spans="1:11" x14ac:dyDescent="0.25">
      <c r="A194">
        <v>19.3</v>
      </c>
      <c r="B194" s="2">
        <v>4.65661287307739E-10</v>
      </c>
      <c r="C194" s="2">
        <v>4.65661287307739E-10</v>
      </c>
      <c r="D194" s="2">
        <v>4.6566128736067303E-10</v>
      </c>
      <c r="E194" s="2">
        <v>4.6592918836547195E-10</v>
      </c>
      <c r="F194" s="2">
        <v>2.9071458374062399E-8</v>
      </c>
      <c r="G194" s="2">
        <v>3.0490706004501402E-3</v>
      </c>
      <c r="H194" s="2">
        <v>0.99695190738708195</v>
      </c>
      <c r="I194" s="2">
        <v>0.99999064832593498</v>
      </c>
      <c r="J194" s="2">
        <v>0.99999064832593498</v>
      </c>
      <c r="K194" s="2">
        <v>0.99999064832593498</v>
      </c>
    </row>
    <row r="195" spans="1:11" x14ac:dyDescent="0.25">
      <c r="A195">
        <v>19.399999999999999</v>
      </c>
      <c r="B195" s="2">
        <v>4.65661287307739E-10</v>
      </c>
      <c r="C195" s="2">
        <v>4.65661287307739E-10</v>
      </c>
      <c r="D195" s="2">
        <v>4.6566128734981297E-10</v>
      </c>
      <c r="E195" s="2">
        <v>4.6589190390554496E-10</v>
      </c>
      <c r="F195" s="2">
        <v>2.6609734390721399E-8</v>
      </c>
      <c r="G195" s="2">
        <v>2.95920258181706E-3</v>
      </c>
      <c r="H195" s="2">
        <v>0.99704169646391605</v>
      </c>
      <c r="I195" s="2">
        <v>0.99999119289569505</v>
      </c>
      <c r="J195" s="2">
        <v>0.99999119289569505</v>
      </c>
      <c r="K195" s="2">
        <v>0.99999119289569505</v>
      </c>
    </row>
    <row r="196" spans="1:11" x14ac:dyDescent="0.25">
      <c r="A196">
        <v>19.5</v>
      </c>
      <c r="B196" s="2">
        <v>4.65661287307739E-10</v>
      </c>
      <c r="C196" s="2">
        <v>4.65661287307739E-10</v>
      </c>
      <c r="D196" s="2">
        <v>4.65661287341183E-10</v>
      </c>
      <c r="E196" s="2">
        <v>4.6585981060061901E-10</v>
      </c>
      <c r="F196" s="2">
        <v>2.4359892279263401E-8</v>
      </c>
      <c r="G196" s="2">
        <v>2.87197677408541E-3</v>
      </c>
      <c r="H196" s="2">
        <v>0.99712884968275795</v>
      </c>
      <c r="I196" s="2">
        <v>0.99999170575238805</v>
      </c>
      <c r="J196" s="2">
        <v>0.99999170575238805</v>
      </c>
      <c r="K196" s="2">
        <v>0.99999170575238805</v>
      </c>
    </row>
    <row r="197" spans="1:11" x14ac:dyDescent="0.25">
      <c r="A197">
        <v>19.600000000000001</v>
      </c>
      <c r="B197" s="2">
        <v>4.65661287307739E-10</v>
      </c>
      <c r="C197" s="2">
        <v>4.65661287307739E-10</v>
      </c>
      <c r="D197" s="2">
        <v>4.6566128733432298E-10</v>
      </c>
      <c r="E197" s="2">
        <v>4.6583218552048804E-10</v>
      </c>
      <c r="F197" s="2">
        <v>2.2303693808759202E-8</v>
      </c>
      <c r="G197" s="2">
        <v>2.7873158506722799E-3</v>
      </c>
      <c r="H197" s="2">
        <v>0.99721344386187405</v>
      </c>
      <c r="I197" s="2">
        <v>0.99999218874282103</v>
      </c>
      <c r="J197" s="2">
        <v>0.99999218874282103</v>
      </c>
      <c r="K197" s="2">
        <v>0.99999218874282103</v>
      </c>
    </row>
    <row r="198" spans="1:11" x14ac:dyDescent="0.25">
      <c r="A198">
        <v>19.7</v>
      </c>
      <c r="B198" s="2">
        <v>4.65661287307739E-10</v>
      </c>
      <c r="C198" s="2">
        <v>4.65661287307739E-10</v>
      </c>
      <c r="D198" s="2">
        <v>4.6566128732887196E-10</v>
      </c>
      <c r="E198" s="2">
        <v>4.6580840642359003E-10</v>
      </c>
      <c r="F198" s="2">
        <v>2.04244707651791E-8</v>
      </c>
      <c r="G198" s="2">
        <v>2.7051447291197199E-3</v>
      </c>
      <c r="H198" s="2">
        <v>0.99729555361579003</v>
      </c>
      <c r="I198" s="2">
        <v>0.99999264360625195</v>
      </c>
      <c r="J198" s="2">
        <v>0.99999264360625195</v>
      </c>
      <c r="K198" s="2">
        <v>0.99999264360625195</v>
      </c>
    </row>
    <row r="199" spans="1:11" x14ac:dyDescent="0.25">
      <c r="A199">
        <v>19.8</v>
      </c>
      <c r="B199" s="2">
        <v>4.65661287307739E-10</v>
      </c>
      <c r="C199" s="2">
        <v>4.65661287307739E-10</v>
      </c>
      <c r="D199" s="2">
        <v>4.6566128732453899E-10</v>
      </c>
      <c r="E199" s="2">
        <v>4.6578793773229399E-10</v>
      </c>
      <c r="F199" s="2">
        <v>1.8706989784339301E-8</v>
      </c>
      <c r="G199" s="2">
        <v>2.62539050692442E-3</v>
      </c>
      <c r="H199" s="2">
        <v>0.99737525141628303</v>
      </c>
      <c r="I199" s="2">
        <v>0.99999307198065701</v>
      </c>
      <c r="J199" s="2">
        <v>0.99999307198065701</v>
      </c>
      <c r="K199" s="2">
        <v>0.99999307198065701</v>
      </c>
    </row>
    <row r="200" spans="1:11" x14ac:dyDescent="0.25">
      <c r="A200">
        <v>19.899999999999999</v>
      </c>
      <c r="B200" s="2">
        <v>4.65661287307739E-10</v>
      </c>
      <c r="C200" s="2">
        <v>4.65661287307739E-10</v>
      </c>
      <c r="D200" s="2">
        <v>4.6566128732109502E-10</v>
      </c>
      <c r="E200" s="2">
        <v>4.6577031846175003E-10</v>
      </c>
      <c r="F200" s="2">
        <v>1.7137328823567499E-8</v>
      </c>
      <c r="G200" s="2">
        <v>2.5479823991559E-3</v>
      </c>
      <c r="H200" s="2">
        <v>0.99745260765182497</v>
      </c>
      <c r="I200" s="2">
        <v>0.99999347540862105</v>
      </c>
      <c r="J200" s="2">
        <v>0.99999347540862105</v>
      </c>
      <c r="K200" s="2">
        <v>0.99999347540862105</v>
      </c>
    </row>
    <row r="201" spans="1:11" x14ac:dyDescent="0.25">
      <c r="A201">
        <v>20</v>
      </c>
      <c r="B201" s="2">
        <v>4.65661287307739E-10</v>
      </c>
      <c r="C201" s="2">
        <v>4.65661287307739E-10</v>
      </c>
      <c r="D201" s="2">
        <v>4.6566128731835798E-10</v>
      </c>
      <c r="E201" s="2">
        <v>4.6575515183016002E-10</v>
      </c>
      <c r="F201" s="2">
        <v>1.5702764269691799E-8</v>
      </c>
      <c r="G201" s="2">
        <v>2.4728516778177701E-3</v>
      </c>
      <c r="H201" s="2">
        <v>0.99752769068552105</v>
      </c>
      <c r="I201" s="2">
        <v>0.99999385534289897</v>
      </c>
      <c r="J201" s="2">
        <v>0.99999385534289897</v>
      </c>
      <c r="K201" s="2">
        <v>0.99999385534289897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zoomScale="80" zoomScaleNormal="80" workbookViewId="0">
      <selection activeCell="G2" sqref="G2:H9"/>
    </sheetView>
  </sheetViews>
  <sheetFormatPr defaultRowHeight="15" x14ac:dyDescent="0.25"/>
  <sheetData>
    <row r="1" spans="1:17" x14ac:dyDescent="0.25">
      <c r="A1" t="s">
        <v>0</v>
      </c>
      <c r="B1">
        <v>0.5</v>
      </c>
      <c r="C1">
        <v>1.5</v>
      </c>
      <c r="D1">
        <v>2.5</v>
      </c>
      <c r="E1">
        <v>3.5</v>
      </c>
      <c r="F1">
        <v>4.5</v>
      </c>
      <c r="G1">
        <v>5.5</v>
      </c>
      <c r="H1">
        <v>6.5</v>
      </c>
      <c r="I1">
        <v>7.5</v>
      </c>
      <c r="J1">
        <v>8.5</v>
      </c>
      <c r="K1">
        <v>9.5</v>
      </c>
    </row>
    <row r="2" spans="1:17" x14ac:dyDescent="0.25">
      <c r="A2">
        <v>0.1</v>
      </c>
      <c r="B2" s="2">
        <v>3.7252902984619099E-9</v>
      </c>
      <c r="C2" s="2">
        <v>3.7252902984619099E-9</v>
      </c>
      <c r="D2" s="2">
        <v>3.7252902984619099E-9</v>
      </c>
      <c r="E2" s="2">
        <v>0.441113641039584</v>
      </c>
      <c r="F2" s="2">
        <v>0.45374565892824198</v>
      </c>
      <c r="G2" s="2">
        <v>0.466437514250852</v>
      </c>
      <c r="H2" s="2">
        <v>0.52912788902133201</v>
      </c>
      <c r="I2" s="2">
        <v>0.99999999627471003</v>
      </c>
      <c r="J2" s="2">
        <v>0.99999999627471003</v>
      </c>
      <c r="K2" s="2">
        <v>0.99999999627471003</v>
      </c>
    </row>
    <row r="3" spans="1:17" x14ac:dyDescent="0.25">
      <c r="A3">
        <v>0.2</v>
      </c>
      <c r="B3" s="2">
        <v>3.7252902984619099E-9</v>
      </c>
      <c r="C3" s="2">
        <v>3.7252902984619099E-9</v>
      </c>
      <c r="D3" s="2">
        <v>3.7252902984619099E-9</v>
      </c>
      <c r="E3" s="2">
        <v>0.38307931756289998</v>
      </c>
      <c r="F3" s="2">
        <v>0.40801771174615997</v>
      </c>
      <c r="G3" s="2">
        <v>0.433438955401865</v>
      </c>
      <c r="H3" s="2">
        <v>0.55885055559384</v>
      </c>
      <c r="I3" s="2">
        <v>0.99999999627471003</v>
      </c>
      <c r="J3" s="2">
        <v>0.99999999627471003</v>
      </c>
      <c r="K3" s="2">
        <v>0.99999999627471003</v>
      </c>
    </row>
    <row r="4" spans="1:17" x14ac:dyDescent="0.25">
      <c r="A4">
        <v>0.3</v>
      </c>
      <c r="B4" s="2">
        <v>3.7252902984619099E-9</v>
      </c>
      <c r="C4" s="2">
        <v>3.7252902984619099E-9</v>
      </c>
      <c r="D4" s="2">
        <v>3.7252902984619099E-9</v>
      </c>
      <c r="E4" s="2">
        <v>0.327537778603049</v>
      </c>
      <c r="F4" s="2">
        <v>0.36359817037847803</v>
      </c>
      <c r="G4" s="2">
        <v>0.40125968753343499</v>
      </c>
      <c r="H4" s="2">
        <v>0.58888127069535201</v>
      </c>
      <c r="I4" s="2">
        <v>0.99999999627471003</v>
      </c>
      <c r="J4" s="2">
        <v>0.99999999627471003</v>
      </c>
      <c r="K4" s="2">
        <v>0.99999999627471003</v>
      </c>
      <c r="O4" t="s">
        <v>24</v>
      </c>
      <c r="Q4" t="s">
        <v>23</v>
      </c>
    </row>
    <row r="5" spans="1:17" x14ac:dyDescent="0.25">
      <c r="A5">
        <v>0.4</v>
      </c>
      <c r="B5" s="2">
        <v>3.7252902984619099E-9</v>
      </c>
      <c r="C5" s="2">
        <v>3.7252902984619099E-9</v>
      </c>
      <c r="D5" s="2">
        <v>3.7252902984619099E-9</v>
      </c>
      <c r="E5" s="2">
        <v>0.27591153920468098</v>
      </c>
      <c r="F5" s="2">
        <v>0.32119668592329398</v>
      </c>
      <c r="G5" s="2">
        <v>0.370115292934595</v>
      </c>
      <c r="H5" s="2">
        <v>0.618888529422155</v>
      </c>
      <c r="I5" s="2">
        <v>0.99999999627471003</v>
      </c>
      <c r="J5" s="2">
        <v>0.99999999627471003</v>
      </c>
      <c r="K5" s="2">
        <v>0.99999999627471003</v>
      </c>
      <c r="O5" t="s">
        <v>25</v>
      </c>
    </row>
    <row r="6" spans="1:17" x14ac:dyDescent="0.25">
      <c r="A6">
        <v>0.5</v>
      </c>
      <c r="B6" s="2">
        <v>3.7252902984619099E-9</v>
      </c>
      <c r="C6" s="2">
        <v>3.7252902984619099E-9</v>
      </c>
      <c r="D6" s="2">
        <v>3.7252902984619099E-9</v>
      </c>
      <c r="E6" s="2">
        <v>0.22925047995839401</v>
      </c>
      <c r="F6" s="2">
        <v>0.28140235670456398</v>
      </c>
      <c r="G6" s="2">
        <v>0.34018185629990799</v>
      </c>
      <c r="H6" s="2">
        <v>0.64852187204351697</v>
      </c>
      <c r="I6" s="2">
        <v>0.99999999627471003</v>
      </c>
      <c r="J6" s="2">
        <v>0.99999999627471003</v>
      </c>
      <c r="K6" s="2">
        <v>0.99999999627471003</v>
      </c>
    </row>
    <row r="7" spans="1:17" x14ac:dyDescent="0.25">
      <c r="A7">
        <v>0.6</v>
      </c>
      <c r="B7" s="2">
        <v>3.7252902984619099E-9</v>
      </c>
      <c r="C7" s="2">
        <v>3.7252902984619099E-9</v>
      </c>
      <c r="D7" s="2">
        <v>3.7252902984619099E-9</v>
      </c>
      <c r="E7" s="2">
        <v>0.18815646835772801</v>
      </c>
      <c r="F7" s="2">
        <v>0.24465148361209599</v>
      </c>
      <c r="G7" s="2">
        <v>0.31159878570560401</v>
      </c>
      <c r="H7" s="2">
        <v>0.67744041912416997</v>
      </c>
      <c r="I7" s="2">
        <v>0.99999999627471003</v>
      </c>
      <c r="J7" s="2">
        <v>0.99999999627471003</v>
      </c>
      <c r="K7" s="2">
        <v>0.99999999627471003</v>
      </c>
    </row>
    <row r="8" spans="1:17" x14ac:dyDescent="0.25">
      <c r="A8">
        <v>0.7</v>
      </c>
      <c r="B8" s="2">
        <v>3.7252902984619099E-9</v>
      </c>
      <c r="C8" s="2">
        <v>3.7252902984619099E-9</v>
      </c>
      <c r="D8" s="2">
        <v>3.7252902984619099E-9</v>
      </c>
      <c r="E8" s="2">
        <v>0.15279457375260999</v>
      </c>
      <c r="F8" s="2">
        <v>0.21121515705678801</v>
      </c>
      <c r="G8" s="2">
        <v>0.28447244662652499</v>
      </c>
      <c r="H8" s="2">
        <v>0.70533813800360501</v>
      </c>
      <c r="I8" s="2">
        <v>0.99999999627471003</v>
      </c>
      <c r="J8" s="2">
        <v>0.99999999627471003</v>
      </c>
      <c r="K8" s="2">
        <v>0.99999999627471003</v>
      </c>
    </row>
    <row r="9" spans="1:17" x14ac:dyDescent="0.25">
      <c r="A9">
        <v>0.8</v>
      </c>
      <c r="B9" s="2">
        <v>3.7252902984619099E-9</v>
      </c>
      <c r="C9" s="2">
        <v>3.7252902984619099E-9</v>
      </c>
      <c r="D9" s="2">
        <v>3.7252902984619099E-9</v>
      </c>
      <c r="E9" s="2">
        <v>0.122970310822135</v>
      </c>
      <c r="F9" s="2">
        <v>0.181205811510741</v>
      </c>
      <c r="G9" s="2">
        <v>0.25887947002813</v>
      </c>
      <c r="H9" s="2">
        <v>0.73196162189837599</v>
      </c>
      <c r="I9" s="2">
        <v>0.99999999627471003</v>
      </c>
      <c r="J9" s="2">
        <v>0.99999999627471003</v>
      </c>
      <c r="K9" s="2">
        <v>0.99999999627471003</v>
      </c>
    </row>
    <row r="10" spans="1:17" x14ac:dyDescent="0.25">
      <c r="A10">
        <v>0.9</v>
      </c>
      <c r="B10" s="2">
        <v>3.7252902984619099E-9</v>
      </c>
      <c r="C10" s="2">
        <v>3.7252902984619099E-9</v>
      </c>
      <c r="D10" s="2">
        <v>3.7252902984619099E-9</v>
      </c>
      <c r="E10" s="2">
        <v>9.8238795762508602E-2</v>
      </c>
      <c r="F10" s="2">
        <v>0.154598159014774</v>
      </c>
      <c r="G10" s="2">
        <v>0.23486936256277099</v>
      </c>
      <c r="H10" s="2">
        <v>0.75711895086321501</v>
      </c>
      <c r="I10" s="2">
        <v>0.99999999627471003</v>
      </c>
      <c r="J10" s="2">
        <v>0.99999999627471003</v>
      </c>
      <c r="K10" s="2">
        <v>0.99999999627471003</v>
      </c>
    </row>
    <row r="11" spans="1:17" x14ac:dyDescent="0.25">
      <c r="A11">
        <v>1</v>
      </c>
      <c r="B11" s="2">
        <v>1.8626451492309599E-9</v>
      </c>
      <c r="C11" s="2">
        <v>1.8626451492309599E-9</v>
      </c>
      <c r="D11" s="2">
        <v>1.8626451492309599E-9</v>
      </c>
      <c r="E11" s="2">
        <v>7.8014341269512205E-2</v>
      </c>
      <c r="F11" s="2">
        <v>0.13125826706390001</v>
      </c>
      <c r="G11" s="2">
        <v>0.212466599257328</v>
      </c>
      <c r="H11" s="2">
        <v>0.78068060409874995</v>
      </c>
      <c r="I11" s="2">
        <v>0.99999999813735496</v>
      </c>
      <c r="J11" s="2">
        <v>0.99999999813735496</v>
      </c>
      <c r="K11" s="2">
        <v>0.99999999813735496</v>
      </c>
    </row>
    <row r="12" spans="1:17" x14ac:dyDescent="0.25">
      <c r="A12">
        <v>1.1000000000000001</v>
      </c>
      <c r="B12" s="2">
        <v>1.8626451492309599E-9</v>
      </c>
      <c r="C12" s="2">
        <v>1.8626451492309599E-9</v>
      </c>
      <c r="D12" s="2">
        <v>1.8626451492309599E-9</v>
      </c>
      <c r="E12" s="2">
        <v>6.1660731666699699E-2</v>
      </c>
      <c r="F12" s="2">
        <v>0.11097489953360901</v>
      </c>
      <c r="G12" s="2">
        <v>0.191672586460192</v>
      </c>
      <c r="H12" s="2">
        <v>0.80257464607767504</v>
      </c>
      <c r="I12" s="2">
        <v>0.99999999813735496</v>
      </c>
      <c r="J12" s="2">
        <v>0.99999999813735496</v>
      </c>
      <c r="K12" s="2">
        <v>0.99999999813735496</v>
      </c>
    </row>
    <row r="13" spans="1:17" x14ac:dyDescent="0.25">
      <c r="A13">
        <v>1.2</v>
      </c>
      <c r="B13" s="2">
        <v>1.8626451492309599E-9</v>
      </c>
      <c r="C13" s="2">
        <v>1.8626451492309599E-9</v>
      </c>
      <c r="D13" s="2">
        <v>1.8626451492309599E-9</v>
      </c>
      <c r="E13" s="2">
        <v>4.8554859780655803E-2</v>
      </c>
      <c r="F13" s="2">
        <v>9.3488729469181006E-2</v>
      </c>
      <c r="G13" s="2">
        <v>0.17246780963033001</v>
      </c>
      <c r="H13" s="2">
        <v>0.822778661043714</v>
      </c>
      <c r="I13" s="2">
        <v>0.99999999813735496</v>
      </c>
      <c r="J13" s="2">
        <v>0.99999999813735496</v>
      </c>
      <c r="K13" s="2">
        <v>0.99999999813735496</v>
      </c>
    </row>
    <row r="14" spans="1:17" x14ac:dyDescent="0.25">
      <c r="A14">
        <v>1.3</v>
      </c>
      <c r="B14" s="2">
        <v>1.8626451492309599E-9</v>
      </c>
      <c r="C14" s="2">
        <v>1.8626451492309599E-9</v>
      </c>
      <c r="D14" s="2">
        <v>1.8626451492309599E-9</v>
      </c>
      <c r="E14" s="2">
        <v>3.8125141255286703E-2</v>
      </c>
      <c r="F14" s="2">
        <v>7.8516930085430994E-2</v>
      </c>
      <c r="G14" s="2">
        <v>0.154814325795115</v>
      </c>
      <c r="H14" s="2">
        <v>0.84131038288682503</v>
      </c>
      <c r="I14" s="2">
        <v>0.99999999813735496</v>
      </c>
      <c r="J14" s="2">
        <v>0.99999999813735496</v>
      </c>
      <c r="K14" s="2">
        <v>0.99999999813735496</v>
      </c>
    </row>
    <row r="15" spans="1:17" x14ac:dyDescent="0.25">
      <c r="A15">
        <v>1.4</v>
      </c>
      <c r="B15" s="2">
        <v>1.8626451492309599E-9</v>
      </c>
      <c r="C15" s="2">
        <v>1.8626451492309599E-9</v>
      </c>
      <c r="D15" s="2">
        <v>1.8626451492309599E-9</v>
      </c>
      <c r="E15" s="2">
        <v>2.9870132639236501E-2</v>
      </c>
      <c r="F15" s="2">
        <v>6.5772165015865899E-2</v>
      </c>
      <c r="G15" s="2">
        <v>0.138658576198186</v>
      </c>
      <c r="H15" s="2">
        <v>0.858218418987998</v>
      </c>
      <c r="I15" s="2">
        <v>0.99999999813735496</v>
      </c>
      <c r="J15" s="2">
        <v>0.99999999813735496</v>
      </c>
      <c r="K15" s="2">
        <v>0.99999999813735496</v>
      </c>
    </row>
    <row r="16" spans="1:17" x14ac:dyDescent="0.25">
      <c r="A16">
        <v>1.5</v>
      </c>
      <c r="B16" s="2">
        <v>1.8626451492309599E-9</v>
      </c>
      <c r="C16" s="2">
        <v>1.8626451492309599E-9</v>
      </c>
      <c r="D16" s="2">
        <v>1.8626451492309599E-9</v>
      </c>
      <c r="E16" s="2">
        <v>2.3363624066248902E-2</v>
      </c>
      <c r="F16" s="2">
        <v>5.49761159952818E-2</v>
      </c>
      <c r="G16" s="2">
        <v>0.123934398960569</v>
      </c>
      <c r="H16" s="2">
        <v>0.87357383346172202</v>
      </c>
      <c r="I16" s="2">
        <v>0.99999999813735496</v>
      </c>
      <c r="J16" s="2">
        <v>0.99999999813735496</v>
      </c>
      <c r="K16" s="2">
        <v>0.99999999813735496</v>
      </c>
    </row>
    <row r="17" spans="1:11" x14ac:dyDescent="0.25">
      <c r="A17">
        <v>1.6</v>
      </c>
      <c r="B17" s="2">
        <v>1.8626451492309599E-9</v>
      </c>
      <c r="C17" s="2">
        <v>1.8626451492309599E-9</v>
      </c>
      <c r="D17" s="2">
        <v>1.8626451492309599E-9</v>
      </c>
      <c r="E17" s="2">
        <v>1.82515670475034E-2</v>
      </c>
      <c r="F17" s="2">
        <v>4.5868274574101302E-2</v>
      </c>
      <c r="G17" s="2">
        <v>0.110566076473073</v>
      </c>
      <c r="H17" s="2">
        <v>0.88746294678644999</v>
      </c>
      <c r="I17" s="2">
        <v>0.99999999813735496</v>
      </c>
      <c r="J17" s="2">
        <v>0.99999999813735496</v>
      </c>
      <c r="K17" s="2">
        <v>0.99999999813735496</v>
      </c>
    </row>
    <row r="18" spans="1:11" x14ac:dyDescent="0.25">
      <c r="A18">
        <v>1.7</v>
      </c>
      <c r="B18" s="2">
        <v>1.8626451492309599E-9</v>
      </c>
      <c r="C18" s="2">
        <v>1.8626451492309599E-9</v>
      </c>
      <c r="D18" s="2">
        <v>1.8626451492309599E-9</v>
      </c>
      <c r="E18" s="2">
        <v>1.42447707324285E-2</v>
      </c>
      <c r="F18" s="2">
        <v>3.8210960625889703E-2</v>
      </c>
      <c r="G18" s="2">
        <v>9.8471258941121798E-2</v>
      </c>
      <c r="H18" s="2">
        <v>0.89998143501501005</v>
      </c>
      <c r="I18" s="2">
        <v>0.99999999813735496</v>
      </c>
      <c r="J18" s="2">
        <v>0.99999999813735496</v>
      </c>
      <c r="K18" s="2">
        <v>0.99999999813735496</v>
      </c>
    </row>
    <row r="19" spans="1:11" x14ac:dyDescent="0.25">
      <c r="A19">
        <v>1.8</v>
      </c>
      <c r="B19" s="2">
        <v>1.8626451492309599E-9</v>
      </c>
      <c r="C19" s="2">
        <v>1.8626451492309599E-9</v>
      </c>
      <c r="D19" s="2">
        <v>1.8626451492309599E-9</v>
      </c>
      <c r="E19" s="2">
        <v>1.11099480805654E-2</v>
      </c>
      <c r="F19" s="2">
        <v>3.1791533597820901E-2</v>
      </c>
      <c r="G19" s="2">
        <v>8.7563638392888804E-2</v>
      </c>
      <c r="H19" s="2">
        <v>0.911229659518215</v>
      </c>
      <c r="I19" s="2">
        <v>0.99999999813735496</v>
      </c>
      <c r="J19" s="2">
        <v>0.99999999813735496</v>
      </c>
      <c r="K19" s="2">
        <v>0.99999999813735496</v>
      </c>
    </row>
    <row r="20" spans="1:11" x14ac:dyDescent="0.25">
      <c r="A20">
        <v>1.9</v>
      </c>
      <c r="B20" s="2">
        <v>1.8626451492309599E-9</v>
      </c>
      <c r="C20" s="2">
        <v>1.8626451492309599E-9</v>
      </c>
      <c r="D20" s="2">
        <v>1.8626451492309599E-9</v>
      </c>
      <c r="E20" s="2">
        <v>8.66064526924251E-3</v>
      </c>
      <c r="F20" s="2">
        <v>2.6422644446364899E-2</v>
      </c>
      <c r="G20" s="2">
        <v>7.7755289998664906E-2</v>
      </c>
      <c r="H20" s="2">
        <v>0.92130908543179602</v>
      </c>
      <c r="I20" s="2">
        <v>0.99999999813735496</v>
      </c>
      <c r="J20" s="2">
        <v>0.99999999813735496</v>
      </c>
      <c r="K20" s="2">
        <v>0.99999999813735496</v>
      </c>
    </row>
    <row r="21" spans="1:11" x14ac:dyDescent="0.25">
      <c r="A21">
        <v>2</v>
      </c>
      <c r="B21" s="2">
        <v>1.8626451492309599E-9</v>
      </c>
      <c r="C21" s="2">
        <v>1.8626451492309599E-9</v>
      </c>
      <c r="D21" s="2">
        <v>1.8626451492309599E-9</v>
      </c>
      <c r="E21" s="2">
        <v>6.7488649528348399E-3</v>
      </c>
      <c r="F21" s="2">
        <v>2.1941212172283901E-2</v>
      </c>
      <c r="G21" s="2">
        <v>6.8958638770914002E-2</v>
      </c>
      <c r="H21" s="2">
        <v>0.93031962212556396</v>
      </c>
      <c r="I21" s="2">
        <v>0.99999999813735496</v>
      </c>
      <c r="J21" s="2">
        <v>0.99999999813735496</v>
      </c>
      <c r="K21" s="2">
        <v>0.99999999813735496</v>
      </c>
    </row>
    <row r="22" spans="1:11" x14ac:dyDescent="0.25">
      <c r="A22">
        <v>2.1</v>
      </c>
      <c r="B22" s="2">
        <v>1.8626451492309599E-9</v>
      </c>
      <c r="C22" s="2">
        <v>1.8626451492309599E-9</v>
      </c>
      <c r="D22" s="2">
        <v>1.8626451492309599E-9</v>
      </c>
      <c r="E22" s="2">
        <v>5.2577371965094799E-3</v>
      </c>
      <c r="F22" s="2">
        <v>1.8206643027783499E-2</v>
      </c>
      <c r="G22" s="2">
        <v>6.1088043932334697E-2</v>
      </c>
      <c r="H22" s="2">
        <v>0.93835772057074895</v>
      </c>
      <c r="I22" s="2">
        <v>0.99999999813735496</v>
      </c>
      <c r="J22" s="2">
        <v>0.99999999813735496</v>
      </c>
      <c r="K22" s="2">
        <v>0.99999999813735496</v>
      </c>
    </row>
    <row r="23" spans="1:11" x14ac:dyDescent="0.25">
      <c r="A23">
        <v>2.2000000000000002</v>
      </c>
      <c r="B23" s="2">
        <v>1.8626451492309599E-9</v>
      </c>
      <c r="C23" s="2">
        <v>1.8626451492309599E-9</v>
      </c>
      <c r="D23" s="2">
        <v>1.8626451492309599E-9</v>
      </c>
      <c r="E23" s="2">
        <v>4.0953252972855099E-3</v>
      </c>
      <c r="F23" s="2">
        <v>1.5098664683364099E-2</v>
      </c>
      <c r="G23" s="2">
        <v>5.4061018458728398E-2</v>
      </c>
      <c r="H23" s="2">
        <v>0.94551507705118798</v>
      </c>
      <c r="I23" s="2">
        <v>0.99999999813735496</v>
      </c>
      <c r="J23" s="2">
        <v>0.99999999813735496</v>
      </c>
      <c r="K23" s="2">
        <v>0.99999999813735496</v>
      </c>
    </row>
    <row r="24" spans="1:11" x14ac:dyDescent="0.25">
      <c r="A24">
        <v>2.2999999999999998</v>
      </c>
      <c r="B24" s="2">
        <v>1.8626451492309599E-9</v>
      </c>
      <c r="C24" s="2">
        <v>1.8626451492309599E-9</v>
      </c>
      <c r="D24" s="2">
        <v>1.8626451492309599E-9</v>
      </c>
      <c r="E24" s="2">
        <v>3.18951187266727E-3</v>
      </c>
      <c r="F24" s="2">
        <v>1.2515029748535E-2</v>
      </c>
      <c r="G24" s="2">
        <v>4.7799117744500602E-2</v>
      </c>
      <c r="H24" s="2">
        <v>0.95187781245787895</v>
      </c>
      <c r="I24" s="2">
        <v>0.99999999813735496</v>
      </c>
      <c r="J24" s="2">
        <v>0.99999999813735496</v>
      </c>
      <c r="K24" s="2">
        <v>0.99999999813735496</v>
      </c>
    </row>
    <row r="25" spans="1:11" x14ac:dyDescent="0.25">
      <c r="A25">
        <v>2.4</v>
      </c>
      <c r="B25" s="2">
        <v>1.8626451492309599E-9</v>
      </c>
      <c r="C25" s="2">
        <v>1.8626451492309599E-9</v>
      </c>
      <c r="D25" s="2">
        <v>1.8626451492309599E-9</v>
      </c>
      <c r="E25" s="2">
        <v>2.4838452840642202E-3</v>
      </c>
      <c r="F25" s="2">
        <v>1.03692531216027E-2</v>
      </c>
      <c r="G25" s="2">
        <v>4.2228540331461201E-2</v>
      </c>
      <c r="H25" s="2">
        <v>0.95752601716943897</v>
      </c>
      <c r="I25" s="2">
        <v>0.99999999813735496</v>
      </c>
      <c r="J25" s="2">
        <v>0.99999999813735496</v>
      </c>
      <c r="K25" s="2">
        <v>0.99999999813735496</v>
      </c>
    </row>
    <row r="26" spans="1:11" x14ac:dyDescent="0.25">
      <c r="A26">
        <v>2.5</v>
      </c>
      <c r="B26" s="2">
        <v>1.8626451492309599E-9</v>
      </c>
      <c r="C26" s="2">
        <v>1.8626451492309599E-9</v>
      </c>
      <c r="D26" s="2">
        <v>1.8626451492309599E-9</v>
      </c>
      <c r="E26" s="2">
        <v>1.93420516050755E-3</v>
      </c>
      <c r="F26" s="2">
        <v>8.5884821574732199E-3</v>
      </c>
      <c r="G26" s="2">
        <v>3.7280486905988397E-2</v>
      </c>
      <c r="H26" s="2">
        <v>0.96253357109899196</v>
      </c>
      <c r="I26" s="2">
        <v>0.99999999813735496</v>
      </c>
      <c r="J26" s="2">
        <v>0.99999999813735496</v>
      </c>
      <c r="K26" s="2">
        <v>0.99999999813735496</v>
      </c>
    </row>
    <row r="27" spans="1:11" x14ac:dyDescent="0.25">
      <c r="A27">
        <v>2.6</v>
      </c>
      <c r="B27" s="2">
        <v>1.8626451492309599E-9</v>
      </c>
      <c r="C27" s="2">
        <v>1.8626451492309599E-9</v>
      </c>
      <c r="D27" s="2">
        <v>1.8626451492309599E-9</v>
      </c>
      <c r="E27" s="2">
        <v>1.50614795327671E-3</v>
      </c>
      <c r="F27" s="2">
        <v>7.1115528523458503E-3</v>
      </c>
      <c r="G27" s="2">
        <v>3.2891322996743598E-2</v>
      </c>
      <c r="H27" s="2">
        <v>0.96696816592211199</v>
      </c>
      <c r="I27" s="2">
        <v>0.99999999813735496</v>
      </c>
      <c r="J27" s="2">
        <v>0.99999999813735496</v>
      </c>
      <c r="K27" s="2">
        <v>0.99999999813735496</v>
      </c>
    </row>
    <row r="28" spans="1:11" x14ac:dyDescent="0.25">
      <c r="A28">
        <v>2.7</v>
      </c>
      <c r="B28" s="2">
        <v>1.8626451492309599E-9</v>
      </c>
      <c r="C28" s="2">
        <v>1.8626451492309599E-9</v>
      </c>
      <c r="D28" s="2">
        <v>1.8626451492309599E-9</v>
      </c>
      <c r="E28" s="2">
        <v>1.17280676850596E-3</v>
      </c>
      <c r="F28" s="2">
        <v>5.8872544905583801E-3</v>
      </c>
      <c r="G28" s="2">
        <v>2.9002587450517699E-2</v>
      </c>
      <c r="H28" s="2">
        <v>0.97089147148562605</v>
      </c>
      <c r="I28" s="2">
        <v>0.99999999813735496</v>
      </c>
      <c r="J28" s="2">
        <v>0.99999999813735496</v>
      </c>
      <c r="K28" s="2">
        <v>0.99999999813735496</v>
      </c>
    </row>
    <row r="29" spans="1:11" x14ac:dyDescent="0.25">
      <c r="A29">
        <v>2.8</v>
      </c>
      <c r="B29" s="2">
        <v>1.8626451492309599E-9</v>
      </c>
      <c r="C29" s="2">
        <v>1.8626451492309599E-9</v>
      </c>
      <c r="D29" s="2">
        <v>1.8626451492309599E-9</v>
      </c>
      <c r="E29" s="2">
        <v>9.1323718666089303E-4</v>
      </c>
      <c r="F29" s="2">
        <v>4.8728054591041601E-3</v>
      </c>
      <c r="G29" s="2">
        <v>2.55608839736301E-2</v>
      </c>
      <c r="H29" s="2">
        <v>0.97435940096877205</v>
      </c>
      <c r="I29" s="2">
        <v>0.99999999813735496</v>
      </c>
      <c r="J29" s="2">
        <v>0.99999999813735496</v>
      </c>
      <c r="K29" s="2">
        <v>0.99999999813735496</v>
      </c>
    </row>
    <row r="30" spans="1:11" x14ac:dyDescent="0.25">
      <c r="A30">
        <v>2.9</v>
      </c>
      <c r="B30" s="2">
        <v>1.8626451492309599E-9</v>
      </c>
      <c r="C30" s="2">
        <v>1.8626451492309599E-9</v>
      </c>
      <c r="D30" s="2">
        <v>1.8626451492309599E-9</v>
      </c>
      <c r="E30" s="2">
        <v>7.11118643857873E-4</v>
      </c>
      <c r="F30" s="2">
        <v>4.0325309883356896E-3</v>
      </c>
      <c r="G30" s="2">
        <v>2.2517687639702098E-2</v>
      </c>
      <c r="H30" s="2">
        <v>0.97742243972607301</v>
      </c>
      <c r="I30" s="2">
        <v>0.99999999813735496</v>
      </c>
      <c r="J30" s="2">
        <v>0.99999999813735496</v>
      </c>
      <c r="K30" s="2">
        <v>0.99999999813735496</v>
      </c>
    </row>
    <row r="31" spans="1:11" x14ac:dyDescent="0.25">
      <c r="A31">
        <v>3</v>
      </c>
      <c r="B31" s="2">
        <v>1.8626451492309599E-9</v>
      </c>
      <c r="C31" s="2">
        <v>1.8626451492309599E-9</v>
      </c>
      <c r="D31" s="2">
        <v>1.8626451492309599E-9</v>
      </c>
      <c r="E31" s="2">
        <v>5.5373740423486704E-4</v>
      </c>
      <c r="F31" s="2">
        <v>3.3367269701198802E-3</v>
      </c>
      <c r="G31" s="2">
        <v>1.98290928535917E-2</v>
      </c>
      <c r="H31" s="2">
        <v>0.980126011151772</v>
      </c>
      <c r="I31" s="2">
        <v>0.99999999813735496</v>
      </c>
      <c r="J31" s="2">
        <v>0.99999999813735496</v>
      </c>
      <c r="K31" s="2">
        <v>0.99999999813735496</v>
      </c>
    </row>
    <row r="32" spans="1:11" x14ac:dyDescent="0.25">
      <c r="A32">
        <v>3.1</v>
      </c>
      <c r="B32" s="2">
        <v>3.7252902984619099E-9</v>
      </c>
      <c r="C32" s="2">
        <v>3.7252902984619099E-9</v>
      </c>
      <c r="D32" s="2">
        <v>3.7252902984619099E-9</v>
      </c>
      <c r="E32" s="2">
        <v>4.3119334399670202E-4</v>
      </c>
      <c r="F32" s="2">
        <v>2.7606928266160299E-3</v>
      </c>
      <c r="G32" s="2">
        <v>1.7455525756951699E-2</v>
      </c>
      <c r="H32" s="2">
        <v>0.98251085715725694</v>
      </c>
      <c r="I32" s="2">
        <v>0.99999999627471003</v>
      </c>
      <c r="J32" s="2">
        <v>0.99999999627471003</v>
      </c>
      <c r="K32" s="2">
        <v>0.99999999627471003</v>
      </c>
    </row>
    <row r="33" spans="1:11" x14ac:dyDescent="0.25">
      <c r="A33">
        <v>3.2</v>
      </c>
      <c r="B33" s="2">
        <v>3.7252902984619099E-9</v>
      </c>
      <c r="C33" s="2">
        <v>3.7252902984619099E-9</v>
      </c>
      <c r="D33" s="2">
        <v>3.7252902984619099E-9</v>
      </c>
      <c r="E33" s="2">
        <v>3.3577163894058198E-4</v>
      </c>
      <c r="F33" s="2">
        <v>2.2839023694121502E-3</v>
      </c>
      <c r="G33" s="2">
        <v>1.5361428533419E-2</v>
      </c>
      <c r="H33" s="2">
        <v>0.98461343369005805</v>
      </c>
      <c r="I33" s="2">
        <v>0.99999999627471003</v>
      </c>
      <c r="J33" s="2">
        <v>0.99999999627471003</v>
      </c>
      <c r="K33" s="2">
        <v>0.99999999627471003</v>
      </c>
    </row>
    <row r="34" spans="1:11" x14ac:dyDescent="0.25">
      <c r="A34">
        <v>3.3</v>
      </c>
      <c r="B34" s="2">
        <v>3.7252902984619099E-9</v>
      </c>
      <c r="C34" s="2">
        <v>3.7252902984619099E-9</v>
      </c>
      <c r="D34" s="2">
        <v>3.7252902984619099E-9</v>
      </c>
      <c r="E34" s="2">
        <v>2.6146978564039E-4</v>
      </c>
      <c r="F34" s="2">
        <v>1.8893218399683399E-3</v>
      </c>
      <c r="G34" s="2">
        <v>1.35149520157327E-2</v>
      </c>
      <c r="H34" s="2">
        <v>0.98646627329311598</v>
      </c>
      <c r="I34" s="2">
        <v>0.99999999627471003</v>
      </c>
      <c r="J34" s="2">
        <v>0.99999999627471003</v>
      </c>
      <c r="K34" s="2">
        <v>0.99999999627471003</v>
      </c>
    </row>
    <row r="35" spans="1:11" x14ac:dyDescent="0.25">
      <c r="A35">
        <v>3.4</v>
      </c>
      <c r="B35" s="2">
        <v>3.7252902984619099E-9</v>
      </c>
      <c r="C35" s="2">
        <v>3.7252902984619099E-9</v>
      </c>
      <c r="D35" s="2">
        <v>3.7252902984619099E-9</v>
      </c>
      <c r="E35" s="2">
        <v>2.0361257489687399E-4</v>
      </c>
      <c r="F35" s="2">
        <v>1.5628194962130999E-3</v>
      </c>
      <c r="G35" s="2">
        <v>1.18876350524401E-2</v>
      </c>
      <c r="H35" s="2">
        <v>0.98809835789114797</v>
      </c>
      <c r="I35" s="2">
        <v>0.99999999627471003</v>
      </c>
      <c r="J35" s="2">
        <v>0.99999999627471003</v>
      </c>
      <c r="K35" s="2">
        <v>0.99999999627471003</v>
      </c>
    </row>
    <row r="36" spans="1:11" x14ac:dyDescent="0.25">
      <c r="A36">
        <v>3.5</v>
      </c>
      <c r="B36" s="2">
        <v>3.7252902984619099E-9</v>
      </c>
      <c r="C36" s="2">
        <v>3.7252902984619099E-9</v>
      </c>
      <c r="D36" s="2">
        <v>3.7252902984619099E-9</v>
      </c>
      <c r="E36" s="2">
        <v>1.5855982888915101E-4</v>
      </c>
      <c r="F36" s="2">
        <v>1.2926790049295901E-3</v>
      </c>
      <c r="G36" s="2">
        <v>1.04541009003429E-2</v>
      </c>
      <c r="H36" s="2">
        <v>0.98953545928827802</v>
      </c>
      <c r="I36" s="2">
        <v>0.99999999627471003</v>
      </c>
      <c r="J36" s="2">
        <v>0.99999999627471003</v>
      </c>
      <c r="K36" s="2">
        <v>0.99999999627471003</v>
      </c>
    </row>
    <row r="37" spans="1:11" x14ac:dyDescent="0.25">
      <c r="A37">
        <v>3.6</v>
      </c>
      <c r="B37" s="2">
        <v>3.7252902984619099E-9</v>
      </c>
      <c r="C37" s="2">
        <v>3.7252902984619099E-9</v>
      </c>
      <c r="D37" s="2">
        <v>3.7252902984619099E-9</v>
      </c>
      <c r="E37" s="2">
        <v>1.2347728121648601E-4</v>
      </c>
      <c r="F37" s="2">
        <v>1.0691910236004299E-3</v>
      </c>
      <c r="G37" s="2">
        <v>9.1917661218126299E-3</v>
      </c>
      <c r="H37" s="2">
        <v>0.99080045979984099</v>
      </c>
      <c r="I37" s="2">
        <v>0.99999999627471003</v>
      </c>
      <c r="J37" s="2">
        <v>0.99999999627471003</v>
      </c>
      <c r="K37" s="2">
        <v>0.99999999627471003</v>
      </c>
    </row>
    <row r="38" spans="1:11" x14ac:dyDescent="0.25">
      <c r="A38">
        <v>3.7</v>
      </c>
      <c r="B38" s="2">
        <v>3.7252902984619099E-9</v>
      </c>
      <c r="C38" s="2">
        <v>3.7252902984619099E-9</v>
      </c>
      <c r="D38" s="2">
        <v>3.7252902984619099E-9</v>
      </c>
      <c r="E38" s="2">
        <v>9.6158145672741905E-5</v>
      </c>
      <c r="F38" s="2">
        <v>8.8431241757056802E-4</v>
      </c>
      <c r="G38" s="2">
        <v>8.0805666085816599E-3</v>
      </c>
      <c r="H38" s="2">
        <v>0.99191364909878299</v>
      </c>
      <c r="I38" s="2">
        <v>0.99999999627471003</v>
      </c>
      <c r="J38" s="2">
        <v>0.99999999627471003</v>
      </c>
      <c r="K38" s="2">
        <v>0.99999999627471003</v>
      </c>
    </row>
    <row r="39" spans="1:11" x14ac:dyDescent="0.25">
      <c r="A39">
        <v>3.8</v>
      </c>
      <c r="B39" s="2">
        <v>3.7252902984619099E-9</v>
      </c>
      <c r="C39" s="2">
        <v>3.7252902984619099E-9</v>
      </c>
      <c r="D39" s="2">
        <v>3.7252902984619099E-9</v>
      </c>
      <c r="E39" s="2">
        <v>7.48841791913986E-5</v>
      </c>
      <c r="F39" s="2">
        <v>7.3138237368952999E-4</v>
      </c>
      <c r="G39" s="2">
        <v>7.1027024986850098E-3</v>
      </c>
      <c r="H39" s="2">
        <v>0.99289299691566102</v>
      </c>
      <c r="I39" s="2">
        <v>0.99999999627471003</v>
      </c>
      <c r="J39" s="2">
        <v>0.99999999627471003</v>
      </c>
      <c r="K39" s="2">
        <v>0.99999999627471003</v>
      </c>
    </row>
    <row r="40" spans="1:11" x14ac:dyDescent="0.25">
      <c r="A40">
        <v>3.9</v>
      </c>
      <c r="B40" s="2">
        <v>3.7252902984619099E-9</v>
      </c>
      <c r="C40" s="2">
        <v>3.7252902984619099E-9</v>
      </c>
      <c r="D40" s="2">
        <v>3.7252902984619099E-9</v>
      </c>
      <c r="E40" s="2">
        <v>5.8317506483947702E-5</v>
      </c>
      <c r="F40" s="2">
        <v>6.0488622419968096E-4</v>
      </c>
      <c r="G40" s="2">
        <v>6.24240276675464E-3</v>
      </c>
      <c r="H40" s="2">
        <v>0.99375440195520703</v>
      </c>
      <c r="I40" s="2">
        <v>0.99999999627471003</v>
      </c>
      <c r="J40" s="2">
        <v>0.99999999627471003</v>
      </c>
      <c r="K40" s="2">
        <v>0.99999999627471003</v>
      </c>
    </row>
    <row r="41" spans="1:11" x14ac:dyDescent="0.25">
      <c r="A41">
        <v>4</v>
      </c>
      <c r="B41" s="2">
        <v>3.7252902984619099E-9</v>
      </c>
      <c r="C41" s="2">
        <v>3.7252902984619099E-9</v>
      </c>
      <c r="D41" s="2">
        <v>3.7252902984619099E-9</v>
      </c>
      <c r="E41" s="2">
        <v>4.5416399409204698E-5</v>
      </c>
      <c r="F41" s="2">
        <v>5.0025917505018298E-4</v>
      </c>
      <c r="G41" s="2">
        <v>5.4857095432434997E-3</v>
      </c>
      <c r="H41" s="2">
        <v>0.99451191789067095</v>
      </c>
      <c r="I41" s="2">
        <v>0.99999999627471003</v>
      </c>
      <c r="J41" s="2">
        <v>0.99999999627471003</v>
      </c>
      <c r="K41" s="2">
        <v>0.99999999627471003</v>
      </c>
    </row>
    <row r="42" spans="1:11" x14ac:dyDescent="0.25">
      <c r="A42">
        <v>4.0999999999999996</v>
      </c>
      <c r="B42" s="2">
        <v>3.7252902984619099E-9</v>
      </c>
      <c r="C42" s="2">
        <v>3.7252902984619099E-9</v>
      </c>
      <c r="D42" s="2">
        <v>3.7252902984619099E-9</v>
      </c>
      <c r="E42" s="2">
        <v>3.5369707723619698E-5</v>
      </c>
      <c r="F42" s="2">
        <v>4.13723340544726E-4</v>
      </c>
      <c r="G42" s="2">
        <v>4.8202817018045598E-3</v>
      </c>
      <c r="H42" s="2">
        <v>0.99517795762371097</v>
      </c>
      <c r="I42" s="2">
        <v>0.99999999627471003</v>
      </c>
      <c r="J42" s="2">
        <v>0.99999999627471003</v>
      </c>
      <c r="K42" s="2">
        <v>0.99999999627471003</v>
      </c>
    </row>
    <row r="43" spans="1:11" x14ac:dyDescent="0.25">
      <c r="A43">
        <v>4.2</v>
      </c>
      <c r="B43" s="2">
        <v>3.7252902984619099E-9</v>
      </c>
      <c r="C43" s="2">
        <v>3.7252902984619099E-9</v>
      </c>
      <c r="D43" s="2">
        <v>3.7252902984619099E-9</v>
      </c>
      <c r="E43" s="2">
        <v>2.7545810755601501E-5</v>
      </c>
      <c r="F43" s="2">
        <v>3.4215253030430099E-4</v>
      </c>
      <c r="G43" s="2">
        <v>4.2352169006462399E-3</v>
      </c>
      <c r="H43" s="2">
        <v>0.99576347719519698</v>
      </c>
      <c r="I43" s="2">
        <v>0.99999999627471003</v>
      </c>
      <c r="J43" s="2">
        <v>0.99999999627471003</v>
      </c>
      <c r="K43" s="2">
        <v>0.99999999627471003</v>
      </c>
    </row>
    <row r="44" spans="1:11" x14ac:dyDescent="0.25">
      <c r="A44">
        <v>4.3</v>
      </c>
      <c r="B44" s="2">
        <v>3.7252902984619099E-9</v>
      </c>
      <c r="C44" s="2">
        <v>3.7252902984619099E-9</v>
      </c>
      <c r="D44" s="2">
        <v>3.7252902984619099E-9</v>
      </c>
      <c r="E44" s="2">
        <v>2.1452873769927401E-5</v>
      </c>
      <c r="F44" s="2">
        <v>2.8296012894191098E-4</v>
      </c>
      <c r="G44" s="2">
        <v>3.7208910357048098E-3</v>
      </c>
      <c r="H44" s="2">
        <v>0.99627814083437904</v>
      </c>
      <c r="I44" s="2">
        <v>0.99999999627471003</v>
      </c>
      <c r="J44" s="2">
        <v>0.99999999627471003</v>
      </c>
      <c r="K44" s="2">
        <v>0.99999999627471003</v>
      </c>
    </row>
    <row r="45" spans="1:11" x14ac:dyDescent="0.25">
      <c r="A45">
        <v>4.4000000000000004</v>
      </c>
      <c r="B45" s="2">
        <v>3.7252902984619099E-9</v>
      </c>
      <c r="C45" s="2">
        <v>3.7252902984619099E-9</v>
      </c>
      <c r="D45" s="2">
        <v>3.7252902984619099E-9</v>
      </c>
      <c r="E45" s="2">
        <v>1.6707905015472399E-5</v>
      </c>
      <c r="F45" s="2">
        <v>2.3400616968224401E-4</v>
      </c>
      <c r="G45" s="2">
        <v>3.2688139303927301E-3</v>
      </c>
      <c r="H45" s="2">
        <v>0.99673046866654702</v>
      </c>
      <c r="I45" s="2">
        <v>0.99999999627471003</v>
      </c>
      <c r="J45" s="2">
        <v>0.99999999627471003</v>
      </c>
      <c r="K45" s="2">
        <v>0.99999999627471003</v>
      </c>
    </row>
    <row r="46" spans="1:11" x14ac:dyDescent="0.25">
      <c r="A46">
        <v>4.5</v>
      </c>
      <c r="B46" s="2">
        <v>3.7252902984619099E-9</v>
      </c>
      <c r="C46" s="2">
        <v>3.7252902984619099E-9</v>
      </c>
      <c r="D46" s="2">
        <v>3.7252902984619099E-9</v>
      </c>
      <c r="E46" s="2">
        <v>1.30126641151686E-5</v>
      </c>
      <c r="F46" s="2">
        <v>1.9352034680893899E-4</v>
      </c>
      <c r="G46" s="2">
        <v>2.8715000240605599E-3</v>
      </c>
      <c r="H46" s="2">
        <v>0.99712796858272501</v>
      </c>
      <c r="I46" s="2">
        <v>0.99999999627471003</v>
      </c>
      <c r="J46" s="2">
        <v>0.99999999627471003</v>
      </c>
      <c r="K46" s="2">
        <v>0.99999999627471003</v>
      </c>
    </row>
    <row r="47" spans="1:11" x14ac:dyDescent="0.25">
      <c r="A47">
        <v>4.5999999999999996</v>
      </c>
      <c r="B47" s="2">
        <v>3.7252902984619099E-9</v>
      </c>
      <c r="C47" s="2">
        <v>3.7252902984619099E-9</v>
      </c>
      <c r="D47" s="2">
        <v>3.7252902984619099E-9</v>
      </c>
      <c r="E47" s="2">
        <v>1.01349043181416E-5</v>
      </c>
      <c r="F47" s="2">
        <v>1.60038253966396E-4</v>
      </c>
      <c r="G47" s="2">
        <v>2.5223528098518998E-3</v>
      </c>
      <c r="H47" s="2">
        <v>0.99747725372434004</v>
      </c>
      <c r="I47" s="2">
        <v>0.99999999627471003</v>
      </c>
      <c r="J47" s="2">
        <v>0.99999999627471003</v>
      </c>
      <c r="K47" s="2">
        <v>0.99999999627471003</v>
      </c>
    </row>
    <row r="48" spans="1:11" x14ac:dyDescent="0.25">
      <c r="A48">
        <v>4.7</v>
      </c>
      <c r="B48" s="2">
        <v>3.7252902984619099E-9</v>
      </c>
      <c r="C48" s="2">
        <v>3.7252902984619099E-9</v>
      </c>
      <c r="D48" s="2">
        <v>3.7252902984619099E-9</v>
      </c>
      <c r="E48" s="2">
        <v>7.8937673320542306E-6</v>
      </c>
      <c r="F48" s="2">
        <v>1.3234859040711899E-4</v>
      </c>
      <c r="G48" s="2">
        <v>2.2155617972991399E-3</v>
      </c>
      <c r="H48" s="2">
        <v>0.99778414696300799</v>
      </c>
      <c r="I48" s="2">
        <v>0.99999999627471003</v>
      </c>
      <c r="J48" s="2">
        <v>0.99999999627471003</v>
      </c>
      <c r="K48" s="2">
        <v>0.99999999627471003</v>
      </c>
    </row>
    <row r="49" spans="1:11" x14ac:dyDescent="0.25">
      <c r="A49">
        <v>4.8</v>
      </c>
      <c r="B49" s="2">
        <v>3.7252902984619099E-9</v>
      </c>
      <c r="C49" s="2">
        <v>3.7252902984619099E-9</v>
      </c>
      <c r="D49" s="2">
        <v>3.7252902984619099E-9</v>
      </c>
      <c r="E49" s="2">
        <v>6.1484111588266596E-6</v>
      </c>
      <c r="F49" s="2">
        <v>1.0944945818434299E-4</v>
      </c>
      <c r="G49" s="2">
        <v>1.94601082424386E-3</v>
      </c>
      <c r="H49" s="2">
        <v>0.99805377366911197</v>
      </c>
      <c r="I49" s="2">
        <v>0.99999999627471003</v>
      </c>
      <c r="J49" s="2">
        <v>0.99999999627471003</v>
      </c>
      <c r="K49" s="2">
        <v>0.99999999627471003</v>
      </c>
    </row>
    <row r="50" spans="1:11" x14ac:dyDescent="0.25">
      <c r="A50">
        <v>4.9000000000000004</v>
      </c>
      <c r="B50" s="2">
        <v>3.7252902984619099E-9</v>
      </c>
      <c r="C50" s="2">
        <v>3.7252902984619099E-9</v>
      </c>
      <c r="D50" s="2">
        <v>3.7252902984619099E-9</v>
      </c>
      <c r="E50" s="2">
        <v>4.78915506777299E-6</v>
      </c>
      <c r="F50" s="2">
        <v>9.0512191412748705E-5</v>
      </c>
      <c r="G50" s="2">
        <v>1.7091966077002101E-3</v>
      </c>
      <c r="H50" s="2">
        <v>0.99829064396923906</v>
      </c>
      <c r="I50" s="2">
        <v>0.99999999627471003</v>
      </c>
      <c r="J50" s="2">
        <v>0.99999999627471003</v>
      </c>
      <c r="K50" s="2">
        <v>0.99999999627471003</v>
      </c>
    </row>
    <row r="51" spans="1:11" x14ac:dyDescent="0.25">
      <c r="A51">
        <v>5</v>
      </c>
      <c r="B51" s="2">
        <v>3.7252902984619099E-9</v>
      </c>
      <c r="C51" s="2">
        <v>3.7252902984619099E-9</v>
      </c>
      <c r="D51" s="2">
        <v>3.7252902984619099E-9</v>
      </c>
      <c r="E51" s="2">
        <v>3.7305844076670098E-6</v>
      </c>
      <c r="F51" s="2">
        <v>7.48514239253041E-5</v>
      </c>
      <c r="G51" s="2">
        <v>1.50115649756006E-3</v>
      </c>
      <c r="H51" s="2">
        <v>0.99849872559640696</v>
      </c>
      <c r="I51" s="2">
        <v>0.99999999627471003</v>
      </c>
      <c r="J51" s="2">
        <v>0.99999999627471003</v>
      </c>
      <c r="K51" s="2">
        <v>0.99999999627471003</v>
      </c>
    </row>
    <row r="52" spans="1:11" x14ac:dyDescent="0.25">
      <c r="A52">
        <v>5.0999999999999996</v>
      </c>
      <c r="B52" s="2">
        <v>3.7252902984619099E-9</v>
      </c>
      <c r="C52" s="2">
        <v>3.7252902984619099E-9</v>
      </c>
      <c r="D52" s="2">
        <v>3.7252902984619099E-9</v>
      </c>
      <c r="E52" s="2">
        <v>2.9061813892120301E-6</v>
      </c>
      <c r="F52" s="2">
        <v>6.1900322418830106E-5</v>
      </c>
      <c r="G52" s="2">
        <v>1.3184044757537799E-3</v>
      </c>
      <c r="H52" s="2">
        <v>0.99868150834164204</v>
      </c>
      <c r="I52" s="2">
        <v>0.99999999627471003</v>
      </c>
      <c r="J52" s="2">
        <v>0.99999999627471003</v>
      </c>
      <c r="K52" s="2">
        <v>0.99999999627471003</v>
      </c>
    </row>
    <row r="53" spans="1:11" x14ac:dyDescent="0.25">
      <c r="A53">
        <v>5.2</v>
      </c>
      <c r="B53" s="2">
        <v>3.7252902984619099E-9</v>
      </c>
      <c r="C53" s="2">
        <v>3.7252902984619099E-9</v>
      </c>
      <c r="D53" s="2">
        <v>3.7252902984619099E-9</v>
      </c>
      <c r="E53" s="2">
        <v>2.26414405074004E-6</v>
      </c>
      <c r="F53" s="2">
        <v>5.1190095732136197E-5</v>
      </c>
      <c r="G53" s="2">
        <v>1.15787452316403E-3</v>
      </c>
      <c r="H53" s="2">
        <v>0.99884206102312401</v>
      </c>
      <c r="I53" s="2">
        <v>0.99999999627471003</v>
      </c>
      <c r="J53" s="2">
        <v>0.99999999627471003</v>
      </c>
      <c r="K53" s="2">
        <v>0.99999999627471003</v>
      </c>
    </row>
    <row r="54" spans="1:11" x14ac:dyDescent="0.25">
      <c r="A54">
        <v>5.3</v>
      </c>
      <c r="B54" s="2">
        <v>3.7252902984619099E-9</v>
      </c>
      <c r="C54" s="2">
        <v>3.7252902984619099E-9</v>
      </c>
      <c r="D54" s="2">
        <v>3.7252902984619099E-9</v>
      </c>
      <c r="E54" s="2">
        <v>1.7641304149947E-6</v>
      </c>
      <c r="F54" s="2">
        <v>4.2333043362474997E-5</v>
      </c>
      <c r="G54" s="2">
        <v>1.0168705548196199E-3</v>
      </c>
      <c r="H54" s="2">
        <v>0.998983081801322</v>
      </c>
      <c r="I54" s="2">
        <v>0.99999999627471003</v>
      </c>
      <c r="J54" s="2">
        <v>0.99999999627471003</v>
      </c>
      <c r="K54" s="2">
        <v>0.99999999627471003</v>
      </c>
    </row>
    <row r="55" spans="1:11" x14ac:dyDescent="0.25">
      <c r="A55">
        <v>5.4</v>
      </c>
      <c r="B55" s="2">
        <v>3.7252902984619099E-9</v>
      </c>
      <c r="C55" s="2">
        <v>3.7252902984619099E-9</v>
      </c>
      <c r="D55" s="2">
        <v>3.7252902984619099E-9</v>
      </c>
      <c r="E55" s="2">
        <v>1.3747230716707001E-6</v>
      </c>
      <c r="F55" s="2">
        <v>3.5008532863623202E-5</v>
      </c>
      <c r="G55" s="2">
        <v>8.9302219902920798E-4</v>
      </c>
      <c r="H55" s="2">
        <v>0.99910694258618205</v>
      </c>
      <c r="I55" s="2">
        <v>0.99999999627471003</v>
      </c>
      <c r="J55" s="2">
        <v>0.99999999627471003</v>
      </c>
      <c r="K55" s="2">
        <v>0.99999999627471003</v>
      </c>
    </row>
    <row r="56" spans="1:11" x14ac:dyDescent="0.25">
      <c r="A56">
        <v>5.5</v>
      </c>
      <c r="B56" s="2">
        <v>3.7252902984619099E-9</v>
      </c>
      <c r="C56" s="2">
        <v>3.7252902984619099E-9</v>
      </c>
      <c r="D56" s="2">
        <v>3.7252902984619099E-9</v>
      </c>
      <c r="E56" s="2">
        <v>1.0714547508784801E-6</v>
      </c>
      <c r="F56" s="2">
        <v>2.8951400721941501E-5</v>
      </c>
      <c r="G56" s="2">
        <v>7.84245767106061E-4</v>
      </c>
      <c r="H56" s="2">
        <v>0.99921572820596505</v>
      </c>
      <c r="I56" s="2">
        <v>0.99999999627471003</v>
      </c>
      <c r="J56" s="2">
        <v>0.99999999627471003</v>
      </c>
      <c r="K56" s="2">
        <v>0.99999999627471003</v>
      </c>
    </row>
    <row r="57" spans="1:11" x14ac:dyDescent="0.25">
      <c r="A57">
        <v>5.6</v>
      </c>
      <c r="B57" s="2">
        <v>3.7252902984619099E-9</v>
      </c>
      <c r="C57" s="2">
        <v>3.7252902984619099E-9</v>
      </c>
      <c r="D57" s="2">
        <v>3.7252902984619099E-9</v>
      </c>
      <c r="E57" s="2">
        <v>8.35270744573246E-7</v>
      </c>
      <c r="F57" s="2">
        <v>2.39423583106711E-5</v>
      </c>
      <c r="G57" s="2">
        <v>6.8870982657173101E-4</v>
      </c>
      <c r="H57" s="2">
        <v>0.99931127093703398</v>
      </c>
      <c r="I57" s="2">
        <v>0.99999999627471003</v>
      </c>
      <c r="J57" s="2">
        <v>0.99999999627471003</v>
      </c>
      <c r="K57" s="2">
        <v>0.99999999627471003</v>
      </c>
    </row>
    <row r="58" spans="1:11" x14ac:dyDescent="0.25">
      <c r="A58">
        <v>5.7</v>
      </c>
      <c r="B58" s="2">
        <v>3.7252902984619099E-9</v>
      </c>
      <c r="C58" s="2">
        <v>3.7252902984619099E-9</v>
      </c>
      <c r="D58" s="2">
        <v>3.7252902984619099E-9</v>
      </c>
      <c r="E58" s="2">
        <v>6.5133151033663797E-7</v>
      </c>
      <c r="F58" s="2">
        <v>1.9800056615755599E-5</v>
      </c>
      <c r="G58" s="2">
        <v>6.0480485191886902E-4</v>
      </c>
      <c r="H58" s="2">
        <v>0.99939518092957003</v>
      </c>
      <c r="I58" s="2">
        <v>0.99999999627471003</v>
      </c>
      <c r="J58" s="2">
        <v>0.99999999627471003</v>
      </c>
      <c r="K58" s="2">
        <v>0.99999999627471003</v>
      </c>
    </row>
    <row r="59" spans="1:11" x14ac:dyDescent="0.25">
      <c r="A59">
        <v>5.8</v>
      </c>
      <c r="B59" s="2">
        <v>3.7252902984619099E-9</v>
      </c>
      <c r="C59" s="2">
        <v>3.7252902984619099E-9</v>
      </c>
      <c r="D59" s="2">
        <v>3.7252902984619099E-9</v>
      </c>
      <c r="E59" s="2">
        <v>5.0808018579773496E-7</v>
      </c>
      <c r="F59" s="2">
        <v>1.6374523142643401E-5</v>
      </c>
      <c r="G59" s="2">
        <v>5.3111648309535104E-4</v>
      </c>
      <c r="H59" s="2">
        <v>0.99946887300587495</v>
      </c>
      <c r="I59" s="2">
        <v>0.99999999627471003</v>
      </c>
      <c r="J59" s="2">
        <v>0.99999999627471003</v>
      </c>
      <c r="K59" s="2">
        <v>0.99999999627471003</v>
      </c>
    </row>
    <row r="60" spans="1:11" x14ac:dyDescent="0.25">
      <c r="A60">
        <v>5.9</v>
      </c>
      <c r="B60" s="2">
        <v>3.7252902984619099E-9</v>
      </c>
      <c r="C60" s="2">
        <v>3.7252902984619099E-9</v>
      </c>
      <c r="D60" s="2">
        <v>3.7252902984619099E-9</v>
      </c>
      <c r="E60" s="2">
        <v>3.96516399818948E-7</v>
      </c>
      <c r="F60" s="2">
        <v>1.3541733863202299E-5</v>
      </c>
      <c r="G60" s="2">
        <v>4.6640197293938397E-4</v>
      </c>
      <c r="H60" s="2">
        <v>0.99953359025505195</v>
      </c>
      <c r="I60" s="2">
        <v>0.99999999627471003</v>
      </c>
      <c r="J60" s="2">
        <v>0.99999999627471003</v>
      </c>
      <c r="K60" s="2">
        <v>0.99999999627471003</v>
      </c>
    </row>
    <row r="61" spans="1:11" x14ac:dyDescent="0.25">
      <c r="A61">
        <v>6</v>
      </c>
      <c r="B61" s="2">
        <v>3.7252902984619099E-9</v>
      </c>
      <c r="C61" s="2">
        <v>3.7252902984619099E-9</v>
      </c>
      <c r="D61" s="2">
        <v>3.7252902984619099E-9</v>
      </c>
      <c r="E61" s="2">
        <v>3.0963073716452501E-7</v>
      </c>
      <c r="F61" s="2">
        <v>1.1199124000187901E-5</v>
      </c>
      <c r="G61" s="2">
        <v>4.0956945104747799E-4</v>
      </c>
      <c r="H61" s="2">
        <v>0.99959042480037097</v>
      </c>
      <c r="I61" s="2">
        <v>0.99999999627471003</v>
      </c>
      <c r="J61" s="2">
        <v>0.99999999627471003</v>
      </c>
      <c r="K61" s="2">
        <v>0.99999999627471003</v>
      </c>
    </row>
    <row r="62" spans="1:11" x14ac:dyDescent="0.25">
      <c r="A62">
        <v>6.1</v>
      </c>
      <c r="B62" s="2">
        <v>3.7252902984619099E-9</v>
      </c>
      <c r="C62" s="2">
        <v>3.7252902984619099E-9</v>
      </c>
      <c r="D62" s="2">
        <v>3.7252902984619099E-9</v>
      </c>
      <c r="E62" s="2">
        <v>2.4196431315224603E-7</v>
      </c>
      <c r="F62" s="2">
        <v>9.2618753319578399E-6</v>
      </c>
      <c r="G62" s="2">
        <v>3.5965967326280599E-4</v>
      </c>
      <c r="H62" s="2">
        <v>0.99964033607293301</v>
      </c>
      <c r="I62" s="2">
        <v>0.99999999627471003</v>
      </c>
      <c r="J62" s="2">
        <v>0.99999999627471003</v>
      </c>
      <c r="K62" s="2">
        <v>0.99999999627471003</v>
      </c>
    </row>
    <row r="63" spans="1:11" x14ac:dyDescent="0.25">
      <c r="A63">
        <v>6.2</v>
      </c>
      <c r="B63" s="2">
        <v>3.7252902984619099E-9</v>
      </c>
      <c r="C63" s="2">
        <v>3.7252902984619099E-9</v>
      </c>
      <c r="D63" s="2">
        <v>3.7252902984619099E-9</v>
      </c>
      <c r="E63" s="2">
        <v>1.8926577934424299E-7</v>
      </c>
      <c r="F63" s="2">
        <v>7.6598457428881598E-6</v>
      </c>
      <c r="G63" s="2">
        <v>3.1582996343736098E-4</v>
      </c>
      <c r="H63" s="2">
        <v>0.99968416688705597</v>
      </c>
      <c r="I63" s="2">
        <v>0.99999999627471003</v>
      </c>
      <c r="J63" s="2">
        <v>0.99999999627471003</v>
      </c>
      <c r="K63" s="2">
        <v>0.99999999627471003</v>
      </c>
    </row>
    <row r="64" spans="1:11" x14ac:dyDescent="0.25">
      <c r="A64">
        <v>6.3</v>
      </c>
      <c r="B64" s="2">
        <v>3.7252902984619099E-9</v>
      </c>
      <c r="C64" s="2">
        <v>3.7252902984619099E-9</v>
      </c>
      <c r="D64" s="2">
        <v>3.7252902984619099E-9</v>
      </c>
      <c r="E64" s="2">
        <v>1.4822420547184999E-7</v>
      </c>
      <c r="F64" s="2">
        <v>6.3350299494726203E-6</v>
      </c>
      <c r="G64" s="2">
        <v>2.7734008767226701E-4</v>
      </c>
      <c r="H64" s="2">
        <v>0.99972265757873302</v>
      </c>
      <c r="I64" s="2">
        <v>0.99999999627471003</v>
      </c>
      <c r="J64" s="2">
        <v>0.99999999627471003</v>
      </c>
      <c r="K64" s="2">
        <v>0.99999999627471003</v>
      </c>
    </row>
    <row r="65" spans="1:11" x14ac:dyDescent="0.25">
      <c r="A65">
        <v>6.4</v>
      </c>
      <c r="B65" s="2">
        <v>3.7252902984619099E-9</v>
      </c>
      <c r="C65" s="2">
        <v>3.7252902984619099E-9</v>
      </c>
      <c r="D65" s="2">
        <v>3.7252902984619099E-9</v>
      </c>
      <c r="E65" s="2">
        <v>1.16261051748202E-7</v>
      </c>
      <c r="F65" s="2">
        <v>5.23945953103559E-6</v>
      </c>
      <c r="G65" s="2">
        <v>2.43539831206226E-4</v>
      </c>
      <c r="H65" s="2">
        <v>0.99975645843814998</v>
      </c>
      <c r="I65" s="2">
        <v>0.99999999627471003</v>
      </c>
      <c r="J65" s="2">
        <v>0.99999999627471003</v>
      </c>
      <c r="K65" s="2">
        <v>0.99999999627471003</v>
      </c>
    </row>
    <row r="66" spans="1:11" x14ac:dyDescent="0.25">
      <c r="A66">
        <v>6.5</v>
      </c>
      <c r="B66" s="2">
        <v>3.7252902984619099E-9</v>
      </c>
      <c r="C66" s="2">
        <v>3.7252902984619099E-9</v>
      </c>
      <c r="D66" s="2">
        <v>3.7252902984619099E-9</v>
      </c>
      <c r="E66" s="2">
        <v>9.1368159439606204E-8</v>
      </c>
      <c r="F66" s="2">
        <v>4.3334662773451596E-6</v>
      </c>
      <c r="G66" s="2">
        <v>2.1385807482370901E-4</v>
      </c>
      <c r="H66" s="2">
        <v>0.99978614064022897</v>
      </c>
      <c r="I66" s="2">
        <v>0.99999999627471003</v>
      </c>
      <c r="J66" s="2">
        <v>0.99999999627471003</v>
      </c>
      <c r="K66" s="2">
        <v>0.99999999627471003</v>
      </c>
    </row>
    <row r="67" spans="1:11" x14ac:dyDescent="0.25">
      <c r="A67">
        <v>6.6</v>
      </c>
      <c r="B67" s="2">
        <v>3.7252902984619099E-9</v>
      </c>
      <c r="C67" s="2">
        <v>3.7252902984619099E-9</v>
      </c>
      <c r="D67" s="2">
        <v>3.7252902984619099E-9</v>
      </c>
      <c r="E67" s="2">
        <v>7.1981579577540505E-8</v>
      </c>
      <c r="F67" s="2">
        <v>3.5842460048156499E-6</v>
      </c>
      <c r="G67" s="2">
        <v>1.8779319140215401E-4</v>
      </c>
      <c r="H67" s="2">
        <v>0.99981220585323005</v>
      </c>
      <c r="I67" s="2">
        <v>0.99999999627471003</v>
      </c>
      <c r="J67" s="2">
        <v>0.99999999627471003</v>
      </c>
      <c r="K67" s="2">
        <v>0.99999999627471003</v>
      </c>
    </row>
    <row r="68" spans="1:11" x14ac:dyDescent="0.25">
      <c r="A68">
        <v>6.7</v>
      </c>
      <c r="B68" s="2">
        <v>3.7252902984619099E-9</v>
      </c>
      <c r="C68" s="2">
        <v>3.7252902984619099E-9</v>
      </c>
      <c r="D68" s="2">
        <v>3.7252902984619099E-9</v>
      </c>
      <c r="E68" s="2">
        <v>5.6883311836942201E-8</v>
      </c>
      <c r="F68" s="2">
        <v>2.96467086179812E-6</v>
      </c>
      <c r="G68" s="2">
        <v>1.6490460430203301E-4</v>
      </c>
      <c r="H68" s="2">
        <v>0.99983509468416598</v>
      </c>
      <c r="I68" s="2">
        <v>0.99999999627471003</v>
      </c>
      <c r="J68" s="2">
        <v>0.99999999627471003</v>
      </c>
      <c r="K68" s="2">
        <v>0.99999999627471003</v>
      </c>
    </row>
    <row r="69" spans="1:11" x14ac:dyDescent="0.25">
      <c r="A69">
        <v>6.8</v>
      </c>
      <c r="B69" s="2">
        <v>3.7252902984619099E-9</v>
      </c>
      <c r="C69" s="2">
        <v>3.7252902984619099E-9</v>
      </c>
      <c r="D69" s="2">
        <v>3.7252902984619099E-9</v>
      </c>
      <c r="E69" s="2">
        <v>4.5124779473366501E-8</v>
      </c>
      <c r="F69" s="2">
        <v>2.4523071336046601E-6</v>
      </c>
      <c r="G69" s="2">
        <v>1.44805367997085E-4</v>
      </c>
      <c r="H69" s="2">
        <v>0.999855194100987</v>
      </c>
      <c r="I69" s="2">
        <v>0.99999999627471003</v>
      </c>
      <c r="J69" s="2">
        <v>0.99999999627471003</v>
      </c>
      <c r="K69" s="2">
        <v>0.99999999627471003</v>
      </c>
    </row>
    <row r="70" spans="1:11" x14ac:dyDescent="0.25">
      <c r="A70">
        <v>6.9</v>
      </c>
      <c r="B70" s="2">
        <v>3.7252902984619099E-9</v>
      </c>
      <c r="C70" s="2">
        <v>3.7252902984619099E-9</v>
      </c>
      <c r="D70" s="2">
        <v>3.7252902984619099E-9</v>
      </c>
      <c r="E70" s="2">
        <v>3.59672320553256E-8</v>
      </c>
      <c r="F70" s="2">
        <v>2.0286029938149398E-6</v>
      </c>
      <c r="G70" s="2">
        <v>1.2715564789479001E-4</v>
      </c>
      <c r="H70" s="2">
        <v>0.999872843954837</v>
      </c>
      <c r="I70" s="2">
        <v>0.99999999627471003</v>
      </c>
      <c r="J70" s="2">
        <v>0.99999999627471003</v>
      </c>
      <c r="K70" s="2">
        <v>0.99999999627471003</v>
      </c>
    </row>
    <row r="71" spans="1:11" x14ac:dyDescent="0.25">
      <c r="A71">
        <v>7</v>
      </c>
      <c r="B71" s="2">
        <v>3.7252902984619099E-9</v>
      </c>
      <c r="C71" s="2">
        <v>3.7252902984619099E-9</v>
      </c>
      <c r="D71" s="2">
        <v>3.7252902984619099E-9</v>
      </c>
      <c r="E71" s="2">
        <v>2.88353314022142E-8</v>
      </c>
      <c r="F71" s="2">
        <v>1.67821679856393E-6</v>
      </c>
      <c r="G71" s="2">
        <v>1.11656990938669E-4</v>
      </c>
      <c r="H71" s="2">
        <v>0.99988834271099103</v>
      </c>
      <c r="I71" s="2">
        <v>0.99999999627471003</v>
      </c>
      <c r="J71" s="2">
        <v>0.99999999627471003</v>
      </c>
      <c r="K71" s="2">
        <v>0.99999999627471003</v>
      </c>
    </row>
    <row r="72" spans="1:11" x14ac:dyDescent="0.25">
      <c r="A72">
        <v>7.1</v>
      </c>
      <c r="B72" s="2">
        <v>3.7252902984619099E-9</v>
      </c>
      <c r="C72" s="2">
        <v>3.7252902984619099E-9</v>
      </c>
      <c r="D72" s="2">
        <v>3.7252902984619099E-9</v>
      </c>
      <c r="E72" s="2">
        <v>2.3281004497971599E-8</v>
      </c>
      <c r="F72" s="2">
        <v>1.3884616070898E-6</v>
      </c>
      <c r="G72" s="2">
        <v>9.80472915228463E-5</v>
      </c>
      <c r="H72" s="2">
        <v>0.99990195248407099</v>
      </c>
      <c r="I72" s="2">
        <v>0.99999999627471003</v>
      </c>
      <c r="J72" s="2">
        <v>0.99999999627471003</v>
      </c>
      <c r="K72" s="2">
        <v>0.99999999627471003</v>
      </c>
    </row>
    <row r="73" spans="1:11" x14ac:dyDescent="0.25">
      <c r="A73">
        <v>7.2</v>
      </c>
      <c r="B73" s="2">
        <v>3.7252902984619099E-9</v>
      </c>
      <c r="C73" s="2">
        <v>3.7252902984619099E-9</v>
      </c>
      <c r="D73" s="2">
        <v>3.7252902984619099E-9</v>
      </c>
      <c r="E73" s="2">
        <v>1.8955292257651501E-8</v>
      </c>
      <c r="F73" s="2">
        <v>1.1488458186602E-6</v>
      </c>
      <c r="G73" s="2">
        <v>8.6096368674182204E-5</v>
      </c>
      <c r="H73" s="2">
        <v>0.99991390346170705</v>
      </c>
      <c r="I73" s="2">
        <v>0.99999999627471003</v>
      </c>
      <c r="J73" s="2">
        <v>0.99999999627471003</v>
      </c>
      <c r="K73" s="2">
        <v>0.99999999627471003</v>
      </c>
    </row>
    <row r="74" spans="1:11" x14ac:dyDescent="0.25">
      <c r="A74">
        <v>7.3</v>
      </c>
      <c r="B74" s="2">
        <v>3.7252902984619099E-9</v>
      </c>
      <c r="C74" s="2">
        <v>3.7252902984619099E-9</v>
      </c>
      <c r="D74" s="2">
        <v>3.7252902984619099E-9</v>
      </c>
      <c r="E74" s="2">
        <v>1.5586425420557501E-8</v>
      </c>
      <c r="F74" s="2">
        <v>9.5069329518238301E-7</v>
      </c>
      <c r="G74" s="2">
        <v>7.5602080538357801E-5</v>
      </c>
      <c r="H74" s="2">
        <v>0.999924397790666</v>
      </c>
      <c r="I74" s="2">
        <v>0.99999999627471003</v>
      </c>
      <c r="J74" s="2">
        <v>0.99999999627471003</v>
      </c>
      <c r="K74" s="2">
        <v>0.99999999627471003</v>
      </c>
    </row>
    <row r="75" spans="1:11" x14ac:dyDescent="0.25">
      <c r="A75">
        <v>7.4</v>
      </c>
      <c r="B75" s="2">
        <v>3.7252902984619099E-9</v>
      </c>
      <c r="C75" s="2">
        <v>3.7252902984619099E-9</v>
      </c>
      <c r="D75" s="2">
        <v>3.7252902984619099E-9</v>
      </c>
      <c r="E75" s="2">
        <v>1.29627501015738E-8</v>
      </c>
      <c r="F75" s="2">
        <v>7.8682921615503998E-7</v>
      </c>
      <c r="G75" s="2">
        <v>6.6386911096077703E-5</v>
      </c>
      <c r="H75" s="2">
        <v>0.99993361299059402</v>
      </c>
      <c r="I75" s="2">
        <v>0.99999999627471003</v>
      </c>
      <c r="J75" s="2">
        <v>0.99999999627471003</v>
      </c>
      <c r="K75" s="2">
        <v>0.99999999627471003</v>
      </c>
    </row>
    <row r="76" spans="1:11" x14ac:dyDescent="0.25">
      <c r="A76">
        <v>7.5</v>
      </c>
      <c r="B76" s="2">
        <v>3.7252902984619099E-9</v>
      </c>
      <c r="C76" s="2">
        <v>3.7252902984619099E-9</v>
      </c>
      <c r="D76" s="2">
        <v>3.7252902984619099E-9</v>
      </c>
      <c r="E76" s="2">
        <v>1.09194302384834E-8</v>
      </c>
      <c r="F76" s="2">
        <v>6.5132029221166097E-7</v>
      </c>
      <c r="G76" s="2">
        <v>5.8294971870665699E-5</v>
      </c>
      <c r="H76" s="2">
        <v>0.999941704952646</v>
      </c>
      <c r="I76" s="2">
        <v>0.99999999627471003</v>
      </c>
      <c r="J76" s="2">
        <v>0.99999999627471003</v>
      </c>
      <c r="K76" s="2">
        <v>0.99999999627471003</v>
      </c>
    </row>
    <row r="77" spans="1:11" x14ac:dyDescent="0.25">
      <c r="A77">
        <v>7.6</v>
      </c>
      <c r="B77" s="2">
        <v>3.7252902984619099E-9</v>
      </c>
      <c r="C77" s="2">
        <v>3.7252902984619099E-9</v>
      </c>
      <c r="D77" s="2">
        <v>3.7252902984619099E-9</v>
      </c>
      <c r="E77" s="2">
        <v>9.3280914746404592E-9</v>
      </c>
      <c r="F77" s="2">
        <v>5.3925993142727602E-7</v>
      </c>
      <c r="G77" s="2">
        <v>5.1189368290743301E-5</v>
      </c>
      <c r="H77" s="2">
        <v>0.99994881057337104</v>
      </c>
      <c r="I77" s="2">
        <v>0.99999999627471003</v>
      </c>
      <c r="J77" s="2">
        <v>0.99999999627471003</v>
      </c>
      <c r="K77" s="2">
        <v>0.99999999627471003</v>
      </c>
    </row>
    <row r="78" spans="1:11" x14ac:dyDescent="0.25">
      <c r="A78">
        <v>7.7</v>
      </c>
      <c r="B78" s="2">
        <v>3.7252902984619099E-9</v>
      </c>
      <c r="C78" s="2">
        <v>3.7252902984619099E-9</v>
      </c>
      <c r="D78" s="2">
        <v>3.7252902984619099E-9</v>
      </c>
      <c r="E78" s="2">
        <v>8.0887558244701999E-9</v>
      </c>
      <c r="F78" s="2">
        <v>4.4659058001486597E-7</v>
      </c>
      <c r="G78" s="2">
        <v>4.4949886449866798E-5</v>
      </c>
      <c r="H78" s="2">
        <v>0.99995505006813701</v>
      </c>
      <c r="I78" s="2">
        <v>0.99999999627471003</v>
      </c>
      <c r="J78" s="2">
        <v>0.99999999627471003</v>
      </c>
      <c r="K78" s="2">
        <v>0.99999999627471003</v>
      </c>
    </row>
    <row r="79" spans="1:11" x14ac:dyDescent="0.25">
      <c r="A79">
        <v>7.8</v>
      </c>
      <c r="B79" s="2">
        <v>3.7252902984619099E-9</v>
      </c>
      <c r="C79" s="2">
        <v>3.7252902984619099E-9</v>
      </c>
      <c r="D79" s="2">
        <v>3.7252902984619099E-9</v>
      </c>
      <c r="E79" s="2">
        <v>7.1235603963061599E-9</v>
      </c>
      <c r="F79" s="2">
        <v>3.6995680492135798E-7</v>
      </c>
      <c r="G79" s="2">
        <v>3.9470961355563698E-5</v>
      </c>
      <c r="H79" s="2">
        <v>0.99996052900301602</v>
      </c>
      <c r="I79" s="2">
        <v>0.99999999627471003</v>
      </c>
      <c r="J79" s="2">
        <v>0.99999999627471003</v>
      </c>
      <c r="K79" s="2">
        <v>0.99999999627471003</v>
      </c>
    </row>
    <row r="80" spans="1:11" x14ac:dyDescent="0.25">
      <c r="A80">
        <v>7.9</v>
      </c>
      <c r="B80" s="2">
        <v>3.7252902984619099E-9</v>
      </c>
      <c r="C80" s="2">
        <v>3.7252902984619099E-9</v>
      </c>
      <c r="D80" s="2">
        <v>3.7252902984619099E-9</v>
      </c>
      <c r="E80" s="2">
        <v>6.37186553645829E-9</v>
      </c>
      <c r="F80" s="2">
        <v>3.0658379885286402E-7</v>
      </c>
      <c r="G80" s="2">
        <v>3.4659892468749302E-5</v>
      </c>
      <c r="H80" s="2">
        <v>0.99996534007934601</v>
      </c>
      <c r="I80" s="2">
        <v>0.99999999627471003</v>
      </c>
      <c r="J80" s="2">
        <v>0.99999999627471003</v>
      </c>
      <c r="K80" s="2">
        <v>0.99999999627471003</v>
      </c>
    </row>
    <row r="81" spans="1:11" x14ac:dyDescent="0.25">
      <c r="A81">
        <v>8</v>
      </c>
      <c r="B81" s="2">
        <v>3.7252902984619099E-9</v>
      </c>
      <c r="C81" s="2">
        <v>3.7252902984619099E-9</v>
      </c>
      <c r="D81" s="2">
        <v>3.7252902984619099E-9</v>
      </c>
      <c r="E81" s="2">
        <v>5.7864450529885598E-9</v>
      </c>
      <c r="F81" s="2">
        <v>2.54176908701509E-7</v>
      </c>
      <c r="G81" s="2">
        <v>3.04352764769665E-5</v>
      </c>
      <c r="H81" s="2">
        <v>0.99996956470103304</v>
      </c>
      <c r="I81" s="2">
        <v>0.99999999627471003</v>
      </c>
      <c r="J81" s="2">
        <v>0.99999999627471003</v>
      </c>
      <c r="K81" s="2">
        <v>0.99999999627471003</v>
      </c>
    </row>
    <row r="82" spans="1:11" x14ac:dyDescent="0.25">
      <c r="A82">
        <v>8.1</v>
      </c>
      <c r="B82" s="2">
        <v>3.7252902984619099E-9</v>
      </c>
      <c r="C82" s="2">
        <v>3.7252902984619099E-9</v>
      </c>
      <c r="D82" s="2">
        <v>3.7252902984619099E-9</v>
      </c>
      <c r="E82" s="2">
        <v>5.3305191622820303E-9</v>
      </c>
      <c r="F82" s="2">
        <v>2.10838549528556E-7</v>
      </c>
      <c r="G82" s="2">
        <v>2.6725630888454101E-5</v>
      </c>
      <c r="H82" s="2">
        <v>0.99997327435100403</v>
      </c>
      <c r="I82" s="2">
        <v>0.99999999627471003</v>
      </c>
      <c r="J82" s="2">
        <v>0.99999999627471003</v>
      </c>
      <c r="K82" s="2">
        <v>0.99999999627471003</v>
      </c>
    </row>
    <row r="83" spans="1:11" x14ac:dyDescent="0.25">
      <c r="A83">
        <v>8.1999999999999993</v>
      </c>
      <c r="B83" s="2">
        <v>3.7252902984619099E-9</v>
      </c>
      <c r="C83" s="2">
        <v>3.7252902984619099E-9</v>
      </c>
      <c r="D83" s="2">
        <v>3.7252902984619099E-9</v>
      </c>
      <c r="E83" s="2">
        <v>4.9754437476581101E-9</v>
      </c>
      <c r="F83" s="2">
        <v>1.74999495734246E-7</v>
      </c>
      <c r="G83" s="2">
        <v>2.3468185238129499E-5</v>
      </c>
      <c r="H83" s="2">
        <v>0.99997653180005197</v>
      </c>
      <c r="I83" s="2">
        <v>0.99999999627471003</v>
      </c>
      <c r="J83" s="2">
        <v>0.99999999627471003</v>
      </c>
      <c r="K83" s="2">
        <v>0.99999999627471003</v>
      </c>
    </row>
    <row r="84" spans="1:11" x14ac:dyDescent="0.25">
      <c r="A84">
        <v>8.3000000000000007</v>
      </c>
      <c r="B84" s="2">
        <v>3.7252902984619099E-9</v>
      </c>
      <c r="C84" s="2">
        <v>3.7252902984619099E-9</v>
      </c>
      <c r="D84" s="2">
        <v>3.7252902984619099E-9</v>
      </c>
      <c r="E84" s="2">
        <v>4.6989107535710902E-9</v>
      </c>
      <c r="F84" s="2">
        <v>1.4536206160230301E-7</v>
      </c>
      <c r="G84" s="2">
        <v>2.0607819513704501E-5</v>
      </c>
      <c r="H84" s="2">
        <v>0.99997939216843001</v>
      </c>
      <c r="I84" s="2">
        <v>0.99999999627471003</v>
      </c>
      <c r="J84" s="2">
        <v>0.99999999627471003</v>
      </c>
      <c r="K84" s="2">
        <v>0.99999999627471003</v>
      </c>
    </row>
    <row r="85" spans="1:11" x14ac:dyDescent="0.25">
      <c r="A85">
        <v>8.4</v>
      </c>
      <c r="B85" s="2">
        <v>3.7252902984619099E-9</v>
      </c>
      <c r="C85" s="2">
        <v>3.7252902984619099E-9</v>
      </c>
      <c r="D85" s="2">
        <v>3.7252902984619099E-9</v>
      </c>
      <c r="E85" s="2">
        <v>4.4835466521220004E-9</v>
      </c>
      <c r="F85" s="2">
        <v>1.2085311389089601E-7</v>
      </c>
      <c r="G85" s="2">
        <v>1.8096131886612201E-5</v>
      </c>
      <c r="H85" s="2">
        <v>0.999981903858146</v>
      </c>
      <c r="I85" s="2">
        <v>0.99999999627471003</v>
      </c>
      <c r="J85" s="2">
        <v>0.99999999627471003</v>
      </c>
      <c r="K85" s="2">
        <v>0.99999999627471003</v>
      </c>
    </row>
    <row r="86" spans="1:11" x14ac:dyDescent="0.25">
      <c r="A86">
        <v>8.5</v>
      </c>
      <c r="B86" s="2">
        <v>3.7252902984619099E-9</v>
      </c>
      <c r="C86" s="2">
        <v>3.7252902984619099E-9</v>
      </c>
      <c r="D86" s="2">
        <v>3.7252902984619099E-9</v>
      </c>
      <c r="E86" s="2">
        <v>4.3158209282805503E-9</v>
      </c>
      <c r="F86" s="2">
        <v>1.00585215137479E-7</v>
      </c>
      <c r="G86" s="2">
        <v>1.5890620009180598E-5</v>
      </c>
      <c r="H86" s="2">
        <v>0.99998410937168203</v>
      </c>
      <c r="I86" s="2">
        <v>0.99999999627471003</v>
      </c>
      <c r="J86" s="2">
        <v>0.99999999627471003</v>
      </c>
      <c r="K86" s="2">
        <v>0.99999999627471003</v>
      </c>
    </row>
    <row r="87" spans="1:11" x14ac:dyDescent="0.25">
      <c r="A87">
        <v>8.6</v>
      </c>
      <c r="B87" s="2">
        <v>3.7252902984619099E-9</v>
      </c>
      <c r="C87" s="2">
        <v>3.7252902984619099E-9</v>
      </c>
      <c r="D87" s="2">
        <v>3.7252902984619099E-9</v>
      </c>
      <c r="E87" s="2">
        <v>4.1851960077130402E-9</v>
      </c>
      <c r="F87" s="2">
        <v>8.3824490740735197E-8</v>
      </c>
      <c r="G87" s="2">
        <v>1.39539620525132E-5</v>
      </c>
      <c r="H87" s="2">
        <v>0.99998604603096697</v>
      </c>
      <c r="I87" s="2">
        <v>0.99999999627471003</v>
      </c>
      <c r="J87" s="2">
        <v>0.99999999627471003</v>
      </c>
      <c r="K87" s="2">
        <v>0.99999999627471003</v>
      </c>
    </row>
    <row r="88" spans="1:11" x14ac:dyDescent="0.25">
      <c r="A88">
        <v>8.6999999999999993</v>
      </c>
      <c r="B88" s="2">
        <v>3.7252902984619099E-9</v>
      </c>
      <c r="C88" s="2">
        <v>3.7252902984619099E-9</v>
      </c>
      <c r="D88" s="2">
        <v>3.7252902984619099E-9</v>
      </c>
      <c r="E88" s="2">
        <v>4.0834652201650804E-9</v>
      </c>
      <c r="F88" s="2">
        <v>6.9964056337553398E-8</v>
      </c>
      <c r="G88" s="2">
        <v>1.2253385340650699E-5</v>
      </c>
      <c r="H88" s="2">
        <v>0.999987746608752</v>
      </c>
      <c r="I88" s="2">
        <v>0.99999999627471003</v>
      </c>
      <c r="J88" s="2">
        <v>0.99999999627471003</v>
      </c>
      <c r="K88" s="2">
        <v>0.99999999627471003</v>
      </c>
    </row>
    <row r="89" spans="1:11" x14ac:dyDescent="0.25">
      <c r="A89">
        <v>8.8000000000000007</v>
      </c>
      <c r="B89" s="2">
        <v>3.7252902984619099E-9</v>
      </c>
      <c r="C89" s="2">
        <v>3.7252902984619099E-9</v>
      </c>
      <c r="D89" s="2">
        <v>3.7252902984619099E-9</v>
      </c>
      <c r="E89" s="2">
        <v>4.00423720499262E-9</v>
      </c>
      <c r="F89" s="2">
        <v>5.8502043320885899E-8</v>
      </c>
      <c r="G89" s="2">
        <v>1.07601119137387E-5</v>
      </c>
      <c r="H89" s="2">
        <v>0.99998923988305499</v>
      </c>
      <c r="I89" s="2">
        <v>0.99999999627471003</v>
      </c>
      <c r="J89" s="2">
        <v>0.99999999627471003</v>
      </c>
      <c r="K89" s="2">
        <v>0.99999999627471003</v>
      </c>
    </row>
    <row r="90" spans="1:11" x14ac:dyDescent="0.25">
      <c r="A90">
        <v>8.9</v>
      </c>
      <c r="B90" s="2">
        <v>3.7252902984619099E-9</v>
      </c>
      <c r="C90" s="2">
        <v>3.7252902984619099E-9</v>
      </c>
      <c r="D90" s="2">
        <v>3.7252902984619099E-9</v>
      </c>
      <c r="E90" s="2">
        <v>3.9425343658947203E-9</v>
      </c>
      <c r="F90" s="2">
        <v>4.9023426835058097E-8</v>
      </c>
      <c r="G90" s="2">
        <v>9.4488716507753906E-6</v>
      </c>
      <c r="H90" s="2">
        <v>0.99999055112403901</v>
      </c>
      <c r="I90" s="2">
        <v>0.99999999627471003</v>
      </c>
      <c r="J90" s="2">
        <v>0.99999999627471003</v>
      </c>
      <c r="K90" s="2">
        <v>0.99999999627471003</v>
      </c>
    </row>
    <row r="91" spans="1:11" x14ac:dyDescent="0.25">
      <c r="A91">
        <v>9</v>
      </c>
      <c r="B91" s="2">
        <v>3.7252902984619099E-9</v>
      </c>
      <c r="C91" s="2">
        <v>3.7252902984619099E-9</v>
      </c>
      <c r="D91" s="2">
        <v>3.7252902984619099E-9</v>
      </c>
      <c r="E91" s="2">
        <v>3.8944801472160302E-9</v>
      </c>
      <c r="F91" s="2">
        <v>4.11849982664468E-8</v>
      </c>
      <c r="G91" s="2">
        <v>8.2974747227118297E-6</v>
      </c>
      <c r="H91" s="2">
        <v>0.999991702521565</v>
      </c>
      <c r="I91" s="2">
        <v>0.99999999627471003</v>
      </c>
      <c r="J91" s="2">
        <v>0.99999999627471003</v>
      </c>
      <c r="K91" s="2">
        <v>0.99999999627471003</v>
      </c>
    </row>
    <row r="92" spans="1:11" x14ac:dyDescent="0.25">
      <c r="A92">
        <v>9.1</v>
      </c>
      <c r="B92" s="2">
        <v>3.7252902984619099E-9</v>
      </c>
      <c r="C92" s="2">
        <v>3.7252902984619099E-9</v>
      </c>
      <c r="D92" s="2">
        <v>3.7252902984619099E-9</v>
      </c>
      <c r="E92" s="2">
        <v>3.8570554845325197E-9</v>
      </c>
      <c r="F92" s="2">
        <v>3.4702938104619299E-8</v>
      </c>
      <c r="G92" s="2">
        <v>7.2864361483619504E-6</v>
      </c>
      <c r="H92" s="2">
        <v>0.99999271356064001</v>
      </c>
      <c r="I92" s="2">
        <v>0.99999999627471003</v>
      </c>
      <c r="J92" s="2">
        <v>0.99999999627471003</v>
      </c>
      <c r="K92" s="2">
        <v>0.99999999627471003</v>
      </c>
    </row>
    <row r="93" spans="1:11" x14ac:dyDescent="0.25">
      <c r="A93">
        <v>9.1999999999999993</v>
      </c>
      <c r="B93" s="2">
        <v>3.7252902984619099E-9</v>
      </c>
      <c r="C93" s="2">
        <v>3.7252902984619099E-9</v>
      </c>
      <c r="D93" s="2">
        <v>3.7252902984619099E-9</v>
      </c>
      <c r="E93" s="2">
        <v>3.8279091282070603E-9</v>
      </c>
      <c r="F93" s="2">
        <v>2.93425392044763E-8</v>
      </c>
      <c r="G93" s="2">
        <v>6.3986461054675002E-6</v>
      </c>
      <c r="H93" s="2">
        <v>0.99999360135110504</v>
      </c>
      <c r="I93" s="2">
        <v>0.99999999627471003</v>
      </c>
      <c r="J93" s="2">
        <v>0.99999999627471003</v>
      </c>
      <c r="K93" s="2">
        <v>0.99999999627471003</v>
      </c>
    </row>
    <row r="94" spans="1:11" x14ac:dyDescent="0.25">
      <c r="A94">
        <v>9.3000000000000007</v>
      </c>
      <c r="B94" s="2">
        <v>3.7252902984619099E-9</v>
      </c>
      <c r="C94" s="2">
        <v>3.7252902984619099E-9</v>
      </c>
      <c r="D94" s="2">
        <v>3.7252902984619099E-9</v>
      </c>
      <c r="E94" s="2">
        <v>3.8052099232455304E-9</v>
      </c>
      <c r="F94" s="2">
        <v>2.49097083427332E-8</v>
      </c>
      <c r="G94" s="2">
        <v>5.6190804221819499E-6</v>
      </c>
      <c r="H94" s="2">
        <v>0.99999438091714599</v>
      </c>
      <c r="I94" s="2">
        <v>0.99999999627471003</v>
      </c>
      <c r="J94" s="2">
        <v>0.99999999627471003</v>
      </c>
      <c r="K94" s="2">
        <v>0.99999999627471003</v>
      </c>
    </row>
    <row r="95" spans="1:11" x14ac:dyDescent="0.25">
      <c r="A95">
        <v>9.4</v>
      </c>
      <c r="B95" s="2">
        <v>3.7252902984619099E-9</v>
      </c>
      <c r="C95" s="2">
        <v>3.7252902984619099E-9</v>
      </c>
      <c r="D95" s="2">
        <v>3.7252902984619099E-9</v>
      </c>
      <c r="E95" s="2">
        <v>3.7875317647458504E-9</v>
      </c>
      <c r="F95" s="2">
        <v>2.1243938351565599E-8</v>
      </c>
      <c r="G95" s="2">
        <v>4.9345463531269802E-6</v>
      </c>
      <c r="H95" s="2">
        <v>0.99999506545152195</v>
      </c>
      <c r="I95" s="2">
        <v>0.99999999627471003</v>
      </c>
      <c r="J95" s="2">
        <v>0.99999999627471003</v>
      </c>
      <c r="K95" s="2">
        <v>0.99999999627471003</v>
      </c>
    </row>
    <row r="96" spans="1:11" x14ac:dyDescent="0.25">
      <c r="A96">
        <v>9.5</v>
      </c>
      <c r="B96" s="2">
        <v>3.7252902984619099E-9</v>
      </c>
      <c r="C96" s="2">
        <v>3.7252902984619099E-9</v>
      </c>
      <c r="D96" s="2">
        <v>3.7252902984619099E-9</v>
      </c>
      <c r="E96" s="2">
        <v>3.7737640011197896E-9</v>
      </c>
      <c r="F96" s="2">
        <v>1.82124963597434E-8</v>
      </c>
      <c r="G96" s="2">
        <v>4.3334593404662997E-6</v>
      </c>
      <c r="H96" s="2">
        <v>0.99999566653879701</v>
      </c>
      <c r="I96" s="2">
        <v>0.99999999627471003</v>
      </c>
      <c r="J96" s="2">
        <v>0.99999999627471003</v>
      </c>
      <c r="K96" s="2">
        <v>0.99999999627471003</v>
      </c>
    </row>
    <row r="97" spans="1:11" x14ac:dyDescent="0.25">
      <c r="A97">
        <v>9.6</v>
      </c>
      <c r="B97" s="2">
        <v>3.7252902984619099E-9</v>
      </c>
      <c r="C97" s="2">
        <v>3.7252902984619099E-9</v>
      </c>
      <c r="D97" s="2">
        <v>3.7252902984619099E-9</v>
      </c>
      <c r="E97" s="2">
        <v>3.7630416560573497E-9</v>
      </c>
      <c r="F97" s="2">
        <v>1.5705617705153101E-8</v>
      </c>
      <c r="G97" s="2">
        <v>3.80564698416685E-6</v>
      </c>
      <c r="H97" s="2">
        <v>0.99999619435137999</v>
      </c>
      <c r="I97" s="2">
        <v>0.99999999627471003</v>
      </c>
      <c r="J97" s="2">
        <v>0.99999999627471003</v>
      </c>
      <c r="K97" s="2">
        <v>0.99999999627471003</v>
      </c>
    </row>
    <row r="98" spans="1:11" x14ac:dyDescent="0.25">
      <c r="A98">
        <v>9.6999999999999993</v>
      </c>
      <c r="B98" s="2">
        <v>3.7252902984619099E-9</v>
      </c>
      <c r="C98" s="2">
        <v>3.7252902984619099E-9</v>
      </c>
      <c r="D98" s="2">
        <v>3.7252902984619099E-9</v>
      </c>
      <c r="E98" s="2">
        <v>3.7546910853414401E-9</v>
      </c>
      <c r="F98" s="2">
        <v>1.3632531496587499E-8</v>
      </c>
      <c r="G98" s="2">
        <v>3.3421769055909401E-6</v>
      </c>
      <c r="H98" s="2">
        <v>0.99999665782165603</v>
      </c>
      <c r="I98" s="2">
        <v>0.99999999627471003</v>
      </c>
      <c r="J98" s="2">
        <v>0.99999999627471003</v>
      </c>
      <c r="K98" s="2">
        <v>0.99999999627471003</v>
      </c>
    </row>
    <row r="99" spans="1:11" x14ac:dyDescent="0.25">
      <c r="A99">
        <v>9.8000000000000007</v>
      </c>
      <c r="B99" s="2">
        <v>3.7252902984619099E-9</v>
      </c>
      <c r="C99" s="2">
        <v>3.7252902984619099E-9</v>
      </c>
      <c r="D99" s="2">
        <v>3.7252902984619099E-9</v>
      </c>
      <c r="E99" s="2">
        <v>3.7481876543347698E-9</v>
      </c>
      <c r="F99" s="2">
        <v>1.1918173915577901E-8</v>
      </c>
      <c r="G99" s="2">
        <v>2.9352055925343298E-6</v>
      </c>
      <c r="H99" s="2">
        <v>0.99999706479313999</v>
      </c>
      <c r="I99" s="2">
        <v>0.99999999627471003</v>
      </c>
      <c r="J99" s="2">
        <v>0.99999999627471003</v>
      </c>
      <c r="K99" s="2">
        <v>0.99999999627471003</v>
      </c>
    </row>
    <row r="100" spans="1:11" x14ac:dyDescent="0.25">
      <c r="A100">
        <v>9.9</v>
      </c>
      <c r="B100" s="2">
        <v>3.7252902984619099E-9</v>
      </c>
      <c r="C100" s="2">
        <v>3.7252902984619099E-9</v>
      </c>
      <c r="D100" s="2">
        <v>3.7252902984619099E-9</v>
      </c>
      <c r="E100" s="2">
        <v>3.74312277717502E-9</v>
      </c>
      <c r="F100" s="2">
        <v>1.0500470251199101E-8</v>
      </c>
      <c r="G100" s="2">
        <v>2.5778456686119701E-6</v>
      </c>
      <c r="H100" s="2">
        <v>0.99999742215321397</v>
      </c>
      <c r="I100" s="2">
        <v>0.99999999627471003</v>
      </c>
      <c r="J100" s="2">
        <v>0.99999999627471003</v>
      </c>
      <c r="K100" s="2">
        <v>0.99999999627471003</v>
      </c>
    </row>
    <row r="101" spans="1:11" x14ac:dyDescent="0.25">
      <c r="A101">
        <v>10</v>
      </c>
      <c r="B101" s="2">
        <v>3.7252902984619099E-9</v>
      </c>
      <c r="C101" s="2">
        <v>3.7252902984619099E-9</v>
      </c>
      <c r="D101" s="2">
        <v>3.7252902984619099E-9</v>
      </c>
      <c r="E101" s="2">
        <v>3.7391782468750797E-9</v>
      </c>
      <c r="F101" s="2">
        <v>9.3280872538388093E-9</v>
      </c>
      <c r="G101" s="2">
        <v>2.2640493414671899E-6</v>
      </c>
      <c r="H101" s="2">
        <v>0.99999773594967201</v>
      </c>
      <c r="I101" s="2">
        <v>0.99999999627471003</v>
      </c>
      <c r="J101" s="2">
        <v>0.99999999627471003</v>
      </c>
      <c r="K101" s="2">
        <v>0.99999999627471003</v>
      </c>
    </row>
    <row r="102" spans="1:11" x14ac:dyDescent="0.25">
      <c r="A102">
        <v>10.1</v>
      </c>
      <c r="B102" s="2">
        <v>3.7252902984619099E-9</v>
      </c>
      <c r="C102" s="2">
        <v>3.7252902984619099E-9</v>
      </c>
      <c r="D102" s="2">
        <v>3.7252902984619099E-9</v>
      </c>
      <c r="E102" s="2">
        <v>3.7361062435856597E-9</v>
      </c>
      <c r="F102" s="2">
        <v>8.3585744235580598E-9</v>
      </c>
      <c r="G102" s="2">
        <v>1.9885060579085499E-6</v>
      </c>
      <c r="H102" s="2">
        <v>0.99999801149306999</v>
      </c>
      <c r="I102" s="2">
        <v>0.99999999627471003</v>
      </c>
      <c r="J102" s="2">
        <v>0.99999999627471003</v>
      </c>
      <c r="K102" s="2">
        <v>0.99999999627471003</v>
      </c>
    </row>
    <row r="103" spans="1:11" x14ac:dyDescent="0.25">
      <c r="A103">
        <v>10.199999999999999</v>
      </c>
      <c r="B103" s="2">
        <v>3.7252902984619099E-9</v>
      </c>
      <c r="C103" s="2">
        <v>3.7252902984619099E-9</v>
      </c>
      <c r="D103" s="2">
        <v>3.7252902984619099E-9</v>
      </c>
      <c r="E103" s="2">
        <v>3.7337137650148901E-9</v>
      </c>
      <c r="F103" s="2">
        <v>7.5568269314841192E-9</v>
      </c>
      <c r="G103" s="2">
        <v>1.7465526343761001E-6</v>
      </c>
      <c r="H103" s="2">
        <v>0.99999825344659399</v>
      </c>
      <c r="I103" s="2">
        <v>0.99999999627471003</v>
      </c>
      <c r="J103" s="2">
        <v>0.99999999627471003</v>
      </c>
      <c r="K103" s="2">
        <v>0.99999999627471003</v>
      </c>
    </row>
    <row r="104" spans="1:11" x14ac:dyDescent="0.25">
      <c r="A104">
        <v>10.3</v>
      </c>
      <c r="B104" s="2">
        <v>3.7252902984619099E-9</v>
      </c>
      <c r="C104" s="2">
        <v>3.7252902984619099E-9</v>
      </c>
      <c r="D104" s="2">
        <v>3.7252902984619099E-9</v>
      </c>
      <c r="E104" s="2">
        <v>3.7318505008271701E-9</v>
      </c>
      <c r="F104" s="2">
        <v>6.8938145185887096E-9</v>
      </c>
      <c r="G104" s="2">
        <v>1.5340943421608099E-6</v>
      </c>
      <c r="H104" s="2">
        <v>0.99999846590497599</v>
      </c>
      <c r="I104" s="2">
        <v>0.99999999627471003</v>
      </c>
      <c r="J104" s="2">
        <v>0.99999999627471003</v>
      </c>
      <c r="K104" s="2">
        <v>0.99999999627471003</v>
      </c>
    </row>
    <row r="105" spans="1:11" x14ac:dyDescent="0.25">
      <c r="A105">
        <v>10.4</v>
      </c>
      <c r="B105" s="2">
        <v>3.7252902984619099E-9</v>
      </c>
      <c r="C105" s="2">
        <v>3.7252902984619099E-9</v>
      </c>
      <c r="D105" s="2">
        <v>3.7252902984619099E-9</v>
      </c>
      <c r="E105" s="2">
        <v>3.73039938921568E-9</v>
      </c>
      <c r="F105" s="2">
        <v>6.3455303469039103E-9</v>
      </c>
      <c r="G105" s="2">
        <v>1.3475356121154701E-6</v>
      </c>
      <c r="H105" s="2">
        <v>0.99999865246378405</v>
      </c>
      <c r="I105" s="2">
        <v>0.99999999627471003</v>
      </c>
      <c r="J105" s="2">
        <v>0.99999999627471003</v>
      </c>
      <c r="K105" s="2">
        <v>0.99999999627471003</v>
      </c>
    </row>
    <row r="106" spans="1:11" x14ac:dyDescent="0.25">
      <c r="A106">
        <v>10.5</v>
      </c>
      <c r="B106" s="2">
        <v>3.7252902984619099E-9</v>
      </c>
      <c r="C106" s="2">
        <v>3.7252902984619099E-9</v>
      </c>
      <c r="D106" s="2">
        <v>3.7252902984619099E-9</v>
      </c>
      <c r="E106" s="2">
        <v>3.7292692623536699E-9</v>
      </c>
      <c r="F106" s="2">
        <v>5.8921217424210096E-9</v>
      </c>
      <c r="G106" s="2">
        <v>1.1837191863301901E-6</v>
      </c>
      <c r="H106" s="2">
        <v>0.99999881628027898</v>
      </c>
      <c r="I106" s="2">
        <v>0.99999999627471003</v>
      </c>
      <c r="J106" s="2">
        <v>0.99999999627471003</v>
      </c>
      <c r="K106" s="2">
        <v>0.99999999627471003</v>
      </c>
    </row>
    <row r="107" spans="1:11" x14ac:dyDescent="0.25">
      <c r="A107">
        <v>10.6</v>
      </c>
      <c r="B107" s="2">
        <v>3.7252902984619099E-9</v>
      </c>
      <c r="C107" s="2">
        <v>3.7252902984619099E-9</v>
      </c>
      <c r="D107" s="2">
        <v>3.7252902984619099E-9</v>
      </c>
      <c r="E107" s="2">
        <v>3.7283891186663003E-9</v>
      </c>
      <c r="F107" s="2">
        <v>5.5171713549819201E-9</v>
      </c>
      <c r="G107" s="2">
        <v>1.0398726871514801E-6</v>
      </c>
      <c r="H107" s="2">
        <v>0.99999896012683898</v>
      </c>
      <c r="I107" s="2">
        <v>0.99999999627471003</v>
      </c>
      <c r="J107" s="2">
        <v>0.99999999627471003</v>
      </c>
      <c r="K107" s="2">
        <v>0.99999999627471003</v>
      </c>
    </row>
    <row r="108" spans="1:11" x14ac:dyDescent="0.25">
      <c r="A108">
        <v>10.7</v>
      </c>
      <c r="B108" s="2">
        <v>3.7252902984619099E-9</v>
      </c>
      <c r="C108" s="2">
        <v>3.7252902984619099E-9</v>
      </c>
      <c r="D108" s="2">
        <v>3.7252902984619099E-9</v>
      </c>
      <c r="E108" s="2">
        <v>3.7277036620714803E-9</v>
      </c>
      <c r="F108" s="2">
        <v>5.20710270687965E-9</v>
      </c>
      <c r="G108" s="2">
        <v>9.1356169941595703E-7</v>
      </c>
      <c r="H108" s="2">
        <v>0.99999908643788105</v>
      </c>
      <c r="I108" s="2">
        <v>0.99999999627471003</v>
      </c>
      <c r="J108" s="2">
        <v>0.99999999627471003</v>
      </c>
      <c r="K108" s="2">
        <v>0.99999999627471003</v>
      </c>
    </row>
    <row r="109" spans="1:11" x14ac:dyDescent="0.25">
      <c r="A109">
        <v>10.8</v>
      </c>
      <c r="B109" s="2">
        <v>3.7252902984619099E-9</v>
      </c>
      <c r="C109" s="2">
        <v>3.7252902984619099E-9</v>
      </c>
      <c r="D109" s="2">
        <v>3.7252902984619099E-9</v>
      </c>
      <c r="E109" s="2">
        <v>3.7271698279371099E-9</v>
      </c>
      <c r="F109" s="2">
        <v>4.9506886058391804E-9</v>
      </c>
      <c r="G109" s="2">
        <v>8.0264857196898902E-7</v>
      </c>
      <c r="H109" s="2">
        <v>0.99999919735105602</v>
      </c>
      <c r="I109" s="2">
        <v>0.99999999627471003</v>
      </c>
      <c r="J109" s="2">
        <v>0.99999999627471003</v>
      </c>
      <c r="K109" s="2">
        <v>0.99999999627471003</v>
      </c>
    </row>
    <row r="110" spans="1:11" x14ac:dyDescent="0.25">
      <c r="A110">
        <v>10.9</v>
      </c>
      <c r="B110" s="2">
        <v>3.7252902984619099E-9</v>
      </c>
      <c r="C110" s="2">
        <v>3.7252902984619099E-9</v>
      </c>
      <c r="D110" s="2">
        <v>3.7252902984619099E-9</v>
      </c>
      <c r="E110" s="2">
        <v>3.7267540774939701E-9</v>
      </c>
      <c r="F110" s="2">
        <v>4.7386446226392496E-9</v>
      </c>
      <c r="G110" s="2">
        <v>7.0525624130823203E-7</v>
      </c>
      <c r="H110" s="2">
        <v>0.99999929474342897</v>
      </c>
      <c r="I110" s="2">
        <v>0.99999999627471003</v>
      </c>
      <c r="J110" s="2">
        <v>0.99999999627471003</v>
      </c>
      <c r="K110" s="2">
        <v>0.99999999627471003</v>
      </c>
    </row>
    <row r="111" spans="1:11" x14ac:dyDescent="0.25">
      <c r="A111">
        <v>11</v>
      </c>
      <c r="B111" s="2">
        <v>3.7252902984619099E-9</v>
      </c>
      <c r="C111" s="2">
        <v>3.7252902984619099E-9</v>
      </c>
      <c r="D111" s="2">
        <v>3.7252902984619099E-9</v>
      </c>
      <c r="E111" s="2">
        <v>3.7264302907222699E-9</v>
      </c>
      <c r="F111" s="2">
        <v>4.5632929137162402E-9</v>
      </c>
      <c r="G111" s="2">
        <v>6.1973646516848597E-7</v>
      </c>
      <c r="H111" s="2">
        <v>0.99999938026324298</v>
      </c>
      <c r="I111" s="2">
        <v>0.99999999627471003</v>
      </c>
      <c r="J111" s="2">
        <v>0.99999999627471003</v>
      </c>
      <c r="K111" s="2">
        <v>0.99999999627471003</v>
      </c>
    </row>
    <row r="112" spans="1:11" x14ac:dyDescent="0.25">
      <c r="A112">
        <v>11.1</v>
      </c>
      <c r="B112" s="2">
        <v>3.7252902984619099E-9</v>
      </c>
      <c r="C112" s="2">
        <v>3.7252902984619099E-9</v>
      </c>
      <c r="D112" s="2">
        <v>3.7252902984619099E-9</v>
      </c>
      <c r="E112" s="2">
        <v>3.7261781253300896E-9</v>
      </c>
      <c r="F112" s="2">
        <v>4.41828421619435E-9</v>
      </c>
      <c r="G112" s="2">
        <v>5.4464192848362499E-7</v>
      </c>
      <c r="H112" s="2">
        <v>0.99999945535781298</v>
      </c>
      <c r="I112" s="2">
        <v>0.99999999627471003</v>
      </c>
      <c r="J112" s="2">
        <v>0.99999999627471003</v>
      </c>
      <c r="K112" s="2">
        <v>0.99999999627471003</v>
      </c>
    </row>
    <row r="113" spans="1:11" x14ac:dyDescent="0.25">
      <c r="A113">
        <v>11.2</v>
      </c>
      <c r="B113" s="2">
        <v>3.7252902984619099E-9</v>
      </c>
      <c r="C113" s="2">
        <v>3.7252902984619099E-9</v>
      </c>
      <c r="D113" s="2">
        <v>3.7252902984619099E-9</v>
      </c>
      <c r="E113" s="2">
        <v>3.7259817387245502E-9</v>
      </c>
      <c r="F113" s="2">
        <v>4.2983679491356902E-9</v>
      </c>
      <c r="G113" s="2">
        <v>4.7870174968684902E-7</v>
      </c>
      <c r="H113" s="2">
        <v>0.99999952129802105</v>
      </c>
      <c r="I113" s="2">
        <v>0.99999999627471003</v>
      </c>
      <c r="J113" s="2">
        <v>0.99999999627471003</v>
      </c>
      <c r="K113" s="2">
        <v>0.99999999627471003</v>
      </c>
    </row>
    <row r="114" spans="1:11" x14ac:dyDescent="0.25">
      <c r="A114">
        <v>11.3</v>
      </c>
      <c r="B114" s="2">
        <v>3.7252902984619099E-9</v>
      </c>
      <c r="C114" s="2">
        <v>3.7252902984619099E-9</v>
      </c>
      <c r="D114" s="2">
        <v>3.7252902984619099E-9</v>
      </c>
      <c r="E114" s="2">
        <v>3.7258287926818402E-9</v>
      </c>
      <c r="F114" s="2">
        <v>4.1992020966681901E-9</v>
      </c>
      <c r="G114" s="2">
        <v>4.20799972848895E-7</v>
      </c>
      <c r="H114" s="2">
        <v>0.99999957919982396</v>
      </c>
      <c r="I114" s="2">
        <v>0.99999999627471003</v>
      </c>
      <c r="J114" s="2">
        <v>0.99999999627471003</v>
      </c>
      <c r="K114" s="2">
        <v>0.99999999627471003</v>
      </c>
    </row>
    <row r="115" spans="1:11" x14ac:dyDescent="0.25">
      <c r="A115">
        <v>11.4</v>
      </c>
      <c r="B115" s="2">
        <v>3.7252902984619099E-9</v>
      </c>
      <c r="C115" s="2">
        <v>3.7252902984619099E-9</v>
      </c>
      <c r="D115" s="2">
        <v>3.7252902984619099E-9</v>
      </c>
      <c r="E115" s="2">
        <v>3.7257096781836001E-9</v>
      </c>
      <c r="F115" s="2">
        <v>4.1171959891013803E-9</v>
      </c>
      <c r="G115" s="2">
        <v>3.6995668167987898E-7</v>
      </c>
      <c r="H115" s="2">
        <v>0.99999963004313797</v>
      </c>
      <c r="I115" s="2">
        <v>0.99999999627471003</v>
      </c>
      <c r="J115" s="2">
        <v>0.99999999627471003</v>
      </c>
      <c r="K115" s="2">
        <v>0.99999999627471003</v>
      </c>
    </row>
    <row r="116" spans="1:11" x14ac:dyDescent="0.25">
      <c r="A116">
        <v>11.5</v>
      </c>
      <c r="B116" s="2">
        <v>3.7252902984619099E-9</v>
      </c>
      <c r="C116" s="2">
        <v>3.7252902984619099E-9</v>
      </c>
      <c r="D116" s="2">
        <v>3.7252902984619099E-9</v>
      </c>
      <c r="E116" s="2">
        <v>3.7256169117187704E-9</v>
      </c>
      <c r="F116" s="2">
        <v>4.0493802893335499E-9</v>
      </c>
      <c r="G116" s="2">
        <v>3.2531141578736503E-7</v>
      </c>
      <c r="H116" s="2">
        <v>0.99999967468842499</v>
      </c>
      <c r="I116" s="2">
        <v>0.99999999627471003</v>
      </c>
      <c r="J116" s="2">
        <v>0.99999999627471003</v>
      </c>
      <c r="K116" s="2">
        <v>0.99999999627471003</v>
      </c>
    </row>
    <row r="117" spans="1:11" x14ac:dyDescent="0.25">
      <c r="A117">
        <v>11.6</v>
      </c>
      <c r="B117" s="2">
        <v>3.7252902984619099E-9</v>
      </c>
      <c r="C117" s="2">
        <v>3.7252902984619099E-9</v>
      </c>
      <c r="D117" s="2">
        <v>3.7252902984619099E-9</v>
      </c>
      <c r="E117" s="2">
        <v>3.7255446651230596E-9</v>
      </c>
      <c r="F117" s="2">
        <v>3.9932994769233501E-9</v>
      </c>
      <c r="G117" s="2">
        <v>2.8610860854275499E-7</v>
      </c>
      <c r="H117" s="2">
        <v>0.99999971389124998</v>
      </c>
      <c r="I117" s="2">
        <v>0.99999999627471003</v>
      </c>
      <c r="J117" s="2">
        <v>0.99999999627471003</v>
      </c>
      <c r="K117" s="2">
        <v>0.99999999627471003</v>
      </c>
    </row>
    <row r="118" spans="1:11" x14ac:dyDescent="0.25">
      <c r="A118">
        <v>11.7</v>
      </c>
      <c r="B118" s="2">
        <v>3.7252902984619099E-9</v>
      </c>
      <c r="C118" s="2">
        <v>3.7252902984619099E-9</v>
      </c>
      <c r="D118" s="2">
        <v>3.7252902984619099E-9</v>
      </c>
      <c r="E118" s="2">
        <v>3.7254883994175404E-9</v>
      </c>
      <c r="F118" s="2">
        <v>3.9469229368106101E-9</v>
      </c>
      <c r="G118" s="2">
        <v>2.5168480011862499E-7</v>
      </c>
      <c r="H118" s="2">
        <v>0.99999974831507399</v>
      </c>
      <c r="I118" s="2">
        <v>0.99999999627471003</v>
      </c>
      <c r="J118" s="2">
        <v>0.99999999627471003</v>
      </c>
      <c r="K118" s="2">
        <v>0.99999999627471003</v>
      </c>
    </row>
    <row r="119" spans="1:11" x14ac:dyDescent="0.25">
      <c r="A119">
        <v>11.8</v>
      </c>
      <c r="B119" s="2">
        <v>3.7252902984619099E-9</v>
      </c>
      <c r="C119" s="2">
        <v>3.7252902984619099E-9</v>
      </c>
      <c r="D119" s="2">
        <v>3.7252902984619099E-9</v>
      </c>
      <c r="E119" s="2">
        <v>3.7254445796418697E-9</v>
      </c>
      <c r="F119" s="2">
        <v>3.9085714333216801E-9</v>
      </c>
      <c r="G119" s="2">
        <v>2.2145740929993E-7</v>
      </c>
      <c r="H119" s="2">
        <v>0.99999977854248001</v>
      </c>
      <c r="I119" s="2">
        <v>0.99999999627471003</v>
      </c>
      <c r="J119" s="2">
        <v>0.99999999627471003</v>
      </c>
      <c r="K119" s="2">
        <v>0.99999999627471003</v>
      </c>
    </row>
    <row r="120" spans="1:11" x14ac:dyDescent="0.25">
      <c r="A120">
        <v>11.9</v>
      </c>
      <c r="B120" s="2">
        <v>3.7252902984619099E-9</v>
      </c>
      <c r="C120" s="2">
        <v>3.7252902984619099E-9</v>
      </c>
      <c r="D120" s="2">
        <v>3.7252902984619099E-9</v>
      </c>
      <c r="E120" s="2">
        <v>3.7254104527661296E-9</v>
      </c>
      <c r="F120" s="2">
        <v>3.87685630717652E-9</v>
      </c>
      <c r="G120" s="2">
        <v>1.9491487405109201E-7</v>
      </c>
      <c r="H120" s="2">
        <v>0.99999980508502695</v>
      </c>
      <c r="I120" s="2">
        <v>0.99999999627471003</v>
      </c>
      <c r="J120" s="2">
        <v>0.99999999627471003</v>
      </c>
      <c r="K120" s="2">
        <v>0.99999999627471003</v>
      </c>
    </row>
    <row r="121" spans="1:11" x14ac:dyDescent="0.25">
      <c r="A121">
        <v>12</v>
      </c>
      <c r="B121" s="2">
        <v>3.7252902984619099E-9</v>
      </c>
      <c r="C121" s="2">
        <v>3.7252902984619099E-9</v>
      </c>
      <c r="D121" s="2">
        <v>3.7252902984619099E-9</v>
      </c>
      <c r="E121" s="2">
        <v>3.7253838747284802E-9</v>
      </c>
      <c r="F121" s="2">
        <v>3.8506291938981898E-9</v>
      </c>
      <c r="G121" s="2">
        <v>1.71607993983925E-7</v>
      </c>
      <c r="H121" s="2">
        <v>0.99999982839191903</v>
      </c>
      <c r="I121" s="2">
        <v>0.99999999627471003</v>
      </c>
      <c r="J121" s="2">
        <v>0.99999999627471003</v>
      </c>
      <c r="K121" s="2">
        <v>0.99999999627471003</v>
      </c>
    </row>
    <row r="122" spans="1:11" x14ac:dyDescent="0.25">
      <c r="A122">
        <v>12.1</v>
      </c>
      <c r="B122" s="2">
        <v>3.7252902984619099E-9</v>
      </c>
      <c r="C122" s="2">
        <v>3.7252902984619099E-9</v>
      </c>
      <c r="D122" s="2">
        <v>3.7252902984619099E-9</v>
      </c>
      <c r="E122" s="2">
        <v>3.7253631757318702E-9</v>
      </c>
      <c r="F122" s="2">
        <v>3.8289404429923003E-9</v>
      </c>
      <c r="G122" s="2">
        <v>1.5114232821128799E-7</v>
      </c>
      <c r="H122" s="2">
        <v>0.99999984885759396</v>
      </c>
      <c r="I122" s="2">
        <v>0.99999999627471003</v>
      </c>
      <c r="J122" s="2">
        <v>0.99999999627471003</v>
      </c>
      <c r="K122" s="2">
        <v>0.99999999627471003</v>
      </c>
    </row>
    <row r="123" spans="1:11" x14ac:dyDescent="0.25">
      <c r="A123">
        <v>12.2</v>
      </c>
      <c r="B123" s="2">
        <v>3.7252902984619099E-9</v>
      </c>
      <c r="C123" s="2">
        <v>3.7252902984619099E-9</v>
      </c>
      <c r="D123" s="2">
        <v>3.7252902984619099E-9</v>
      </c>
      <c r="E123" s="2">
        <v>3.7253470553370496E-9</v>
      </c>
      <c r="F123" s="2">
        <v>3.8110047323075596E-9</v>
      </c>
      <c r="G123" s="2">
        <v>1.33171519931804E-7</v>
      </c>
      <c r="H123" s="2">
        <v>0.99999986682841202</v>
      </c>
      <c r="I123" s="2">
        <v>0.99999999627471003</v>
      </c>
      <c r="J123" s="2">
        <v>0.99999999627471003</v>
      </c>
      <c r="K123" s="2">
        <v>0.99999999627471003</v>
      </c>
    </row>
    <row r="124" spans="1:11" x14ac:dyDescent="0.25">
      <c r="A124">
        <v>12.3</v>
      </c>
      <c r="B124" s="2">
        <v>3.7252902984619099E-9</v>
      </c>
      <c r="C124" s="2">
        <v>3.7252902984619099E-9</v>
      </c>
      <c r="D124" s="2">
        <v>3.7252902984619099E-9</v>
      </c>
      <c r="E124" s="2">
        <v>3.7253345007608798E-9</v>
      </c>
      <c r="F124" s="2">
        <v>3.7961726325171103E-9</v>
      </c>
      <c r="G124" s="2">
        <v>1.17391434773999E-7</v>
      </c>
      <c r="H124" s="2">
        <v>0.99999988260850503</v>
      </c>
      <c r="I124" s="2">
        <v>0.99999999627471003</v>
      </c>
      <c r="J124" s="2">
        <v>0.99999999627471003</v>
      </c>
      <c r="K124" s="2">
        <v>0.99999999627471003</v>
      </c>
    </row>
    <row r="125" spans="1:11" x14ac:dyDescent="0.25">
      <c r="A125">
        <v>12.4</v>
      </c>
      <c r="B125" s="2">
        <v>3.7252902984619099E-9</v>
      </c>
      <c r="C125" s="2">
        <v>3.7252902984619099E-9</v>
      </c>
      <c r="D125" s="2">
        <v>3.7252902984619099E-9</v>
      </c>
      <c r="E125" s="2">
        <v>3.7253247232471E-9</v>
      </c>
      <c r="F125" s="2">
        <v>3.7839070921067104E-9</v>
      </c>
      <c r="G125" s="2">
        <v>1.0353501369991199E-7</v>
      </c>
      <c r="H125" s="2">
        <v>0.99999989646493304</v>
      </c>
      <c r="I125" s="2">
        <v>0.99999999627471003</v>
      </c>
      <c r="J125" s="2">
        <v>0.99999999627471003</v>
      </c>
      <c r="K125" s="2">
        <v>0.99999999627471003</v>
      </c>
    </row>
    <row r="126" spans="1:11" x14ac:dyDescent="0.25">
      <c r="A126">
        <v>12.5</v>
      </c>
      <c r="B126" s="2">
        <v>3.7252902984619099E-9</v>
      </c>
      <c r="C126" s="2">
        <v>3.7252902984619099E-9</v>
      </c>
      <c r="D126" s="2">
        <v>3.7252902984619099E-9</v>
      </c>
      <c r="E126" s="2">
        <v>3.7253171085116798E-9</v>
      </c>
      <c r="F126" s="2">
        <v>3.7737639914207197E-9</v>
      </c>
      <c r="G126" s="2">
        <v>9.1367753360814005E-8</v>
      </c>
      <c r="H126" s="2">
        <v>0.99999990863219901</v>
      </c>
      <c r="I126" s="2">
        <v>0.99999999627471003</v>
      </c>
      <c r="J126" s="2">
        <v>0.99999999627471003</v>
      </c>
      <c r="K126" s="2">
        <v>0.99999999627471003</v>
      </c>
    </row>
    <row r="127" spans="1:11" x14ac:dyDescent="0.25">
      <c r="A127">
        <v>12.6</v>
      </c>
      <c r="B127" s="2">
        <v>3.7252902984619099E-9</v>
      </c>
      <c r="C127" s="2">
        <v>3.7252902984619099E-9</v>
      </c>
      <c r="D127" s="2">
        <v>3.7252902984619099E-9</v>
      </c>
      <c r="E127" s="2">
        <v>3.7253111781497497E-9</v>
      </c>
      <c r="F127" s="2">
        <v>3.7653760616529698E-9</v>
      </c>
      <c r="G127" s="2">
        <v>8.0683737416303798E-8</v>
      </c>
      <c r="H127" s="2">
        <v>0.99999991931622001</v>
      </c>
      <c r="I127" s="2">
        <v>0.99999999627471003</v>
      </c>
      <c r="J127" s="2">
        <v>0.99999999627471003</v>
      </c>
      <c r="K127" s="2">
        <v>0.99999999627471003</v>
      </c>
    </row>
    <row r="128" spans="1:11" x14ac:dyDescent="0.25">
      <c r="A128">
        <v>12.7</v>
      </c>
      <c r="B128" s="2">
        <v>3.7252902984619099E-9</v>
      </c>
      <c r="C128" s="2">
        <v>3.7252902984619099E-9</v>
      </c>
      <c r="D128" s="2">
        <v>3.7252902984619099E-9</v>
      </c>
      <c r="E128" s="2">
        <v>3.7253065595792101E-9</v>
      </c>
      <c r="F128" s="2">
        <v>3.7584395865092401E-9</v>
      </c>
      <c r="G128" s="2">
        <v>7.1302151652288602E-8</v>
      </c>
      <c r="H128" s="2">
        <v>0.99999992869781096</v>
      </c>
      <c r="I128" s="2">
        <v>0.99999999627471003</v>
      </c>
      <c r="J128" s="2">
        <v>0.99999999627471003</v>
      </c>
      <c r="K128" s="2">
        <v>0.99999999627471003</v>
      </c>
    </row>
    <row r="129" spans="1:11" x14ac:dyDescent="0.25">
      <c r="A129">
        <v>12.8</v>
      </c>
      <c r="B129" s="2">
        <v>3.7252902984619099E-9</v>
      </c>
      <c r="C129" s="2">
        <v>3.7252902984619099E-9</v>
      </c>
      <c r="D129" s="2">
        <v>3.7252902984619099E-9</v>
      </c>
      <c r="E129" s="2">
        <v>3.7253029626328496E-9</v>
      </c>
      <c r="F129" s="2">
        <v>3.7527034050256404E-9</v>
      </c>
      <c r="G129" s="2">
        <v>6.3064223920874106E-8</v>
      </c>
      <c r="H129" s="2">
        <v>0.99999993693574296</v>
      </c>
      <c r="I129" s="2">
        <v>0.99999999627471003</v>
      </c>
      <c r="J129" s="2">
        <v>0.99999999627471003</v>
      </c>
      <c r="K129" s="2">
        <v>0.99999999627471003</v>
      </c>
    </row>
    <row r="130" spans="1:11" x14ac:dyDescent="0.25">
      <c r="A130">
        <v>12.9</v>
      </c>
      <c r="B130" s="2">
        <v>3.7252902984619099E-9</v>
      </c>
      <c r="C130" s="2">
        <v>3.7252902984619099E-9</v>
      </c>
      <c r="D130" s="2">
        <v>3.7252902984619099E-9</v>
      </c>
      <c r="E130" s="2">
        <v>3.7253001613281897E-9</v>
      </c>
      <c r="F130" s="2">
        <v>3.7479598173487703E-9</v>
      </c>
      <c r="G130" s="2">
        <v>5.5830537114700702E-8</v>
      </c>
      <c r="H130" s="2">
        <v>0.99999994416943405</v>
      </c>
      <c r="I130" s="2">
        <v>0.99999999627471003</v>
      </c>
      <c r="J130" s="2">
        <v>0.99999999627471003</v>
      </c>
      <c r="K130" s="2">
        <v>0.99999999627471003</v>
      </c>
    </row>
    <row r="131" spans="1:11" x14ac:dyDescent="0.25">
      <c r="A131">
        <v>13</v>
      </c>
      <c r="B131" s="2">
        <v>3.7252902984619099E-9</v>
      </c>
      <c r="C131" s="2">
        <v>3.7252902984619099E-9</v>
      </c>
      <c r="D131" s="2">
        <v>3.7252902984619099E-9</v>
      </c>
      <c r="E131" s="2">
        <v>3.7252979796699298E-9</v>
      </c>
      <c r="F131" s="2">
        <v>3.7440370641875203E-9</v>
      </c>
      <c r="G131" s="2">
        <v>4.9478669701305501E-8</v>
      </c>
      <c r="H131" s="2">
        <v>0.99999995052130397</v>
      </c>
      <c r="I131" s="2">
        <v>0.99999999627471003</v>
      </c>
      <c r="J131" s="2">
        <v>0.99999999627471003</v>
      </c>
      <c r="K131" s="2">
        <v>0.99999999627471003</v>
      </c>
    </row>
    <row r="132" spans="1:11" x14ac:dyDescent="0.25">
      <c r="A132">
        <v>13.1</v>
      </c>
      <c r="B132" s="2">
        <v>3.7252902984619099E-9</v>
      </c>
      <c r="C132" s="2">
        <v>3.7252902984619099E-9</v>
      </c>
      <c r="D132" s="2">
        <v>3.7252902984619099E-9</v>
      </c>
      <c r="E132" s="2">
        <v>3.7252962805927501E-9</v>
      </c>
      <c r="F132" s="2">
        <v>3.7407931076271698E-9</v>
      </c>
      <c r="G132" s="2">
        <v>4.3901123886624597E-8</v>
      </c>
      <c r="H132" s="2">
        <v>0.99999995609885295</v>
      </c>
      <c r="I132" s="2">
        <v>0.99999999627471003</v>
      </c>
      <c r="J132" s="2">
        <v>0.99999999627471003</v>
      </c>
      <c r="K132" s="2">
        <v>0.99999999627471003</v>
      </c>
    </row>
    <row r="133" spans="1:11" x14ac:dyDescent="0.25">
      <c r="A133">
        <v>13.2</v>
      </c>
      <c r="B133" s="2">
        <v>3.7252902984619099E-9</v>
      </c>
      <c r="C133" s="2">
        <v>3.7252902984619099E-9</v>
      </c>
      <c r="D133" s="2">
        <v>3.7252902984619099E-9</v>
      </c>
      <c r="E133" s="2">
        <v>3.7252949573501201E-9</v>
      </c>
      <c r="F133" s="2">
        <v>3.7381104881166098E-9</v>
      </c>
      <c r="G133" s="2">
        <v>3.90035063444172E-8</v>
      </c>
      <c r="H133" s="2">
        <v>0.99999996099647304</v>
      </c>
      <c r="I133" s="2">
        <v>0.99999999627471003</v>
      </c>
      <c r="J133" s="2">
        <v>0.99999999627471003</v>
      </c>
      <c r="K133" s="2">
        <v>0.99999999627471003</v>
      </c>
    </row>
    <row r="134" spans="1:11" x14ac:dyDescent="0.25">
      <c r="A134">
        <v>13.3</v>
      </c>
      <c r="B134" s="2">
        <v>3.7252902984619099E-9</v>
      </c>
      <c r="C134" s="2">
        <v>3.7252902984619099E-9</v>
      </c>
      <c r="D134" s="2">
        <v>3.7252902984619099E-9</v>
      </c>
      <c r="E134" s="2">
        <v>3.7252939268077098E-9</v>
      </c>
      <c r="F134" s="2">
        <v>3.73589207140709E-9</v>
      </c>
      <c r="G134" s="2">
        <v>3.4702930722797501E-8</v>
      </c>
      <c r="H134" s="2">
        <v>0.99999996529705104</v>
      </c>
      <c r="I134" s="2">
        <v>0.99999999627471003</v>
      </c>
      <c r="J134" s="2">
        <v>0.99999999627471003</v>
      </c>
      <c r="K134" s="2">
        <v>0.99999999627471003</v>
      </c>
    </row>
    <row r="135" spans="1:11" x14ac:dyDescent="0.25">
      <c r="A135">
        <v>13.4</v>
      </c>
      <c r="B135" s="2">
        <v>3.7252902984619099E-9</v>
      </c>
      <c r="C135" s="2">
        <v>3.7252902984619099E-9</v>
      </c>
      <c r="D135" s="2">
        <v>3.7252902984619099E-9</v>
      </c>
      <c r="E135" s="2">
        <v>3.7252931242204698E-9</v>
      </c>
      <c r="F135" s="2">
        <v>3.7340575314442997E-9</v>
      </c>
      <c r="G135" s="2">
        <v>3.0926614892264499E-8</v>
      </c>
      <c r="H135" s="2">
        <v>0.99999996907336897</v>
      </c>
      <c r="I135" s="2">
        <v>0.99999999627471003</v>
      </c>
      <c r="J135" s="2">
        <v>0.99999999627471003</v>
      </c>
      <c r="K135" s="2">
        <v>0.99999999627471003</v>
      </c>
    </row>
    <row r="136" spans="1:11" x14ac:dyDescent="0.25">
      <c r="A136">
        <v>13.5</v>
      </c>
      <c r="B136" s="2">
        <v>3.7252902984619099E-9</v>
      </c>
      <c r="C136" s="2">
        <v>3.7252902984619099E-9</v>
      </c>
      <c r="D136" s="2">
        <v>3.7252902984619099E-9</v>
      </c>
      <c r="E136" s="2">
        <v>3.7252924991649E-9</v>
      </c>
      <c r="F136" s="2">
        <v>3.7325404418638599E-9</v>
      </c>
      <c r="G136" s="2">
        <v>2.7610649195441701E-8</v>
      </c>
      <c r="H136" s="2">
        <v>0.99999997238933702</v>
      </c>
      <c r="I136" s="2">
        <v>0.99999999627471003</v>
      </c>
      <c r="J136" s="2">
        <v>0.99999999627471003</v>
      </c>
      <c r="K136" s="2">
        <v>0.99999999627471003</v>
      </c>
    </row>
    <row r="137" spans="1:11" x14ac:dyDescent="0.25">
      <c r="A137">
        <v>13.6</v>
      </c>
      <c r="B137" s="2">
        <v>3.7252902984619099E-9</v>
      </c>
      <c r="C137" s="2">
        <v>3.7252902984619099E-9</v>
      </c>
      <c r="D137" s="2">
        <v>3.7252902984619099E-9</v>
      </c>
      <c r="E137" s="2">
        <v>3.7252920123711303E-9</v>
      </c>
      <c r="F137" s="2">
        <v>3.7312858707769801E-9</v>
      </c>
      <c r="G137" s="2">
        <v>2.4698914852647499E-8</v>
      </c>
      <c r="H137" s="2">
        <v>0.99999997530107299</v>
      </c>
      <c r="I137" s="2">
        <v>0.99999999627471003</v>
      </c>
      <c r="J137" s="2">
        <v>0.99999999627471003</v>
      </c>
      <c r="K137" s="2">
        <v>0.99999999627471003</v>
      </c>
    </row>
    <row r="138" spans="1:11" x14ac:dyDescent="0.25">
      <c r="A138">
        <v>13.7</v>
      </c>
      <c r="B138" s="2">
        <v>3.7252902984619099E-9</v>
      </c>
      <c r="C138" s="2">
        <v>3.7252902984619099E-9</v>
      </c>
      <c r="D138" s="2">
        <v>3.7252902984619099E-9</v>
      </c>
      <c r="E138" s="2">
        <v>3.7252916332557598E-9</v>
      </c>
      <c r="F138" s="2">
        <v>3.73024839175638E-9</v>
      </c>
      <c r="G138" s="2">
        <v>2.21421342186708E-8</v>
      </c>
      <c r="H138" s="2">
        <v>0.99999997785785499</v>
      </c>
      <c r="I138" s="2">
        <v>0.99999999627471003</v>
      </c>
      <c r="J138" s="2">
        <v>0.99999999627471003</v>
      </c>
      <c r="K138" s="2">
        <v>0.99999999627471003</v>
      </c>
    </row>
    <row r="139" spans="1:11" x14ac:dyDescent="0.25">
      <c r="A139">
        <v>13.8</v>
      </c>
      <c r="B139" s="2">
        <v>3.7252902984619099E-9</v>
      </c>
      <c r="C139" s="2">
        <v>3.7252902984619099E-9</v>
      </c>
      <c r="D139" s="2">
        <v>3.7252902984619099E-9</v>
      </c>
      <c r="E139" s="2">
        <v>3.7252913380004098E-9</v>
      </c>
      <c r="F139" s="2">
        <v>3.7293904390031096E-9</v>
      </c>
      <c r="G139" s="2">
        <v>1.9897036817495E-8</v>
      </c>
      <c r="H139" s="2">
        <v>0.99999998010295299</v>
      </c>
      <c r="I139" s="2">
        <v>0.99999999627471003</v>
      </c>
      <c r="J139" s="2">
        <v>0.99999999627471003</v>
      </c>
      <c r="K139" s="2">
        <v>0.99999999627471003</v>
      </c>
    </row>
    <row r="140" spans="1:11" x14ac:dyDescent="0.25">
      <c r="A140">
        <v>13.9</v>
      </c>
      <c r="B140" s="2">
        <v>3.7252902984619099E-9</v>
      </c>
      <c r="C140" s="2">
        <v>3.7252902984619099E-9</v>
      </c>
      <c r="D140" s="2">
        <v>3.7252902984619099E-9</v>
      </c>
      <c r="E140" s="2">
        <v>3.7252911080553102E-9</v>
      </c>
      <c r="F140" s="2">
        <v>3.7286809471365504E-9</v>
      </c>
      <c r="G140" s="2">
        <v>1.7925627041140799E-8</v>
      </c>
      <c r="H140" s="2">
        <v>0.99999998207436402</v>
      </c>
      <c r="I140" s="2">
        <v>0.99999999627471003</v>
      </c>
      <c r="J140" s="2">
        <v>0.99999999627471003</v>
      </c>
      <c r="K140" s="2">
        <v>0.99999999627471003</v>
      </c>
    </row>
    <row r="141" spans="1:11" x14ac:dyDescent="0.25">
      <c r="A141">
        <v>14</v>
      </c>
      <c r="B141" s="2">
        <v>3.7252902984619099E-9</v>
      </c>
      <c r="C141" s="2">
        <v>3.7252902984619099E-9</v>
      </c>
      <c r="D141" s="2">
        <v>3.7252902984619099E-9</v>
      </c>
      <c r="E141" s="2">
        <v>3.7252909289738898E-9</v>
      </c>
      <c r="F141" s="2">
        <v>3.7280942263564002E-9</v>
      </c>
      <c r="G141" s="2">
        <v>1.6194541119313001E-8</v>
      </c>
      <c r="H141" s="2">
        <v>0.99999998380545096</v>
      </c>
      <c r="I141" s="2">
        <v>0.99999999627471003</v>
      </c>
      <c r="J141" s="2">
        <v>0.99999999627471003</v>
      </c>
      <c r="K141" s="2">
        <v>0.99999999627471003</v>
      </c>
    </row>
    <row r="142" spans="1:11" x14ac:dyDescent="0.25">
      <c r="A142">
        <v>14.1</v>
      </c>
      <c r="B142" s="2">
        <v>3.7252902984619099E-9</v>
      </c>
      <c r="C142" s="2">
        <v>3.7252902984619099E-9</v>
      </c>
      <c r="D142" s="2">
        <v>3.7252902984619099E-9</v>
      </c>
      <c r="E142" s="2">
        <v>3.7252907895051397E-9</v>
      </c>
      <c r="F142" s="2">
        <v>3.7276090322476699E-9</v>
      </c>
      <c r="G142" s="2">
        <v>1.46744824773495E-8</v>
      </c>
      <c r="H142" s="2">
        <v>0.99999998532551104</v>
      </c>
      <c r="I142" s="2">
        <v>0.99999999627471003</v>
      </c>
      <c r="J142" s="2">
        <v>0.99999999627471003</v>
      </c>
      <c r="K142" s="2">
        <v>0.99999999627471003</v>
      </c>
    </row>
    <row r="143" spans="1:11" x14ac:dyDescent="0.25">
      <c r="A143">
        <v>14.2</v>
      </c>
      <c r="B143" s="2">
        <v>3.7252902984619099E-9</v>
      </c>
      <c r="C143" s="2">
        <v>3.7252902984619099E-9</v>
      </c>
      <c r="D143" s="2">
        <v>3.7252902984619099E-9</v>
      </c>
      <c r="E143" s="2">
        <v>3.7252906808867597E-9</v>
      </c>
      <c r="F143" s="2">
        <v>3.7272077965472903E-9</v>
      </c>
      <c r="G143" s="2">
        <v>1.3339725926587201E-8</v>
      </c>
      <c r="H143" s="2">
        <v>0.99999998666026801</v>
      </c>
      <c r="I143" s="2">
        <v>0.99999999627471003</v>
      </c>
      <c r="J143" s="2">
        <v>0.99999999627471003</v>
      </c>
      <c r="K143" s="2">
        <v>0.99999999627471003</v>
      </c>
    </row>
    <row r="144" spans="1:11" x14ac:dyDescent="0.25">
      <c r="A144">
        <v>14.3</v>
      </c>
      <c r="B144" s="2">
        <v>3.7252902984619099E-9</v>
      </c>
      <c r="C144" s="2">
        <v>3.7252902984619099E-9</v>
      </c>
      <c r="D144" s="2">
        <v>3.7252902984619099E-9</v>
      </c>
      <c r="E144" s="2">
        <v>3.7252905962946902E-9</v>
      </c>
      <c r="F144" s="2">
        <v>3.7268759910196403E-9</v>
      </c>
      <c r="G144" s="2">
        <v>1.21676822961639E-8</v>
      </c>
      <c r="H144" s="2">
        <v>0.99999998783231203</v>
      </c>
      <c r="I144" s="2">
        <v>0.99999999627471003</v>
      </c>
      <c r="J144" s="2">
        <v>0.99999999627471003</v>
      </c>
      <c r="K144" s="2">
        <v>0.99999999627471003</v>
      </c>
    </row>
    <row r="145" spans="1:11" x14ac:dyDescent="0.25">
      <c r="A145">
        <v>14.4</v>
      </c>
      <c r="B145" s="2">
        <v>3.7252902984619099E-9</v>
      </c>
      <c r="C145" s="2">
        <v>3.7252902984619099E-9</v>
      </c>
      <c r="D145" s="2">
        <v>3.7252902984619099E-9</v>
      </c>
      <c r="E145" s="2">
        <v>3.7252905304143097E-9</v>
      </c>
      <c r="F145" s="2">
        <v>3.7266016014075599E-9</v>
      </c>
      <c r="G145" s="2">
        <v>1.11385161381768E-8</v>
      </c>
      <c r="H145" s="2">
        <v>0.99999998886147901</v>
      </c>
      <c r="I145" s="2">
        <v>0.99999999627471003</v>
      </c>
      <c r="J145" s="2">
        <v>0.99999999627471003</v>
      </c>
      <c r="K145" s="2">
        <v>0.99999999627471003</v>
      </c>
    </row>
    <row r="146" spans="1:11" x14ac:dyDescent="0.25">
      <c r="A146">
        <v>14.5</v>
      </c>
      <c r="B146" s="2">
        <v>3.7252902984619099E-9</v>
      </c>
      <c r="C146" s="2">
        <v>3.7252902984619099E-9</v>
      </c>
      <c r="D146" s="2">
        <v>3.7252902984619099E-9</v>
      </c>
      <c r="E146" s="2">
        <v>3.7252904791066298E-9</v>
      </c>
      <c r="F146" s="2">
        <v>3.72637469241135E-9</v>
      </c>
      <c r="G146" s="2">
        <v>1.0234810036314901E-8</v>
      </c>
      <c r="H146" s="2">
        <v>0.999999989765186</v>
      </c>
      <c r="I146" s="2">
        <v>0.99999999627471003</v>
      </c>
      <c r="J146" s="2">
        <v>0.99999999627471003</v>
      </c>
      <c r="K146" s="2">
        <v>0.99999999627471003</v>
      </c>
    </row>
    <row r="147" spans="1:11" x14ac:dyDescent="0.25">
      <c r="A147">
        <v>14.6</v>
      </c>
      <c r="B147" s="2">
        <v>3.7252902984619099E-9</v>
      </c>
      <c r="C147" s="2">
        <v>3.7252902984619099E-9</v>
      </c>
      <c r="D147" s="2">
        <v>3.7252902984619099E-9</v>
      </c>
      <c r="E147" s="2">
        <v>3.7252904391481499E-9</v>
      </c>
      <c r="F147" s="2">
        <v>3.7261870479441599E-9</v>
      </c>
      <c r="G147" s="2">
        <v>9.4412698367931706E-9</v>
      </c>
      <c r="H147" s="2">
        <v>0.99999999055872701</v>
      </c>
      <c r="I147" s="2">
        <v>0.99999999627471003</v>
      </c>
      <c r="J147" s="2">
        <v>0.99999999627471003</v>
      </c>
      <c r="K147" s="2">
        <v>0.99999999627471003</v>
      </c>
    </row>
    <row r="148" spans="1:11" x14ac:dyDescent="0.25">
      <c r="A148">
        <v>14.7</v>
      </c>
      <c r="B148" s="2">
        <v>3.7252902984619099E-9</v>
      </c>
      <c r="C148" s="2">
        <v>3.7252902984619099E-9</v>
      </c>
      <c r="D148" s="2">
        <v>3.7252902984619099E-9</v>
      </c>
      <c r="E148" s="2">
        <v>3.7252904080284696E-9</v>
      </c>
      <c r="F148" s="2">
        <v>3.7260318736379102E-9</v>
      </c>
      <c r="G148" s="2">
        <v>8.7444658129744305E-9</v>
      </c>
      <c r="H148" s="2">
        <v>0.99999999125553096</v>
      </c>
      <c r="I148" s="2">
        <v>0.99999999627471003</v>
      </c>
      <c r="J148" s="2">
        <v>0.99999999627471003</v>
      </c>
      <c r="K148" s="2">
        <v>0.99999999627471003</v>
      </c>
    </row>
    <row r="149" spans="1:11" x14ac:dyDescent="0.25">
      <c r="A149">
        <v>14.8</v>
      </c>
      <c r="B149" s="2">
        <v>3.7252902984619099E-9</v>
      </c>
      <c r="C149" s="2">
        <v>3.7252902984619099E-9</v>
      </c>
      <c r="D149" s="2">
        <v>3.7252902984619099E-9</v>
      </c>
      <c r="E149" s="2">
        <v>3.7252903837924301E-9</v>
      </c>
      <c r="F149" s="2">
        <v>3.7259035508278701E-9</v>
      </c>
      <c r="G149" s="2">
        <v>8.1326053832010097E-9</v>
      </c>
      <c r="H149" s="2">
        <v>0.99999999186739197</v>
      </c>
      <c r="I149" s="2">
        <v>0.99999999627471003</v>
      </c>
      <c r="J149" s="2">
        <v>0.99999999627471003</v>
      </c>
      <c r="K149" s="2">
        <v>0.99999999627471003</v>
      </c>
    </row>
    <row r="150" spans="1:11" x14ac:dyDescent="0.25">
      <c r="A150">
        <v>14.9</v>
      </c>
      <c r="B150" s="2">
        <v>3.7252902984619099E-9</v>
      </c>
      <c r="C150" s="2">
        <v>3.7252902984619099E-9</v>
      </c>
      <c r="D150" s="2">
        <v>3.7252902984619099E-9</v>
      </c>
      <c r="E150" s="2">
        <v>3.7252903649173902E-9</v>
      </c>
      <c r="F150" s="2">
        <v>3.7257974331079004E-9</v>
      </c>
      <c r="G150" s="2">
        <v>7.5953335353561693E-9</v>
      </c>
      <c r="H150" s="2">
        <v>0.99999999240466397</v>
      </c>
      <c r="I150" s="2">
        <v>0.99999999627471003</v>
      </c>
      <c r="J150" s="2">
        <v>0.99999999627471003</v>
      </c>
      <c r="K150" s="2">
        <v>0.99999999627471003</v>
      </c>
    </row>
    <row r="151" spans="1:11" x14ac:dyDescent="0.25">
      <c r="A151">
        <v>15</v>
      </c>
      <c r="B151" s="2">
        <v>3.7252902984619099E-9</v>
      </c>
      <c r="C151" s="2">
        <v>3.7252902984619099E-9</v>
      </c>
      <c r="D151" s="2">
        <v>3.7252902984619099E-9</v>
      </c>
      <c r="E151" s="2">
        <v>3.72529035021749E-9</v>
      </c>
      <c r="F151" s="2">
        <v>3.7257096780899996E-9</v>
      </c>
      <c r="G151" s="2">
        <v>7.1235575805797599E-9</v>
      </c>
      <c r="H151" s="2">
        <v>0.99999999287644004</v>
      </c>
      <c r="I151" s="2">
        <v>0.99999999627471003</v>
      </c>
      <c r="J151" s="2">
        <v>0.99999999627471003</v>
      </c>
      <c r="K151" s="2">
        <v>0.99999999627471003</v>
      </c>
    </row>
    <row r="152" spans="1:11" x14ac:dyDescent="0.25">
      <c r="A152">
        <v>15.1</v>
      </c>
      <c r="B152" s="2">
        <v>3.7252902984619099E-9</v>
      </c>
      <c r="C152" s="2">
        <v>3.7252902984619099E-9</v>
      </c>
      <c r="D152" s="2">
        <v>3.7252902984619099E-9</v>
      </c>
      <c r="E152" s="2">
        <v>3.7252903387692003E-9</v>
      </c>
      <c r="F152" s="2">
        <v>3.7256371082763298E-9</v>
      </c>
      <c r="G152" s="2">
        <v>6.7092932703043301E-9</v>
      </c>
      <c r="H152" s="2">
        <v>0.99999999329070499</v>
      </c>
      <c r="I152" s="2">
        <v>0.99999999627471003</v>
      </c>
      <c r="J152" s="2">
        <v>0.99999999627471003</v>
      </c>
      <c r="K152" s="2">
        <v>0.99999999627471003</v>
      </c>
    </row>
    <row r="153" spans="1:11" x14ac:dyDescent="0.25">
      <c r="A153">
        <v>15.2</v>
      </c>
      <c r="B153" s="2">
        <v>3.7252902984619099E-9</v>
      </c>
      <c r="C153" s="2">
        <v>3.7252902984619099E-9</v>
      </c>
      <c r="D153" s="2">
        <v>3.7252902984619099E-9</v>
      </c>
      <c r="E153" s="2">
        <v>3.7252903298532603E-9</v>
      </c>
      <c r="F153" s="2">
        <v>3.7255770960060004E-9</v>
      </c>
      <c r="G153" s="2">
        <v>6.3455296723252102E-9</v>
      </c>
      <c r="H153" s="2">
        <v>0.99999999365446901</v>
      </c>
      <c r="I153" s="2">
        <v>0.99999999627471003</v>
      </c>
      <c r="J153" s="2">
        <v>0.99999999627471003</v>
      </c>
      <c r="K153" s="2">
        <v>0.99999999627471003</v>
      </c>
    </row>
    <row r="154" spans="1:11" x14ac:dyDescent="0.25">
      <c r="A154">
        <v>15.3</v>
      </c>
      <c r="B154" s="2">
        <v>3.7252902984619099E-9</v>
      </c>
      <c r="C154" s="2">
        <v>3.7252902984619099E-9</v>
      </c>
      <c r="D154" s="2">
        <v>3.7252902984619099E-9</v>
      </c>
      <c r="E154" s="2">
        <v>3.72529032290952E-9</v>
      </c>
      <c r="F154" s="2">
        <v>3.7255274683108403E-9</v>
      </c>
      <c r="G154" s="2">
        <v>6.0261105190938499E-9</v>
      </c>
      <c r="H154" s="2">
        <v>0.99999999397388795</v>
      </c>
      <c r="I154" s="2">
        <v>0.99999999627471003</v>
      </c>
      <c r="J154" s="2">
        <v>0.99999999627471003</v>
      </c>
      <c r="K154" s="2">
        <v>0.99999999627471003</v>
      </c>
    </row>
    <row r="155" spans="1:11" x14ac:dyDescent="0.25">
      <c r="A155">
        <v>15.4</v>
      </c>
      <c r="B155" s="2">
        <v>3.7252902984619099E-9</v>
      </c>
      <c r="C155" s="2">
        <v>3.7252902984619099E-9</v>
      </c>
      <c r="D155" s="2">
        <v>3.7252902984619099E-9</v>
      </c>
      <c r="E155" s="2">
        <v>3.7252903175017299E-9</v>
      </c>
      <c r="F155" s="2">
        <v>3.7254864282349903E-9</v>
      </c>
      <c r="G155" s="2">
        <v>5.7456300201945196E-9</v>
      </c>
      <c r="H155" s="2">
        <v>0.99999999425436903</v>
      </c>
      <c r="I155" s="2">
        <v>0.99999999627471003</v>
      </c>
      <c r="J155" s="2">
        <v>0.99999999627471003</v>
      </c>
      <c r="K155" s="2">
        <v>0.99999999627471003</v>
      </c>
    </row>
    <row r="156" spans="1:11" x14ac:dyDescent="0.25">
      <c r="A156">
        <v>15.5</v>
      </c>
      <c r="B156" s="2">
        <v>3.7252902984619099E-9</v>
      </c>
      <c r="C156" s="2">
        <v>3.7252902984619099E-9</v>
      </c>
      <c r="D156" s="2">
        <v>3.7252902984619099E-9</v>
      </c>
      <c r="E156" s="2">
        <v>3.7252903132901299E-9</v>
      </c>
      <c r="F156" s="2">
        <v>3.7254524897693704E-9</v>
      </c>
      <c r="G156" s="2">
        <v>5.4993413757559002E-9</v>
      </c>
      <c r="H156" s="2">
        <v>0.99999999450065802</v>
      </c>
      <c r="I156" s="2">
        <v>0.99999999627471003</v>
      </c>
      <c r="J156" s="2">
        <v>0.99999999627471003</v>
      </c>
      <c r="K156" s="2">
        <v>0.99999999627471003</v>
      </c>
    </row>
    <row r="157" spans="1:11" x14ac:dyDescent="0.25">
      <c r="A157">
        <v>15.6</v>
      </c>
      <c r="B157" s="2">
        <v>3.7252902984619099E-9</v>
      </c>
      <c r="C157" s="2">
        <v>3.7252902984619099E-9</v>
      </c>
      <c r="D157" s="2">
        <v>3.7252902984619099E-9</v>
      </c>
      <c r="E157" s="2">
        <v>3.7252903100101503E-9</v>
      </c>
      <c r="F157" s="2">
        <v>3.7254244240452097E-9</v>
      </c>
      <c r="G157" s="2">
        <v>5.28307644249476E-9</v>
      </c>
      <c r="H157" s="2">
        <v>0.99999999471692302</v>
      </c>
      <c r="I157" s="2">
        <v>0.99999999627471003</v>
      </c>
      <c r="J157" s="2">
        <v>0.99999999627471003</v>
      </c>
      <c r="K157" s="2">
        <v>0.99999999627471003</v>
      </c>
    </row>
    <row r="158" spans="1:11" x14ac:dyDescent="0.25">
      <c r="A158">
        <v>15.7</v>
      </c>
      <c r="B158" s="2">
        <v>3.7252902984619099E-9</v>
      </c>
      <c r="C158" s="2">
        <v>3.7252902984619099E-9</v>
      </c>
      <c r="D158" s="2">
        <v>3.7252902984619099E-9</v>
      </c>
      <c r="E158" s="2">
        <v>3.72529030745569E-9</v>
      </c>
      <c r="F158" s="2">
        <v>3.7254012148382404E-9</v>
      </c>
      <c r="G158" s="2">
        <v>5.0931751928353198E-9</v>
      </c>
      <c r="H158" s="2">
        <v>0.99999999490682401</v>
      </c>
      <c r="I158" s="2">
        <v>0.99999999627471003</v>
      </c>
      <c r="J158" s="2">
        <v>0.99999999627471003</v>
      </c>
      <c r="K158" s="2">
        <v>0.99999999627471003</v>
      </c>
    </row>
    <row r="159" spans="1:11" x14ac:dyDescent="0.25">
      <c r="A159">
        <v>15.8</v>
      </c>
      <c r="B159" s="2">
        <v>3.7252902984619099E-9</v>
      </c>
      <c r="C159" s="2">
        <v>3.7252902984619099E-9</v>
      </c>
      <c r="D159" s="2">
        <v>3.7252902984619099E-9</v>
      </c>
      <c r="E159" s="2">
        <v>3.7252903054662702E-9</v>
      </c>
      <c r="F159" s="2">
        <v>3.72538202177252E-9</v>
      </c>
      <c r="G159" s="2">
        <v>4.9264237732840903E-9</v>
      </c>
      <c r="H159" s="2">
        <v>0.99999999507357495</v>
      </c>
      <c r="I159" s="2">
        <v>0.99999999627471003</v>
      </c>
      <c r="J159" s="2">
        <v>0.99999999627471003</v>
      </c>
      <c r="K159" s="2">
        <v>0.99999999627471003</v>
      </c>
    </row>
    <row r="160" spans="1:11" x14ac:dyDescent="0.25">
      <c r="A160">
        <v>15.9</v>
      </c>
      <c r="B160" s="2">
        <v>3.7252902984619099E-9</v>
      </c>
      <c r="C160" s="2">
        <v>3.7252902984619099E-9</v>
      </c>
      <c r="D160" s="2">
        <v>3.7252902984619099E-9</v>
      </c>
      <c r="E160" s="2">
        <v>3.7252903039169096E-9</v>
      </c>
      <c r="F160" s="2">
        <v>3.72536614989149E-9</v>
      </c>
      <c r="G160" s="2">
        <v>4.7800001137715502E-9</v>
      </c>
      <c r="H160" s="2">
        <v>0.99999999521999905</v>
      </c>
      <c r="I160" s="2">
        <v>0.99999999627471003</v>
      </c>
      <c r="J160" s="2">
        <v>0.99999999627471003</v>
      </c>
      <c r="K160" s="2">
        <v>0.99999999627471003</v>
      </c>
    </row>
    <row r="161" spans="1:11" x14ac:dyDescent="0.25">
      <c r="A161">
        <v>16</v>
      </c>
      <c r="B161" s="2">
        <v>3.7252902984619099E-9</v>
      </c>
      <c r="C161" s="2">
        <v>3.7252902984619099E-9</v>
      </c>
      <c r="D161" s="2">
        <v>3.7252902984619099E-9</v>
      </c>
      <c r="E161" s="2">
        <v>3.7252903027102698E-9</v>
      </c>
      <c r="F161" s="2">
        <v>3.7253530244944999E-9</v>
      </c>
      <c r="G161" s="2">
        <v>4.6514261674631302E-9</v>
      </c>
      <c r="H161" s="2">
        <v>0.99999999534857298</v>
      </c>
      <c r="I161" s="2">
        <v>0.99999999627471003</v>
      </c>
      <c r="J161" s="2">
        <v>0.99999999627471003</v>
      </c>
      <c r="K161" s="2">
        <v>0.99999999627471003</v>
      </c>
    </row>
    <row r="162" spans="1:11" x14ac:dyDescent="0.25">
      <c r="A162">
        <v>16.100000000000001</v>
      </c>
      <c r="B162" s="2">
        <v>3.7252902984619099E-9</v>
      </c>
      <c r="C162" s="2">
        <v>3.7252902984619099E-9</v>
      </c>
      <c r="D162" s="2">
        <v>3.7252902984619099E-9</v>
      </c>
      <c r="E162" s="2">
        <v>3.7252903017705397E-9</v>
      </c>
      <c r="F162" s="2">
        <v>3.7253421703275501E-9</v>
      </c>
      <c r="G162" s="2">
        <v>4.5385259727554901E-9</v>
      </c>
      <c r="H162" s="2">
        <v>0.999999995461474</v>
      </c>
      <c r="I162" s="2">
        <v>0.99999999627471003</v>
      </c>
      <c r="J162" s="2">
        <v>0.99999999627471003</v>
      </c>
      <c r="K162" s="2">
        <v>0.99999999627471003</v>
      </c>
    </row>
    <row r="163" spans="1:11" x14ac:dyDescent="0.25">
      <c r="A163">
        <v>16.2</v>
      </c>
      <c r="B163" s="2">
        <v>3.7252902984619099E-9</v>
      </c>
      <c r="C163" s="2">
        <v>3.7252902984619099E-9</v>
      </c>
      <c r="D163" s="2">
        <v>3.7252902984619099E-9</v>
      </c>
      <c r="E163" s="2">
        <v>3.7252903010386702E-9</v>
      </c>
      <c r="F163" s="2">
        <v>3.72533319437505E-9</v>
      </c>
      <c r="G163" s="2">
        <v>4.4393888277068803E-9</v>
      </c>
      <c r="H163" s="2">
        <v>0.99999999556061103</v>
      </c>
      <c r="I163" s="2">
        <v>0.99999999627471003</v>
      </c>
      <c r="J163" s="2">
        <v>0.99999999627471003</v>
      </c>
      <c r="K163" s="2">
        <v>0.99999999627471003</v>
      </c>
    </row>
    <row r="164" spans="1:11" x14ac:dyDescent="0.25">
      <c r="A164">
        <v>16.3</v>
      </c>
      <c r="B164" s="2">
        <v>3.7252902984619099E-9</v>
      </c>
      <c r="C164" s="2">
        <v>3.7252902984619099E-9</v>
      </c>
      <c r="D164" s="2">
        <v>3.7252902984619099E-9</v>
      </c>
      <c r="E164" s="2">
        <v>3.7252903004686898E-9</v>
      </c>
      <c r="F164" s="2">
        <v>3.7253257716291301E-9</v>
      </c>
      <c r="G164" s="2">
        <v>4.35233695367257E-9</v>
      </c>
      <c r="H164" s="2">
        <v>0.99999999564766295</v>
      </c>
      <c r="I164" s="2">
        <v>0.99999999627471003</v>
      </c>
      <c r="J164" s="2">
        <v>0.99999999627471003</v>
      </c>
      <c r="K164" s="2">
        <v>0.99999999627471003</v>
      </c>
    </row>
    <row r="165" spans="1:11" x14ac:dyDescent="0.25">
      <c r="A165">
        <v>16.399999999999999</v>
      </c>
      <c r="B165" s="2">
        <v>3.7252902984619099E-9</v>
      </c>
      <c r="C165" s="2">
        <v>3.7252902984619099E-9</v>
      </c>
      <c r="D165" s="2">
        <v>3.7252902984619099E-9</v>
      </c>
      <c r="E165" s="2">
        <v>3.7252903000247999E-9</v>
      </c>
      <c r="F165" s="2">
        <v>3.7253196333215801E-9</v>
      </c>
      <c r="G165" s="2">
        <v>4.2758971008908702E-9</v>
      </c>
      <c r="H165" s="2">
        <v>0.99999999572410303</v>
      </c>
      <c r="I165" s="2">
        <v>0.99999999627471003</v>
      </c>
      <c r="J165" s="2">
        <v>0.99999999627471003</v>
      </c>
      <c r="K165" s="2">
        <v>0.99999999627471003</v>
      </c>
    </row>
    <row r="166" spans="1:11" x14ac:dyDescent="0.25">
      <c r="A166">
        <v>16.5</v>
      </c>
      <c r="B166" s="2">
        <v>3.7252902984619099E-9</v>
      </c>
      <c r="C166" s="2">
        <v>3.7252902984619099E-9</v>
      </c>
      <c r="D166" s="2">
        <v>3.7252902984619099E-9</v>
      </c>
      <c r="E166" s="2">
        <v>3.7252902996790897E-9</v>
      </c>
      <c r="F166" s="2">
        <v>3.7253145571920803E-9</v>
      </c>
      <c r="G166" s="2">
        <v>4.2087756154778002E-9</v>
      </c>
      <c r="H166" s="2">
        <v>0.99999999579122401</v>
      </c>
      <c r="I166" s="2">
        <v>0.99999999627471003</v>
      </c>
      <c r="J166" s="2">
        <v>0.99999999627471003</v>
      </c>
      <c r="K166" s="2">
        <v>0.99999999627471003</v>
      </c>
    </row>
    <row r="167" spans="1:11" x14ac:dyDescent="0.25">
      <c r="A167">
        <v>16.600000000000001</v>
      </c>
      <c r="B167" s="2">
        <v>3.7252902984619099E-9</v>
      </c>
      <c r="C167" s="2">
        <v>3.7252902984619099E-9</v>
      </c>
      <c r="D167" s="2">
        <v>3.7252902984619099E-9</v>
      </c>
      <c r="E167" s="2">
        <v>3.7252902994098498E-9</v>
      </c>
      <c r="F167" s="2">
        <v>3.7253103594404303E-9</v>
      </c>
      <c r="G167" s="2">
        <v>4.1498365458691303E-9</v>
      </c>
      <c r="H167" s="2">
        <v>0.99999999585016297</v>
      </c>
      <c r="I167" s="2">
        <v>0.99999999627471003</v>
      </c>
      <c r="J167" s="2">
        <v>0.99999999627471003</v>
      </c>
      <c r="K167" s="2">
        <v>0.99999999627471003</v>
      </c>
    </row>
    <row r="168" spans="1:11" x14ac:dyDescent="0.25">
      <c r="A168">
        <v>16.7</v>
      </c>
      <c r="B168" s="2">
        <v>3.7252902984619099E-9</v>
      </c>
      <c r="C168" s="2">
        <v>3.7252902984619099E-9</v>
      </c>
      <c r="D168" s="2">
        <v>3.7252902984619099E-9</v>
      </c>
      <c r="E168" s="2">
        <v>3.7252902992001703E-9</v>
      </c>
      <c r="F168" s="2">
        <v>3.7253068880713496E-9</v>
      </c>
      <c r="G168" s="2">
        <v>4.0980824181869599E-9</v>
      </c>
      <c r="H168" s="2">
        <v>0.99999999590191702</v>
      </c>
      <c r="I168" s="2">
        <v>0.99999999627471003</v>
      </c>
      <c r="J168" s="2">
        <v>0.99999999627471003</v>
      </c>
      <c r="K168" s="2">
        <v>0.99999999627471003</v>
      </c>
    </row>
    <row r="169" spans="1:11" x14ac:dyDescent="0.25">
      <c r="A169">
        <v>16.8</v>
      </c>
      <c r="B169" s="2">
        <v>3.7252902984619099E-9</v>
      </c>
      <c r="C169" s="2">
        <v>3.7252902984619099E-9</v>
      </c>
      <c r="D169" s="2">
        <v>3.7252902984619099E-9</v>
      </c>
      <c r="E169" s="2">
        <v>3.7252902990368699E-9</v>
      </c>
      <c r="F169" s="2">
        <v>3.7253040173909798E-9</v>
      </c>
      <c r="G169" s="2">
        <v>4.0526373551771499E-9</v>
      </c>
      <c r="H169" s="2">
        <v>0.999999995947362</v>
      </c>
      <c r="I169" s="2">
        <v>0.99999999627471003</v>
      </c>
      <c r="J169" s="2">
        <v>0.99999999627471003</v>
      </c>
      <c r="K169" s="2">
        <v>0.99999999627471003</v>
      </c>
    </row>
    <row r="170" spans="1:11" x14ac:dyDescent="0.25">
      <c r="A170">
        <v>16.899999999999999</v>
      </c>
      <c r="B170" s="2">
        <v>3.7252902984619099E-9</v>
      </c>
      <c r="C170" s="2">
        <v>3.7252902984619099E-9</v>
      </c>
      <c r="D170" s="2">
        <v>3.7252902984619099E-9</v>
      </c>
      <c r="E170" s="2">
        <v>3.7252902989096901E-9</v>
      </c>
      <c r="F170" s="2">
        <v>3.7253016434556304E-9</v>
      </c>
      <c r="G170" s="2">
        <v>4.0127322530251996E-9</v>
      </c>
      <c r="H170" s="2">
        <v>0.99999999598726697</v>
      </c>
      <c r="I170" s="2">
        <v>0.99999999627471003</v>
      </c>
      <c r="J170" s="2">
        <v>0.99999999627471003</v>
      </c>
      <c r="K170" s="2">
        <v>0.99999999627471003</v>
      </c>
    </row>
    <row r="171" spans="1:11" x14ac:dyDescent="0.25">
      <c r="A171">
        <v>17</v>
      </c>
      <c r="B171" s="2">
        <v>3.7252902984619099E-9</v>
      </c>
      <c r="C171" s="2">
        <v>3.7252902984619099E-9</v>
      </c>
      <c r="D171" s="2">
        <v>3.7252902984619099E-9</v>
      </c>
      <c r="E171" s="2">
        <v>3.7252902988106402E-9</v>
      </c>
      <c r="F171" s="2">
        <v>3.7252996803081001E-9</v>
      </c>
      <c r="G171" s="2">
        <v>3.9776917651861297E-9</v>
      </c>
      <c r="H171" s="2">
        <v>0.99999999602230805</v>
      </c>
      <c r="I171" s="2">
        <v>0.99999999627471003</v>
      </c>
      <c r="J171" s="2">
        <v>0.99999999627471003</v>
      </c>
      <c r="K171" s="2">
        <v>0.99999999627471003</v>
      </c>
    </row>
    <row r="172" spans="1:11" x14ac:dyDescent="0.25">
      <c r="A172">
        <v>17.100000000000001</v>
      </c>
      <c r="B172" s="2">
        <v>3.7252902984619099E-9</v>
      </c>
      <c r="C172" s="2">
        <v>3.7252902984619099E-9</v>
      </c>
      <c r="D172" s="2">
        <v>3.7252902984619099E-9</v>
      </c>
      <c r="E172" s="2">
        <v>3.7252902987334998E-9</v>
      </c>
      <c r="F172" s="2">
        <v>3.7252980568653196E-9</v>
      </c>
      <c r="G172" s="2">
        <v>3.9469228729448701E-9</v>
      </c>
      <c r="H172" s="2">
        <v>0.99999999605307699</v>
      </c>
      <c r="I172" s="2">
        <v>0.99999999627471003</v>
      </c>
      <c r="J172" s="2">
        <v>0.99999999627471003</v>
      </c>
      <c r="K172" s="2">
        <v>0.99999999627471003</v>
      </c>
    </row>
    <row r="173" spans="1:11" x14ac:dyDescent="0.25">
      <c r="A173">
        <v>17.2</v>
      </c>
      <c r="B173" s="2">
        <v>3.7252902984619099E-9</v>
      </c>
      <c r="C173" s="2">
        <v>3.7252902984619099E-9</v>
      </c>
      <c r="D173" s="2">
        <v>3.7252902984619099E-9</v>
      </c>
      <c r="E173" s="2">
        <v>3.7252902986734299E-9</v>
      </c>
      <c r="F173" s="2">
        <v>3.7252967143444803E-9</v>
      </c>
      <c r="G173" s="2">
        <v>3.9199048492776703E-9</v>
      </c>
      <c r="H173" s="2">
        <v>0.99999999608009504</v>
      </c>
      <c r="I173" s="2">
        <v>0.99999999627471003</v>
      </c>
      <c r="J173" s="2">
        <v>0.99999999627471003</v>
      </c>
      <c r="K173" s="2">
        <v>0.99999999627471003</v>
      </c>
    </row>
    <row r="174" spans="1:11" x14ac:dyDescent="0.25">
      <c r="A174">
        <v>17.3</v>
      </c>
      <c r="B174" s="2">
        <v>3.7252902984619099E-9</v>
      </c>
      <c r="C174" s="2">
        <v>3.7252902984619099E-9</v>
      </c>
      <c r="D174" s="2">
        <v>3.7252902984619099E-9</v>
      </c>
      <c r="E174" s="2">
        <v>3.7252902986266396E-9</v>
      </c>
      <c r="F174" s="2">
        <v>3.7252956041346104E-9</v>
      </c>
      <c r="G174" s="2">
        <v>3.8961804461645201E-9</v>
      </c>
      <c r="H174" s="2">
        <v>0.99999999610381896</v>
      </c>
      <c r="I174" s="2">
        <v>0.99999999627471003</v>
      </c>
      <c r="J174" s="2">
        <v>0.99999999627471003</v>
      </c>
      <c r="K174" s="2">
        <v>0.99999999627471003</v>
      </c>
    </row>
    <row r="175" spans="1:11" x14ac:dyDescent="0.25">
      <c r="A175">
        <v>17.399999999999999</v>
      </c>
      <c r="B175" s="2">
        <v>3.7252902984619099E-9</v>
      </c>
      <c r="C175" s="2">
        <v>3.7252902984619099E-9</v>
      </c>
      <c r="D175" s="2">
        <v>3.7252902984619099E-9</v>
      </c>
      <c r="E175" s="2">
        <v>3.7252902985901998E-9</v>
      </c>
      <c r="F175" s="2">
        <v>3.7252946860364202E-9</v>
      </c>
      <c r="G175" s="2">
        <v>3.8753481562085804E-9</v>
      </c>
      <c r="H175" s="2">
        <v>0.99999999612465196</v>
      </c>
      <c r="I175" s="2">
        <v>0.99999999627471003</v>
      </c>
      <c r="J175" s="2">
        <v>0.99999999627471003</v>
      </c>
      <c r="K175" s="2">
        <v>0.99999999627471003</v>
      </c>
    </row>
    <row r="176" spans="1:11" x14ac:dyDescent="0.25">
      <c r="A176">
        <v>17.5</v>
      </c>
      <c r="B176" s="2">
        <v>3.7252902984619099E-9</v>
      </c>
      <c r="C176" s="2">
        <v>3.7252902984619099E-9</v>
      </c>
      <c r="D176" s="2">
        <v>3.7252902984619099E-9</v>
      </c>
      <c r="E176" s="2">
        <v>3.72529029856183E-9</v>
      </c>
      <c r="F176" s="2">
        <v>3.7252939268067296E-9</v>
      </c>
      <c r="G176" s="2">
        <v>3.85705541759946E-9</v>
      </c>
      <c r="H176" s="2">
        <v>0.99999999614294399</v>
      </c>
      <c r="I176" s="2">
        <v>0.99999999627471003</v>
      </c>
      <c r="J176" s="2">
        <v>0.99999999627471003</v>
      </c>
      <c r="K176" s="2">
        <v>0.99999999627471003</v>
      </c>
    </row>
    <row r="177" spans="1:11" x14ac:dyDescent="0.25">
      <c r="A177">
        <v>17.600000000000001</v>
      </c>
      <c r="B177" s="2">
        <v>3.7252902984619099E-9</v>
      </c>
      <c r="C177" s="2">
        <v>3.7252902984619099E-9</v>
      </c>
      <c r="D177" s="2">
        <v>3.7252902984619099E-9</v>
      </c>
      <c r="E177" s="2">
        <v>3.7252902985397303E-9</v>
      </c>
      <c r="F177" s="2">
        <v>3.7252932989547997E-9</v>
      </c>
      <c r="G177" s="2">
        <v>3.84099264742259E-9</v>
      </c>
      <c r="H177" s="2">
        <v>0.99999999615900703</v>
      </c>
      <c r="I177" s="2">
        <v>0.99999999627471003</v>
      </c>
      <c r="J177" s="2">
        <v>0.99999999627471003</v>
      </c>
      <c r="K177" s="2">
        <v>0.99999999627471003</v>
      </c>
    </row>
    <row r="178" spans="1:11" x14ac:dyDescent="0.25">
      <c r="A178">
        <v>17.7</v>
      </c>
      <c r="B178" s="2">
        <v>3.7252902984619099E-9</v>
      </c>
      <c r="C178" s="2">
        <v>3.7252902984619099E-9</v>
      </c>
      <c r="D178" s="2">
        <v>3.7252902984619099E-9</v>
      </c>
      <c r="E178" s="2">
        <v>3.72529029852251E-9</v>
      </c>
      <c r="F178" s="2">
        <v>3.7252927797469204E-9</v>
      </c>
      <c r="G178" s="2">
        <v>3.8268880023354204E-9</v>
      </c>
      <c r="H178" s="2">
        <v>0.99999999617311197</v>
      </c>
      <c r="I178" s="2">
        <v>0.99999999627471003</v>
      </c>
      <c r="J178" s="2">
        <v>0.99999999627471003</v>
      </c>
      <c r="K178" s="2">
        <v>0.99999999627471003</v>
      </c>
    </row>
    <row r="179" spans="1:11" x14ac:dyDescent="0.25">
      <c r="A179">
        <v>17.8</v>
      </c>
      <c r="B179" s="2">
        <v>3.7252902984619099E-9</v>
      </c>
      <c r="C179" s="2">
        <v>3.7252902984619099E-9</v>
      </c>
      <c r="D179" s="2">
        <v>3.7252902984619099E-9</v>
      </c>
      <c r="E179" s="2">
        <v>3.7252902985091097E-9</v>
      </c>
      <c r="F179" s="2">
        <v>3.7252923503832096E-9</v>
      </c>
      <c r="G179" s="2">
        <v>3.8145027779411503E-9</v>
      </c>
      <c r="H179" s="2">
        <v>0.99999999618549695</v>
      </c>
      <c r="I179" s="2">
        <v>0.99999999627471003</v>
      </c>
      <c r="J179" s="2">
        <v>0.99999999627471003</v>
      </c>
      <c r="K179" s="2">
        <v>0.99999999627471003</v>
      </c>
    </row>
    <row r="180" spans="1:11" x14ac:dyDescent="0.25">
      <c r="A180">
        <v>17.899999999999999</v>
      </c>
      <c r="B180" s="2">
        <v>3.7252902984619099E-9</v>
      </c>
      <c r="C180" s="2">
        <v>3.7252902984619099E-9</v>
      </c>
      <c r="D180" s="2">
        <v>3.7252902984619099E-9</v>
      </c>
      <c r="E180" s="2">
        <v>3.7252902984986698E-9</v>
      </c>
      <c r="F180" s="2">
        <v>3.7252919953169797E-9</v>
      </c>
      <c r="G180" s="2">
        <v>3.8036273689997704E-9</v>
      </c>
      <c r="H180" s="2">
        <v>0.99999999619637303</v>
      </c>
      <c r="I180" s="2">
        <v>0.99999999627471003</v>
      </c>
      <c r="J180" s="2">
        <v>0.99999999627471003</v>
      </c>
      <c r="K180" s="2">
        <v>0.99999999627471003</v>
      </c>
    </row>
    <row r="181" spans="1:11" x14ac:dyDescent="0.25">
      <c r="A181">
        <v>18</v>
      </c>
      <c r="B181" s="2">
        <v>3.7252902984619099E-9</v>
      </c>
      <c r="C181" s="2">
        <v>3.7252902984619099E-9</v>
      </c>
      <c r="D181" s="2">
        <v>3.7252902984619099E-9</v>
      </c>
      <c r="E181" s="2">
        <v>3.7252902984905403E-9</v>
      </c>
      <c r="F181" s="2">
        <v>3.7252917016917099E-9</v>
      </c>
      <c r="G181" s="2">
        <v>3.7940777221078898E-9</v>
      </c>
      <c r="H181" s="2">
        <v>0.99999999620592195</v>
      </c>
      <c r="I181" s="2">
        <v>0.99999999627471003</v>
      </c>
      <c r="J181" s="2">
        <v>0.99999999627471003</v>
      </c>
      <c r="K181" s="2">
        <v>0.99999999627471003</v>
      </c>
    </row>
    <row r="182" spans="1:11" x14ac:dyDescent="0.25">
      <c r="A182">
        <v>18.100000000000001</v>
      </c>
      <c r="B182" s="2">
        <v>3.7252902984619099E-9</v>
      </c>
      <c r="C182" s="2">
        <v>3.7252902984619099E-9</v>
      </c>
      <c r="D182" s="2">
        <v>3.7252902984619099E-9</v>
      </c>
      <c r="E182" s="2">
        <v>3.7252902984842099E-9</v>
      </c>
      <c r="F182" s="2">
        <v>3.7252914588756096E-9</v>
      </c>
      <c r="G182" s="2">
        <v>3.7856922208130904E-9</v>
      </c>
      <c r="H182" s="2">
        <v>0.99999999621430802</v>
      </c>
      <c r="I182" s="2">
        <v>0.99999999627471003</v>
      </c>
      <c r="J182" s="2">
        <v>0.99999999627471003</v>
      </c>
      <c r="K182" s="2">
        <v>0.99999999627471003</v>
      </c>
    </row>
    <row r="183" spans="1:11" x14ac:dyDescent="0.25">
      <c r="A183">
        <v>18.2</v>
      </c>
      <c r="B183" s="2">
        <v>3.7252902984619099E-9</v>
      </c>
      <c r="C183" s="2">
        <v>3.7252902984619099E-9</v>
      </c>
      <c r="D183" s="2">
        <v>3.7252902984619099E-9</v>
      </c>
      <c r="E183" s="2">
        <v>3.7252902984792799E-9</v>
      </c>
      <c r="F183" s="2">
        <v>3.7252912580766201E-9</v>
      </c>
      <c r="G183" s="2">
        <v>3.7783289504470802E-9</v>
      </c>
      <c r="H183" s="2">
        <v>0.99999999622167102</v>
      </c>
      <c r="I183" s="2">
        <v>0.99999999627471003</v>
      </c>
      <c r="J183" s="2">
        <v>0.99999999627471003</v>
      </c>
      <c r="K183" s="2">
        <v>0.99999999627471003</v>
      </c>
    </row>
    <row r="184" spans="1:11" x14ac:dyDescent="0.25">
      <c r="A184">
        <v>18.3</v>
      </c>
      <c r="B184" s="2">
        <v>3.7252902984619099E-9</v>
      </c>
      <c r="C184" s="2">
        <v>3.7252902984619099E-9</v>
      </c>
      <c r="D184" s="2">
        <v>3.7252902984619099E-9</v>
      </c>
      <c r="E184" s="2">
        <v>3.7252902984754401E-9</v>
      </c>
      <c r="F184" s="2">
        <v>3.7252910920240603E-9</v>
      </c>
      <c r="G184" s="2">
        <v>3.7718632963881399E-9</v>
      </c>
      <c r="H184" s="2">
        <v>0.99999999622813696</v>
      </c>
      <c r="I184" s="2">
        <v>0.99999999627471003</v>
      </c>
      <c r="J184" s="2">
        <v>0.99999999627471003</v>
      </c>
      <c r="K184" s="2">
        <v>0.99999999627471003</v>
      </c>
    </row>
    <row r="185" spans="1:11" x14ac:dyDescent="0.25">
      <c r="A185">
        <v>18.399999999999999</v>
      </c>
      <c r="B185" s="2">
        <v>3.7252902984619099E-9</v>
      </c>
      <c r="C185" s="2">
        <v>3.7252902984619099E-9</v>
      </c>
      <c r="D185" s="2">
        <v>3.7252902984619099E-9</v>
      </c>
      <c r="E185" s="2">
        <v>3.7252902984724399E-9</v>
      </c>
      <c r="F185" s="2">
        <v>3.7252909547053801E-9</v>
      </c>
      <c r="G185" s="2">
        <v>3.7661858351064304E-9</v>
      </c>
      <c r="H185" s="2">
        <v>0.99999999623381397</v>
      </c>
      <c r="I185" s="2">
        <v>0.99999999627471003</v>
      </c>
      <c r="J185" s="2">
        <v>0.99999999627471003</v>
      </c>
      <c r="K185" s="2">
        <v>0.99999999627471003</v>
      </c>
    </row>
    <row r="186" spans="1:11" x14ac:dyDescent="0.25">
      <c r="A186">
        <v>18.5</v>
      </c>
      <c r="B186" s="2">
        <v>3.7252902984619099E-9</v>
      </c>
      <c r="C186" s="2">
        <v>3.7252902984619099E-9</v>
      </c>
      <c r="D186" s="2">
        <v>3.7252902984619099E-9</v>
      </c>
      <c r="E186" s="2">
        <v>3.7252902984701197E-9</v>
      </c>
      <c r="F186" s="2">
        <v>3.7252908411484399E-9</v>
      </c>
      <c r="G186" s="2">
        <v>3.76120048230044E-9</v>
      </c>
      <c r="H186" s="2">
        <v>0.99999999623879998</v>
      </c>
      <c r="I186" s="2">
        <v>0.99999999627471003</v>
      </c>
      <c r="J186" s="2">
        <v>0.99999999627471003</v>
      </c>
      <c r="K186" s="2">
        <v>0.99999999627471003</v>
      </c>
    </row>
    <row r="187" spans="1:11" x14ac:dyDescent="0.25">
      <c r="A187">
        <v>18.600000000000001</v>
      </c>
      <c r="B187" s="2">
        <v>3.7252902984619099E-9</v>
      </c>
      <c r="C187" s="2">
        <v>3.7252902984619099E-9</v>
      </c>
      <c r="D187" s="2">
        <v>3.7252902984619099E-9</v>
      </c>
      <c r="E187" s="2">
        <v>3.7252902984682999E-9</v>
      </c>
      <c r="F187" s="2">
        <v>3.7252907472415002E-9</v>
      </c>
      <c r="G187" s="2">
        <v>3.75682286678411E-9</v>
      </c>
      <c r="H187" s="2">
        <v>0.99999999624317704</v>
      </c>
      <c r="I187" s="2">
        <v>0.99999999627471003</v>
      </c>
      <c r="J187" s="2">
        <v>0.99999999627471003</v>
      </c>
      <c r="K187" s="2">
        <v>0.99999999627471003</v>
      </c>
    </row>
    <row r="188" spans="1:11" x14ac:dyDescent="0.25">
      <c r="A188">
        <v>18.7</v>
      </c>
      <c r="B188" s="2">
        <v>3.7252902984619099E-9</v>
      </c>
      <c r="C188" s="2">
        <v>3.7252902984619099E-9</v>
      </c>
      <c r="D188" s="2">
        <v>3.7252902984619099E-9</v>
      </c>
      <c r="E188" s="2">
        <v>3.7252902984668904E-9</v>
      </c>
      <c r="F188" s="2">
        <v>3.7252906695842904E-9</v>
      </c>
      <c r="G188" s="2">
        <v>3.7529789026045399E-9</v>
      </c>
      <c r="H188" s="2">
        <v>0.99999999624702096</v>
      </c>
      <c r="I188" s="2">
        <v>0.99999999627471003</v>
      </c>
      <c r="J188" s="2">
        <v>0.99999999627471003</v>
      </c>
      <c r="K188" s="2">
        <v>0.99999999627471003</v>
      </c>
    </row>
    <row r="189" spans="1:11" x14ac:dyDescent="0.25">
      <c r="A189">
        <v>18.8</v>
      </c>
      <c r="B189" s="2">
        <v>3.7252902984619099E-9</v>
      </c>
      <c r="C189" s="2">
        <v>3.7252902984619099E-9</v>
      </c>
      <c r="D189" s="2">
        <v>3.7252902984619099E-9</v>
      </c>
      <c r="E189" s="2">
        <v>3.7252902984657902E-9</v>
      </c>
      <c r="F189" s="2">
        <v>3.7252906053649498E-9</v>
      </c>
      <c r="G189" s="2">
        <v>3.7496035352250296E-9</v>
      </c>
      <c r="H189" s="2">
        <v>0.99999999625039704</v>
      </c>
      <c r="I189" s="2">
        <v>0.99999999627471003</v>
      </c>
      <c r="J189" s="2">
        <v>0.99999999627471003</v>
      </c>
      <c r="K189" s="2">
        <v>0.99999999627471003</v>
      </c>
    </row>
    <row r="190" spans="1:11" x14ac:dyDescent="0.25">
      <c r="A190">
        <v>18.899999999999999</v>
      </c>
      <c r="B190" s="2">
        <v>3.7252902984619099E-9</v>
      </c>
      <c r="C190" s="2">
        <v>3.7252902984619099E-9</v>
      </c>
      <c r="D190" s="2">
        <v>3.7252902984619099E-9</v>
      </c>
      <c r="E190" s="2">
        <v>3.72529029846493E-9</v>
      </c>
      <c r="F190" s="2">
        <v>3.7252905522581901E-9</v>
      </c>
      <c r="G190" s="2">
        <v>3.74663964055422E-9</v>
      </c>
      <c r="H190" s="2">
        <v>0.99999999625336</v>
      </c>
      <c r="I190" s="2">
        <v>0.99999999627471003</v>
      </c>
      <c r="J190" s="2">
        <v>0.99999999627471003</v>
      </c>
      <c r="K190" s="2">
        <v>0.99999999627471003</v>
      </c>
    </row>
    <row r="191" spans="1:11" x14ac:dyDescent="0.25">
      <c r="A191">
        <v>19</v>
      </c>
      <c r="B191" s="2">
        <v>3.7252902984619099E-9</v>
      </c>
      <c r="C191" s="2">
        <v>3.7252902984619099E-9</v>
      </c>
      <c r="D191" s="2">
        <v>3.7252902984619099E-9</v>
      </c>
      <c r="E191" s="2">
        <v>3.7252902984642599E-9</v>
      </c>
      <c r="F191" s="2">
        <v>3.7252905083410604E-9</v>
      </c>
      <c r="G191" s="2">
        <v>3.7440370581885104E-9</v>
      </c>
      <c r="H191" s="2">
        <v>0.99999999625596303</v>
      </c>
      <c r="I191" s="2">
        <v>0.99999999627471003</v>
      </c>
      <c r="J191" s="2">
        <v>0.99999999627471003</v>
      </c>
      <c r="K191" s="2">
        <v>0.99999999627471003</v>
      </c>
    </row>
    <row r="192" spans="1:11" x14ac:dyDescent="0.25">
      <c r="A192">
        <v>19.100000000000001</v>
      </c>
      <c r="B192" s="2">
        <v>3.7252902984619099E-9</v>
      </c>
      <c r="C192" s="2">
        <v>3.7252902984619099E-9</v>
      </c>
      <c r="D192" s="2">
        <v>3.7252902984619099E-9</v>
      </c>
      <c r="E192" s="2">
        <v>3.7252902984637397E-9</v>
      </c>
      <c r="F192" s="2">
        <v>3.7252904720233904E-9</v>
      </c>
      <c r="G192" s="2">
        <v>3.7417517425067701E-9</v>
      </c>
      <c r="H192" s="2">
        <v>0.99999999625824798</v>
      </c>
      <c r="I192" s="2">
        <v>0.99999999627471003</v>
      </c>
      <c r="J192" s="2">
        <v>0.99999999627471003</v>
      </c>
      <c r="K192" s="2">
        <v>0.99999999627471003</v>
      </c>
    </row>
    <row r="193" spans="1:11" x14ac:dyDescent="0.25">
      <c r="A193">
        <v>19.2</v>
      </c>
      <c r="B193" s="2">
        <v>3.7252902984619099E-9</v>
      </c>
      <c r="C193" s="2">
        <v>3.7252902984619099E-9</v>
      </c>
      <c r="D193" s="2">
        <v>3.7252902984619099E-9</v>
      </c>
      <c r="E193" s="2">
        <v>3.7252902984633401E-9</v>
      </c>
      <c r="F193" s="2">
        <v>3.7252904419901597E-9</v>
      </c>
      <c r="G193" s="2">
        <v>3.7397450172503203E-9</v>
      </c>
      <c r="H193" s="2">
        <v>0.99999999626025504</v>
      </c>
      <c r="I193" s="2">
        <v>0.99999999627471003</v>
      </c>
      <c r="J193" s="2">
        <v>0.99999999627471003</v>
      </c>
      <c r="K193" s="2">
        <v>0.99999999627471003</v>
      </c>
    </row>
    <row r="194" spans="1:11" x14ac:dyDescent="0.25">
      <c r="A194">
        <v>19.3</v>
      </c>
      <c r="B194" s="2">
        <v>3.7252902984619099E-9</v>
      </c>
      <c r="C194" s="2">
        <v>3.7252902984619099E-9</v>
      </c>
      <c r="D194" s="2">
        <v>3.7252902984619099E-9</v>
      </c>
      <c r="E194" s="2">
        <v>3.72529029846302E-9</v>
      </c>
      <c r="F194" s="2">
        <v>3.7252904171539096E-9</v>
      </c>
      <c r="G194" s="2">
        <v>3.7379829209731996E-9</v>
      </c>
      <c r="H194" s="2">
        <v>0.99999999626201697</v>
      </c>
      <c r="I194" s="2">
        <v>0.99999999627471003</v>
      </c>
      <c r="J194" s="2">
        <v>0.99999999627471003</v>
      </c>
      <c r="K194" s="2">
        <v>0.99999999627471003</v>
      </c>
    </row>
    <row r="195" spans="1:11" x14ac:dyDescent="0.25">
      <c r="A195">
        <v>19.399999999999999</v>
      </c>
      <c r="B195" s="2">
        <v>3.7252902984619099E-9</v>
      </c>
      <c r="C195" s="2">
        <v>3.7252902984619099E-9</v>
      </c>
      <c r="D195" s="2">
        <v>3.7252902984619099E-9</v>
      </c>
      <c r="E195" s="2">
        <v>3.7252902984627801E-9</v>
      </c>
      <c r="F195" s="2">
        <v>3.7252903966153401E-9</v>
      </c>
      <c r="G195" s="2">
        <v>3.7364356322848802E-9</v>
      </c>
      <c r="H195" s="2">
        <v>0.99999999626356395</v>
      </c>
      <c r="I195" s="2">
        <v>0.99999999627471003</v>
      </c>
      <c r="J195" s="2">
        <v>0.99999999627471003</v>
      </c>
      <c r="K195" s="2">
        <v>0.99999999627471003</v>
      </c>
    </row>
    <row r="196" spans="1:11" x14ac:dyDescent="0.25">
      <c r="A196">
        <v>19.5</v>
      </c>
      <c r="B196" s="2">
        <v>3.7252902984619099E-9</v>
      </c>
      <c r="C196" s="2">
        <v>3.7252902984619099E-9</v>
      </c>
      <c r="D196" s="2">
        <v>3.7252902984619099E-9</v>
      </c>
      <c r="E196" s="2">
        <v>3.7252902984625899E-9</v>
      </c>
      <c r="F196" s="2">
        <v>3.7252903796307901E-9</v>
      </c>
      <c r="G196" s="2">
        <v>3.7350769651586503E-9</v>
      </c>
      <c r="H196" s="2">
        <v>0.99999999626492297</v>
      </c>
      <c r="I196" s="2">
        <v>0.99999999627471003</v>
      </c>
      <c r="J196" s="2">
        <v>0.99999999627471003</v>
      </c>
      <c r="K196" s="2">
        <v>0.99999999627471003</v>
      </c>
    </row>
    <row r="197" spans="1:11" x14ac:dyDescent="0.25">
      <c r="A197">
        <v>19.600000000000001</v>
      </c>
      <c r="B197" s="2">
        <v>3.7252902984619099E-9</v>
      </c>
      <c r="C197" s="2">
        <v>3.7252902984619099E-9</v>
      </c>
      <c r="D197" s="2">
        <v>3.7252902984619099E-9</v>
      </c>
      <c r="E197" s="2">
        <v>3.7252902984624401E-9</v>
      </c>
      <c r="F197" s="2">
        <v>3.72529036558526E-9</v>
      </c>
      <c r="G197" s="2">
        <v>3.7338839257640902E-9</v>
      </c>
      <c r="H197" s="2">
        <v>0.99999999626611602</v>
      </c>
      <c r="I197" s="2">
        <v>0.99999999627471003</v>
      </c>
      <c r="J197" s="2">
        <v>0.99999999627471003</v>
      </c>
      <c r="K197" s="2">
        <v>0.99999999627471003</v>
      </c>
    </row>
    <row r="198" spans="1:11" x14ac:dyDescent="0.25">
      <c r="A198">
        <v>19.7</v>
      </c>
      <c r="B198" s="2">
        <v>3.7252902984619099E-9</v>
      </c>
      <c r="C198" s="2">
        <v>3.7252902984619099E-9</v>
      </c>
      <c r="D198" s="2">
        <v>3.7252902984619099E-9</v>
      </c>
      <c r="E198" s="2">
        <v>3.7252902984623202E-9</v>
      </c>
      <c r="F198" s="2">
        <v>3.7252903539701702E-9</v>
      </c>
      <c r="G198" s="2">
        <v>3.73283632332382E-9</v>
      </c>
      <c r="H198" s="2">
        <v>0.99999999626716396</v>
      </c>
      <c r="I198" s="2">
        <v>0.99999999627471003</v>
      </c>
      <c r="J198" s="2">
        <v>0.99999999627471003</v>
      </c>
      <c r="K198" s="2">
        <v>0.99999999627471003</v>
      </c>
    </row>
    <row r="199" spans="1:11" x14ac:dyDescent="0.25">
      <c r="A199">
        <v>19.8</v>
      </c>
      <c r="B199" s="2">
        <v>3.7252902984619099E-9</v>
      </c>
      <c r="C199" s="2">
        <v>3.7252902984619099E-9</v>
      </c>
      <c r="D199" s="2">
        <v>3.7252902984619099E-9</v>
      </c>
      <c r="E199" s="2">
        <v>3.72529029846223E-9</v>
      </c>
      <c r="F199" s="2">
        <v>3.7252903443649803E-9</v>
      </c>
      <c r="G199" s="2">
        <v>3.7319164284084699E-9</v>
      </c>
      <c r="H199" s="2">
        <v>0.999999996268083</v>
      </c>
      <c r="I199" s="2">
        <v>0.99999999627471003</v>
      </c>
      <c r="J199" s="2">
        <v>0.99999999627471003</v>
      </c>
      <c r="K199" s="2">
        <v>0.99999999627471003</v>
      </c>
    </row>
    <row r="200" spans="1:11" x14ac:dyDescent="0.25">
      <c r="A200">
        <v>19.899999999999999</v>
      </c>
      <c r="B200" s="2">
        <v>3.7252902984619099E-9</v>
      </c>
      <c r="C200" s="2">
        <v>3.7252902984619099E-9</v>
      </c>
      <c r="D200" s="2">
        <v>3.7252902984619099E-9</v>
      </c>
      <c r="E200" s="2">
        <v>3.7252902984621597E-9</v>
      </c>
      <c r="F200" s="2">
        <v>3.7252903364218701E-9</v>
      </c>
      <c r="G200" s="2">
        <v>3.7311086728871399E-9</v>
      </c>
      <c r="H200" s="2">
        <v>0.99999999626889102</v>
      </c>
      <c r="I200" s="2">
        <v>0.99999999627471003</v>
      </c>
      <c r="J200" s="2">
        <v>0.99999999627471003</v>
      </c>
      <c r="K200" s="2">
        <v>0.99999999627471003</v>
      </c>
    </row>
    <row r="201" spans="1:11" x14ac:dyDescent="0.25">
      <c r="A201">
        <v>20</v>
      </c>
      <c r="B201" s="2">
        <v>3.7252902984619099E-9</v>
      </c>
      <c r="C201" s="2">
        <v>3.7252902984619099E-9</v>
      </c>
      <c r="D201" s="2">
        <v>3.7252902984619099E-9</v>
      </c>
      <c r="E201" s="2">
        <v>3.7252902984621101E-9</v>
      </c>
      <c r="F201" s="2">
        <v>3.7252903298532504E-9</v>
      </c>
      <c r="G201" s="2">
        <v>3.7303993864552401E-9</v>
      </c>
      <c r="H201" s="2">
        <v>0.99999999626960101</v>
      </c>
      <c r="I201" s="2">
        <v>0.99999999627471003</v>
      </c>
      <c r="J201" s="2">
        <v>0.99999999627471003</v>
      </c>
      <c r="K201" s="2">
        <v>0.99999999627471003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Benefit functions</vt:lpstr>
      <vt:lpstr>Original Treatment</vt:lpstr>
      <vt:lpstr>Original Treat Calculations </vt:lpstr>
      <vt:lpstr>Slack Treatment</vt:lpstr>
      <vt:lpstr>Slack Treat. Calculations</vt:lpstr>
      <vt:lpstr>Original Can Correct Errors</vt:lpstr>
      <vt:lpstr>No mistakes in tails</vt:lpstr>
    </vt:vector>
  </TitlesOfParts>
  <Company>BI Norwegian Business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Joslin, Knut-Eric Neset</dc:creator>
  <cp:lastModifiedBy>Joslin, Knut-Eric Neset</cp:lastModifiedBy>
  <cp:lastPrinted>2014-04-08T18:17:48Z</cp:lastPrinted>
  <dcterms:created xsi:type="dcterms:W3CDTF">2014-04-01T16:03:35Z</dcterms:created>
  <dcterms:modified xsi:type="dcterms:W3CDTF">2014-05-10T08:21:30Z</dcterms:modified>
</cp:coreProperties>
</file>